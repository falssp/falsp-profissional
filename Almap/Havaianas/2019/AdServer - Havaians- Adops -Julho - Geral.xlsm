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8_{B09AF3C8-3D99-4083-93DA-99F22228700D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8" l="1"/>
  <c r="D7" i="8" l="1"/>
  <c r="E7" i="8" s="1"/>
  <c r="D9" i="8"/>
  <c r="E9" i="8" s="1"/>
  <c r="I2" i="6"/>
  <c r="J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E3005" i="6" s="1"/>
  <c r="J3005" i="6"/>
  <c r="A3006" i="6"/>
  <c r="B3006" i="6"/>
  <c r="C3006" i="6"/>
  <c r="F3006" i="6"/>
  <c r="G3006" i="6"/>
  <c r="H3006" i="6"/>
  <c r="I3006" i="6"/>
  <c r="E3006" i="6" s="1"/>
  <c r="L3006" i="6" s="1"/>
  <c r="J3006" i="6"/>
  <c r="A3007" i="6"/>
  <c r="B3007" i="6"/>
  <c r="C3007" i="6"/>
  <c r="F3007" i="6"/>
  <c r="G3007" i="6"/>
  <c r="H3007" i="6"/>
  <c r="I3007" i="6"/>
  <c r="E3007" i="6" s="1"/>
  <c r="L3007" i="6" s="1"/>
  <c r="J3007" i="6"/>
  <c r="A3008" i="6"/>
  <c r="B3008" i="6"/>
  <c r="C3008" i="6"/>
  <c r="F3008" i="6"/>
  <c r="G3008" i="6"/>
  <c r="H3008" i="6"/>
  <c r="I3008" i="6"/>
  <c r="E3008" i="6" s="1"/>
  <c r="J3008" i="6"/>
  <c r="A3009" i="6"/>
  <c r="B3009" i="6"/>
  <c r="C3009" i="6"/>
  <c r="F3009" i="6"/>
  <c r="G3009" i="6"/>
  <c r="H3009" i="6"/>
  <c r="I3009" i="6"/>
  <c r="E3009" i="6" s="1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E3022" i="6" s="1"/>
  <c r="L3022" i="6" s="1"/>
  <c r="J3022" i="6"/>
  <c r="A3023" i="6"/>
  <c r="B3023" i="6"/>
  <c r="C3023" i="6"/>
  <c r="F3023" i="6"/>
  <c r="G3023" i="6"/>
  <c r="H3023" i="6"/>
  <c r="I3023" i="6"/>
  <c r="E3023" i="6" s="1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E3026" i="6" s="1"/>
  <c r="L3026" i="6" s="1"/>
  <c r="J3026" i="6"/>
  <c r="A3027" i="6"/>
  <c r="B3027" i="6"/>
  <c r="C3027" i="6"/>
  <c r="F3027" i="6"/>
  <c r="G3027" i="6"/>
  <c r="H3027" i="6"/>
  <c r="I3027" i="6"/>
  <c r="E3027" i="6" s="1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E3030" i="6" s="1"/>
  <c r="L3030" i="6" s="1"/>
  <c r="J3030" i="6"/>
  <c r="A3031" i="6"/>
  <c r="B3031" i="6"/>
  <c r="C3031" i="6"/>
  <c r="F3031" i="6"/>
  <c r="G3031" i="6"/>
  <c r="H3031" i="6"/>
  <c r="I3031" i="6"/>
  <c r="E3031" i="6" s="1"/>
  <c r="J3031" i="6"/>
  <c r="A3032" i="6"/>
  <c r="B3032" i="6"/>
  <c r="C3032" i="6"/>
  <c r="F3032" i="6"/>
  <c r="G3032" i="6"/>
  <c r="H3032" i="6"/>
  <c r="I3032" i="6"/>
  <c r="E3032" i="6" s="1"/>
  <c r="J3032" i="6"/>
  <c r="A3033" i="6"/>
  <c r="B3033" i="6"/>
  <c r="C3033" i="6"/>
  <c r="F3033" i="6"/>
  <c r="G3033" i="6"/>
  <c r="H3033" i="6"/>
  <c r="I3033" i="6"/>
  <c r="E3033" i="6" s="1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E3042" i="6" s="1"/>
  <c r="L3042" i="6" s="1"/>
  <c r="J3042" i="6"/>
  <c r="A3043" i="6"/>
  <c r="B3043" i="6"/>
  <c r="C3043" i="6"/>
  <c r="F3043" i="6"/>
  <c r="G3043" i="6"/>
  <c r="H3043" i="6"/>
  <c r="I3043" i="6"/>
  <c r="E3043" i="6" s="1"/>
  <c r="L3043" i="6" s="1"/>
  <c r="J3043" i="6"/>
  <c r="A3044" i="6"/>
  <c r="B3044" i="6"/>
  <c r="C3044" i="6"/>
  <c r="F3044" i="6"/>
  <c r="G3044" i="6"/>
  <c r="H3044" i="6"/>
  <c r="I3044" i="6"/>
  <c r="E3044" i="6" s="1"/>
  <c r="J3044" i="6"/>
  <c r="A3045" i="6"/>
  <c r="B3045" i="6"/>
  <c r="C3045" i="6"/>
  <c r="F3045" i="6"/>
  <c r="G3045" i="6"/>
  <c r="H3045" i="6"/>
  <c r="I3045" i="6"/>
  <c r="E3045" i="6" s="1"/>
  <c r="J3045" i="6"/>
  <c r="A3046" i="6"/>
  <c r="B3046" i="6"/>
  <c r="C3046" i="6"/>
  <c r="F3046" i="6"/>
  <c r="G3046" i="6"/>
  <c r="H3046" i="6"/>
  <c r="I3046" i="6"/>
  <c r="E3046" i="6" s="1"/>
  <c r="L3046" i="6" s="1"/>
  <c r="J3046" i="6"/>
  <c r="A3047" i="6"/>
  <c r="B3047" i="6"/>
  <c r="C3047" i="6"/>
  <c r="F3047" i="6"/>
  <c r="G3047" i="6"/>
  <c r="H3047" i="6"/>
  <c r="I3047" i="6"/>
  <c r="E3047" i="6" s="1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E3056" i="6" s="1"/>
  <c r="L3056" i="6" s="1"/>
  <c r="J3056" i="6"/>
  <c r="A3057" i="6"/>
  <c r="B3057" i="6"/>
  <c r="C3057" i="6"/>
  <c r="F3057" i="6"/>
  <c r="G3057" i="6"/>
  <c r="H3057" i="6"/>
  <c r="I3057" i="6"/>
  <c r="E3057" i="6" s="1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E3076" i="6" s="1"/>
  <c r="L3076" i="6" s="1"/>
  <c r="J3076" i="6"/>
  <c r="A3077" i="6"/>
  <c r="B3077" i="6"/>
  <c r="C3077" i="6"/>
  <c r="F3077" i="6"/>
  <c r="G3077" i="6"/>
  <c r="H3077" i="6"/>
  <c r="I3077" i="6"/>
  <c r="E3077" i="6" s="1"/>
  <c r="J3077" i="6"/>
  <c r="A3078" i="6"/>
  <c r="B3078" i="6"/>
  <c r="C3078" i="6"/>
  <c r="F3078" i="6"/>
  <c r="G3078" i="6"/>
  <c r="H3078" i="6"/>
  <c r="I3078" i="6"/>
  <c r="E3078" i="6" s="1"/>
  <c r="J3078" i="6"/>
  <c r="A3079" i="6"/>
  <c r="B3079" i="6"/>
  <c r="C3079" i="6"/>
  <c r="F3079" i="6"/>
  <c r="G3079" i="6"/>
  <c r="H3079" i="6"/>
  <c r="I3079" i="6"/>
  <c r="E3079" i="6" s="1"/>
  <c r="J3079" i="6"/>
  <c r="A3080" i="6"/>
  <c r="B3080" i="6"/>
  <c r="C3080" i="6"/>
  <c r="F3080" i="6"/>
  <c r="G3080" i="6"/>
  <c r="H3080" i="6"/>
  <c r="I3080" i="6"/>
  <c r="E3080" i="6" s="1"/>
  <c r="J3080" i="6"/>
  <c r="A3081" i="6"/>
  <c r="B3081" i="6"/>
  <c r="C3081" i="6"/>
  <c r="F3081" i="6"/>
  <c r="G3081" i="6"/>
  <c r="H3081" i="6"/>
  <c r="I3081" i="6"/>
  <c r="E3081" i="6" s="1"/>
  <c r="J3081" i="6"/>
  <c r="A3082" i="6"/>
  <c r="B3082" i="6"/>
  <c r="C3082" i="6"/>
  <c r="F3082" i="6"/>
  <c r="G3082" i="6"/>
  <c r="H3082" i="6"/>
  <c r="I3082" i="6"/>
  <c r="E3082" i="6" s="1"/>
  <c r="J3082" i="6"/>
  <c r="A3083" i="6"/>
  <c r="B3083" i="6"/>
  <c r="C3083" i="6"/>
  <c r="F3083" i="6"/>
  <c r="G3083" i="6"/>
  <c r="H3083" i="6"/>
  <c r="I3083" i="6"/>
  <c r="E3083" i="6" s="1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E3092" i="6" s="1"/>
  <c r="L3092" i="6" s="1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E3100" i="6" s="1"/>
  <c r="L3100" i="6" s="1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E3108" i="6" s="1"/>
  <c r="L3108" i="6" s="1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E3116" i="6" s="1"/>
  <c r="L3116" i="6" s="1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E3128" i="6" s="1"/>
  <c r="L3128" i="6" s="1"/>
  <c r="J3128" i="6"/>
  <c r="A3129" i="6"/>
  <c r="B3129" i="6"/>
  <c r="C3129" i="6"/>
  <c r="F3129" i="6"/>
  <c r="G3129" i="6"/>
  <c r="H3129" i="6"/>
  <c r="I3129" i="6"/>
  <c r="E3129" i="6" s="1"/>
  <c r="J3129" i="6"/>
  <c r="A3130" i="6"/>
  <c r="B3130" i="6"/>
  <c r="C3130" i="6"/>
  <c r="F3130" i="6"/>
  <c r="G3130" i="6"/>
  <c r="H3130" i="6"/>
  <c r="I3130" i="6"/>
  <c r="E3130" i="6" s="1"/>
  <c r="J3130" i="6"/>
  <c r="A3131" i="6"/>
  <c r="B3131" i="6"/>
  <c r="C3131" i="6"/>
  <c r="F3131" i="6"/>
  <c r="G3131" i="6"/>
  <c r="H3131" i="6"/>
  <c r="I3131" i="6"/>
  <c r="E3131" i="6" s="1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E3145" i="6" s="1"/>
  <c r="L3145" i="6" s="1"/>
  <c r="J3145" i="6"/>
  <c r="A3146" i="6"/>
  <c r="B3146" i="6"/>
  <c r="C3146" i="6"/>
  <c r="F3146" i="6"/>
  <c r="G3146" i="6"/>
  <c r="H3146" i="6"/>
  <c r="I3146" i="6"/>
  <c r="E3146" i="6" s="1"/>
  <c r="J3146" i="6"/>
  <c r="A3147" i="6"/>
  <c r="B3147" i="6"/>
  <c r="C3147" i="6"/>
  <c r="F3147" i="6"/>
  <c r="G3147" i="6"/>
  <c r="H3147" i="6"/>
  <c r="I3147" i="6"/>
  <c r="E3147" i="6" s="1"/>
  <c r="L3147" i="6" s="1"/>
  <c r="J3147" i="6"/>
  <c r="A3148" i="6"/>
  <c r="B3148" i="6"/>
  <c r="C3148" i="6"/>
  <c r="F3148" i="6"/>
  <c r="G3148" i="6"/>
  <c r="H3148" i="6"/>
  <c r="I3148" i="6"/>
  <c r="E3148" i="6" s="1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E3157" i="6" s="1"/>
  <c r="L3157" i="6" s="1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E3165" i="6" s="1"/>
  <c r="L3165" i="6" s="1"/>
  <c r="J3165" i="6"/>
  <c r="A3166" i="6"/>
  <c r="B3166" i="6"/>
  <c r="C3166" i="6"/>
  <c r="F3166" i="6"/>
  <c r="G3166" i="6"/>
  <c r="H3166" i="6"/>
  <c r="I3166" i="6"/>
  <c r="E3166" i="6" s="1"/>
  <c r="J3166" i="6"/>
  <c r="A3167" i="6"/>
  <c r="B3167" i="6"/>
  <c r="C3167" i="6"/>
  <c r="F3167" i="6"/>
  <c r="G3167" i="6"/>
  <c r="H3167" i="6"/>
  <c r="I3167" i="6"/>
  <c r="E3167" i="6" s="1"/>
  <c r="L3167" i="6" s="1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E3173" i="6" s="1"/>
  <c r="L3173" i="6" s="1"/>
  <c r="J3173" i="6"/>
  <c r="A3174" i="6"/>
  <c r="B3174" i="6"/>
  <c r="C3174" i="6"/>
  <c r="F3174" i="6"/>
  <c r="G3174" i="6"/>
  <c r="H3174" i="6"/>
  <c r="I3174" i="6"/>
  <c r="E3174" i="6" s="1"/>
  <c r="J3174" i="6"/>
  <c r="A3175" i="6"/>
  <c r="B3175" i="6"/>
  <c r="C3175" i="6"/>
  <c r="F3175" i="6"/>
  <c r="G3175" i="6"/>
  <c r="H3175" i="6"/>
  <c r="I3175" i="6"/>
  <c r="E3175" i="6" s="1"/>
  <c r="L3175" i="6" s="1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E3181" i="6" s="1"/>
  <c r="L3181" i="6" s="1"/>
  <c r="J3181" i="6"/>
  <c r="A3182" i="6"/>
  <c r="B3182" i="6"/>
  <c r="C3182" i="6"/>
  <c r="F3182" i="6"/>
  <c r="G3182" i="6"/>
  <c r="H3182" i="6"/>
  <c r="I3182" i="6"/>
  <c r="E3182" i="6" s="1"/>
  <c r="J3182" i="6"/>
  <c r="A3183" i="6"/>
  <c r="B3183" i="6"/>
  <c r="C3183" i="6"/>
  <c r="F3183" i="6"/>
  <c r="G3183" i="6"/>
  <c r="H3183" i="6"/>
  <c r="I3183" i="6"/>
  <c r="E3183" i="6" s="1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E3188" i="6" s="1"/>
  <c r="L3188" i="6" s="1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E3194" i="6" s="1"/>
  <c r="L3194" i="6" s="1"/>
  <c r="J3194" i="6"/>
  <c r="A3195" i="6"/>
  <c r="B3195" i="6"/>
  <c r="C3195" i="6"/>
  <c r="F3195" i="6"/>
  <c r="G3195" i="6"/>
  <c r="H3195" i="6"/>
  <c r="I3195" i="6"/>
  <c r="E3195" i="6" s="1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E3201" i="6" s="1"/>
  <c r="L3201" i="6" s="1"/>
  <c r="J3201" i="6"/>
  <c r="A3202" i="6"/>
  <c r="B3202" i="6"/>
  <c r="C3202" i="6"/>
  <c r="F3202" i="6"/>
  <c r="G3202" i="6"/>
  <c r="H3202" i="6"/>
  <c r="I3202" i="6"/>
  <c r="E3202" i="6" s="1"/>
  <c r="J3202" i="6"/>
  <c r="A3203" i="6"/>
  <c r="B3203" i="6"/>
  <c r="C3203" i="6"/>
  <c r="F3203" i="6"/>
  <c r="G3203" i="6"/>
  <c r="H3203" i="6"/>
  <c r="I3203" i="6"/>
  <c r="E3203" i="6" s="1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E3209" i="6" s="1"/>
  <c r="L3209" i="6" s="1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E3216" i="6" s="1"/>
  <c r="L3216" i="6" s="1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E3221" i="6" s="1"/>
  <c r="L3221" i="6" s="1"/>
  <c r="J3221" i="6"/>
  <c r="A3222" i="6"/>
  <c r="B3222" i="6"/>
  <c r="C3222" i="6"/>
  <c r="F3222" i="6"/>
  <c r="G3222" i="6"/>
  <c r="H3222" i="6"/>
  <c r="I3222" i="6"/>
  <c r="E3222" i="6" s="1"/>
  <c r="J3222" i="6"/>
  <c r="A3223" i="6"/>
  <c r="B3223" i="6"/>
  <c r="C3223" i="6"/>
  <c r="F3223" i="6"/>
  <c r="G3223" i="6"/>
  <c r="H3223" i="6"/>
  <c r="I3223" i="6"/>
  <c r="E3223" i="6" s="1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E3228" i="6" s="1"/>
  <c r="L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E3234" i="6" s="1"/>
  <c r="L3234" i="6" s="1"/>
  <c r="J3234" i="6"/>
  <c r="A3235" i="6"/>
  <c r="B3235" i="6"/>
  <c r="C3235" i="6"/>
  <c r="F3235" i="6"/>
  <c r="G3235" i="6"/>
  <c r="H3235" i="6"/>
  <c r="I3235" i="6"/>
  <c r="E3235" i="6" s="1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E3240" i="6" s="1"/>
  <c r="L3240" i="6" s="1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E3248" i="6" s="1"/>
  <c r="L3248" i="6" s="1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E3254" i="6" s="1"/>
  <c r="L3254" i="6" s="1"/>
  <c r="J3254" i="6"/>
  <c r="A3255" i="6"/>
  <c r="B3255" i="6"/>
  <c r="C3255" i="6"/>
  <c r="F3255" i="6"/>
  <c r="G3255" i="6"/>
  <c r="H3255" i="6"/>
  <c r="I3255" i="6"/>
  <c r="E3255" i="6" s="1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E3261" i="6" s="1"/>
  <c r="L3261" i="6" s="1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E3268" i="6" s="1"/>
  <c r="L3268" i="6" s="1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E3274" i="6" s="1"/>
  <c r="L3274" i="6" s="1"/>
  <c r="J3274" i="6"/>
  <c r="A3275" i="6"/>
  <c r="B3275" i="6"/>
  <c r="C3275" i="6"/>
  <c r="F3275" i="6"/>
  <c r="G3275" i="6"/>
  <c r="H3275" i="6"/>
  <c r="I3275" i="6"/>
  <c r="E3275" i="6" s="1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E3280" i="6" s="1"/>
  <c r="L3280" i="6" s="1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E3285" i="6" s="1"/>
  <c r="L3285" i="6" s="1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E3290" i="6" s="1"/>
  <c r="L3290" i="6" s="1"/>
  <c r="J3290" i="6"/>
  <c r="A3291" i="6"/>
  <c r="B3291" i="6"/>
  <c r="C3291" i="6"/>
  <c r="F3291" i="6"/>
  <c r="G3291" i="6"/>
  <c r="H3291" i="6"/>
  <c r="I3291" i="6"/>
  <c r="E3291" i="6" s="1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E3296" i="6" s="1"/>
  <c r="L3296" i="6" s="1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E3302" i="6" s="1"/>
  <c r="L3302" i="6" s="1"/>
  <c r="J3302" i="6"/>
  <c r="A3303" i="6"/>
  <c r="B3303" i="6"/>
  <c r="C3303" i="6"/>
  <c r="F3303" i="6"/>
  <c r="G3303" i="6"/>
  <c r="H3303" i="6"/>
  <c r="I3303" i="6"/>
  <c r="E3303" i="6" s="1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E3308" i="6" s="1"/>
  <c r="L3308" i="6" s="1"/>
  <c r="J3308" i="6"/>
  <c r="A3309" i="6"/>
  <c r="B3309" i="6"/>
  <c r="C3309" i="6"/>
  <c r="F3309" i="6"/>
  <c r="G3309" i="6"/>
  <c r="H3309" i="6"/>
  <c r="I3309" i="6"/>
  <c r="E3309" i="6" s="1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E3317" i="6" s="1"/>
  <c r="L3317" i="6" s="1"/>
  <c r="J3317" i="6"/>
  <c r="A3318" i="6"/>
  <c r="B3318" i="6"/>
  <c r="C3318" i="6"/>
  <c r="F3318" i="6"/>
  <c r="G3318" i="6"/>
  <c r="H3318" i="6"/>
  <c r="I3318" i="6"/>
  <c r="E3318" i="6" s="1"/>
  <c r="J3318" i="6"/>
  <c r="A3319" i="6"/>
  <c r="B3319" i="6"/>
  <c r="C3319" i="6"/>
  <c r="F3319" i="6"/>
  <c r="G3319" i="6"/>
  <c r="H3319" i="6"/>
  <c r="I3319" i="6"/>
  <c r="E3319" i="6" s="1"/>
  <c r="L3319" i="6" s="1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E3328" i="6" s="1"/>
  <c r="L3328" i="6" s="1"/>
  <c r="J3328" i="6"/>
  <c r="A3329" i="6"/>
  <c r="B3329" i="6"/>
  <c r="C3329" i="6"/>
  <c r="F3329" i="6"/>
  <c r="G3329" i="6"/>
  <c r="H3329" i="6"/>
  <c r="I3329" i="6"/>
  <c r="E3329" i="6" s="1"/>
  <c r="J3329" i="6"/>
  <c r="A3330" i="6"/>
  <c r="B3330" i="6"/>
  <c r="C3330" i="6"/>
  <c r="F3330" i="6"/>
  <c r="G3330" i="6"/>
  <c r="H3330" i="6"/>
  <c r="I3330" i="6"/>
  <c r="E3330" i="6" s="1"/>
  <c r="J3330" i="6"/>
  <c r="A3331" i="6"/>
  <c r="B3331" i="6"/>
  <c r="C3331" i="6"/>
  <c r="F3331" i="6"/>
  <c r="G3331" i="6"/>
  <c r="H3331" i="6"/>
  <c r="I3331" i="6"/>
  <c r="E3331" i="6" s="1"/>
  <c r="L3331" i="6" s="1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E3340" i="6" s="1"/>
  <c r="L3340" i="6" s="1"/>
  <c r="J3340" i="6"/>
  <c r="A3341" i="6"/>
  <c r="B3341" i="6"/>
  <c r="C3341" i="6"/>
  <c r="F3341" i="6"/>
  <c r="G3341" i="6"/>
  <c r="H3341" i="6"/>
  <c r="I3341" i="6"/>
  <c r="E3341" i="6" s="1"/>
  <c r="J3341" i="6"/>
  <c r="A3342" i="6"/>
  <c r="B3342" i="6"/>
  <c r="C3342" i="6"/>
  <c r="F3342" i="6"/>
  <c r="G3342" i="6"/>
  <c r="H3342" i="6"/>
  <c r="I3342" i="6"/>
  <c r="E3342" i="6" s="1"/>
  <c r="J3342" i="6"/>
  <c r="A3343" i="6"/>
  <c r="B3343" i="6"/>
  <c r="C3343" i="6"/>
  <c r="F3343" i="6"/>
  <c r="G3343" i="6"/>
  <c r="H3343" i="6"/>
  <c r="I3343" i="6"/>
  <c r="E3343" i="6" s="1"/>
  <c r="L3343" i="6" s="1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E3356" i="6" s="1"/>
  <c r="L3356" i="6" s="1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E3368" i="6" s="1"/>
  <c r="L3368" i="6" s="1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E3377" i="6" s="1"/>
  <c r="L3377" i="6" s="1"/>
  <c r="J3377" i="6"/>
  <c r="A3378" i="6"/>
  <c r="B3378" i="6"/>
  <c r="C3378" i="6"/>
  <c r="F3378" i="6"/>
  <c r="G3378" i="6"/>
  <c r="H3378" i="6"/>
  <c r="I3378" i="6"/>
  <c r="E3378" i="6" s="1"/>
  <c r="J3378" i="6"/>
  <c r="A3379" i="6"/>
  <c r="B3379" i="6"/>
  <c r="C3379" i="6"/>
  <c r="F3379" i="6"/>
  <c r="G3379" i="6"/>
  <c r="H3379" i="6"/>
  <c r="I3379" i="6"/>
  <c r="E3379" i="6" s="1"/>
  <c r="L3379" i="6" s="1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E3386" i="6" s="1"/>
  <c r="L3386" i="6" s="1"/>
  <c r="J3386" i="6"/>
  <c r="A3387" i="6"/>
  <c r="B3387" i="6"/>
  <c r="C3387" i="6"/>
  <c r="F3387" i="6"/>
  <c r="G3387" i="6"/>
  <c r="H3387" i="6"/>
  <c r="I3387" i="6"/>
  <c r="E3387" i="6" s="1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E3396" i="6" s="1"/>
  <c r="L3396" i="6" s="1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E3400" i="6" s="1"/>
  <c r="L3400" i="6" s="1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E3402" i="6" s="1"/>
  <c r="L3402" i="6" s="1"/>
  <c r="J3402" i="6"/>
  <c r="A3403" i="6"/>
  <c r="B3403" i="6"/>
  <c r="C3403" i="6"/>
  <c r="F3403" i="6"/>
  <c r="G3403" i="6"/>
  <c r="H3403" i="6"/>
  <c r="I3403" i="6"/>
  <c r="E3403" i="6" s="1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E3409" i="6" s="1"/>
  <c r="L3409" i="6" s="1"/>
  <c r="J3409" i="6"/>
  <c r="A3410" i="6"/>
  <c r="B3410" i="6"/>
  <c r="C3410" i="6"/>
  <c r="F3410" i="6"/>
  <c r="G3410" i="6"/>
  <c r="H3410" i="6"/>
  <c r="I3410" i="6"/>
  <c r="E3410" i="6" s="1"/>
  <c r="J3410" i="6"/>
  <c r="A3411" i="6"/>
  <c r="B3411" i="6"/>
  <c r="C3411" i="6"/>
  <c r="F3411" i="6"/>
  <c r="G3411" i="6"/>
  <c r="H3411" i="6"/>
  <c r="I3411" i="6"/>
  <c r="E3411" i="6" s="1"/>
  <c r="J3411" i="6"/>
  <c r="A3412" i="6"/>
  <c r="B3412" i="6"/>
  <c r="C3412" i="6"/>
  <c r="F3412" i="6"/>
  <c r="G3412" i="6"/>
  <c r="H3412" i="6"/>
  <c r="I3412" i="6"/>
  <c r="E3412" i="6" s="1"/>
  <c r="L3412" i="6" s="1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E3414" i="6" s="1"/>
  <c r="L3414" i="6" s="1"/>
  <c r="J3414" i="6"/>
  <c r="A3415" i="6"/>
  <c r="B3415" i="6"/>
  <c r="C3415" i="6"/>
  <c r="F3415" i="6"/>
  <c r="G3415" i="6"/>
  <c r="H3415" i="6"/>
  <c r="I3415" i="6"/>
  <c r="E3415" i="6" s="1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E3422" i="6" s="1"/>
  <c r="L3422" i="6" s="1"/>
  <c r="J3422" i="6"/>
  <c r="A3423" i="6"/>
  <c r="B3423" i="6"/>
  <c r="C3423" i="6"/>
  <c r="F3423" i="6"/>
  <c r="G3423" i="6"/>
  <c r="H3423" i="6"/>
  <c r="I3423" i="6"/>
  <c r="E3423" i="6" s="1"/>
  <c r="J3423" i="6"/>
  <c r="A3424" i="6"/>
  <c r="B3424" i="6"/>
  <c r="C3424" i="6"/>
  <c r="F3424" i="6"/>
  <c r="G3424" i="6"/>
  <c r="H3424" i="6"/>
  <c r="I3424" i="6"/>
  <c r="E3424" i="6" s="1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E3426" i="6" s="1"/>
  <c r="L3426" i="6" s="1"/>
  <c r="J3426" i="6"/>
  <c r="A3427" i="6"/>
  <c r="B3427" i="6"/>
  <c r="C3427" i="6"/>
  <c r="F3427" i="6"/>
  <c r="G3427" i="6"/>
  <c r="H3427" i="6"/>
  <c r="I3427" i="6"/>
  <c r="E3427" i="6" s="1"/>
  <c r="L3427" i="6" s="1"/>
  <c r="J3427" i="6"/>
  <c r="A3428" i="6"/>
  <c r="B3428" i="6"/>
  <c r="C3428" i="6"/>
  <c r="F3428" i="6"/>
  <c r="G3428" i="6"/>
  <c r="H3428" i="6"/>
  <c r="I3428" i="6"/>
  <c r="E3428" i="6" s="1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E3430" i="6" s="1"/>
  <c r="L3430" i="6" s="1"/>
  <c r="J3430" i="6"/>
  <c r="A3431" i="6"/>
  <c r="B3431" i="6"/>
  <c r="C3431" i="6"/>
  <c r="F3431" i="6"/>
  <c r="G3431" i="6"/>
  <c r="H3431" i="6"/>
  <c r="I3431" i="6"/>
  <c r="E3431" i="6" s="1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E3437" i="6" s="1"/>
  <c r="L3437" i="6" s="1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E3441" i="6" s="1"/>
  <c r="L3441" i="6" s="1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E3449" i="6" s="1"/>
  <c r="L3449" i="6" s="1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E3452" i="6" s="1"/>
  <c r="L3452" i="6" s="1"/>
  <c r="J3452" i="6"/>
  <c r="A3453" i="6"/>
  <c r="B3453" i="6"/>
  <c r="C3453" i="6"/>
  <c r="F3453" i="6"/>
  <c r="G3453" i="6"/>
  <c r="H3453" i="6"/>
  <c r="I3453" i="6"/>
  <c r="E3453" i="6" s="1"/>
  <c r="J3453" i="6"/>
  <c r="A3454" i="6"/>
  <c r="B3454" i="6"/>
  <c r="C3454" i="6"/>
  <c r="F3454" i="6"/>
  <c r="G3454" i="6"/>
  <c r="H3454" i="6"/>
  <c r="I3454" i="6"/>
  <c r="E3454" i="6" s="1"/>
  <c r="J3454" i="6"/>
  <c r="A3455" i="6"/>
  <c r="B3455" i="6"/>
  <c r="C3455" i="6"/>
  <c r="F3455" i="6"/>
  <c r="G3455" i="6"/>
  <c r="H3455" i="6"/>
  <c r="I3455" i="6"/>
  <c r="E3455" i="6" s="1"/>
  <c r="J3455" i="6"/>
  <c r="A3456" i="6"/>
  <c r="B3456" i="6"/>
  <c r="C3456" i="6"/>
  <c r="F3456" i="6"/>
  <c r="G3456" i="6"/>
  <c r="H3456" i="6"/>
  <c r="I3456" i="6"/>
  <c r="E3456" i="6" s="1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E3458" i="6" s="1"/>
  <c r="L3458" i="6" s="1"/>
  <c r="J3458" i="6"/>
  <c r="A3459" i="6"/>
  <c r="B3459" i="6"/>
  <c r="C3459" i="6"/>
  <c r="F3459" i="6"/>
  <c r="G3459" i="6"/>
  <c r="H3459" i="6"/>
  <c r="I3459" i="6"/>
  <c r="E3459" i="6" s="1"/>
  <c r="J3459" i="6"/>
  <c r="A3460" i="6"/>
  <c r="B3460" i="6"/>
  <c r="C3460" i="6"/>
  <c r="F3460" i="6"/>
  <c r="G3460" i="6"/>
  <c r="H3460" i="6"/>
  <c r="I3460" i="6"/>
  <c r="E3460" i="6" s="1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E3462" i="6" s="1"/>
  <c r="L3462" i="6" s="1"/>
  <c r="J3462" i="6"/>
  <c r="A3463" i="6"/>
  <c r="B3463" i="6"/>
  <c r="C3463" i="6"/>
  <c r="F3463" i="6"/>
  <c r="G3463" i="6"/>
  <c r="H3463" i="6"/>
  <c r="I3463" i="6"/>
  <c r="E3463" i="6" s="1"/>
  <c r="L3463" i="6" s="1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E3465" i="6" s="1"/>
  <c r="L3465" i="6" s="1"/>
  <c r="J3465" i="6"/>
  <c r="A3466" i="6"/>
  <c r="B3466" i="6"/>
  <c r="C3466" i="6"/>
  <c r="F3466" i="6"/>
  <c r="G3466" i="6"/>
  <c r="H3466" i="6"/>
  <c r="I3466" i="6"/>
  <c r="E3466" i="6" s="1"/>
  <c r="J3466" i="6"/>
  <c r="A3467" i="6"/>
  <c r="B3467" i="6"/>
  <c r="C3467" i="6"/>
  <c r="F3467" i="6"/>
  <c r="G3467" i="6"/>
  <c r="H3467" i="6"/>
  <c r="I3467" i="6"/>
  <c r="E3467" i="6" s="1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E3469" i="6" s="1"/>
  <c r="L3469" i="6" s="1"/>
  <c r="J3469" i="6"/>
  <c r="A3470" i="6"/>
  <c r="B3470" i="6"/>
  <c r="C3470" i="6"/>
  <c r="F3470" i="6"/>
  <c r="G3470" i="6"/>
  <c r="H3470" i="6"/>
  <c r="I3470" i="6"/>
  <c r="E3470" i="6" s="1"/>
  <c r="J3470" i="6"/>
  <c r="A3471" i="6"/>
  <c r="B3471" i="6"/>
  <c r="C3471" i="6"/>
  <c r="F3471" i="6"/>
  <c r="G3471" i="6"/>
  <c r="H3471" i="6"/>
  <c r="I3471" i="6"/>
  <c r="E3471" i="6" s="1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E3485" i="6" s="1"/>
  <c r="L3485" i="6" s="1"/>
  <c r="J3485" i="6"/>
  <c r="A3486" i="6"/>
  <c r="B3486" i="6"/>
  <c r="C3486" i="6"/>
  <c r="F3486" i="6"/>
  <c r="G3486" i="6"/>
  <c r="H3486" i="6"/>
  <c r="I3486" i="6"/>
  <c r="E3486" i="6" s="1"/>
  <c r="J3486" i="6"/>
  <c r="A3487" i="6"/>
  <c r="B3487" i="6"/>
  <c r="C3487" i="6"/>
  <c r="F3487" i="6"/>
  <c r="G3487" i="6"/>
  <c r="H3487" i="6"/>
  <c r="I3487" i="6"/>
  <c r="E3487" i="6" s="1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E3493" i="6" s="1"/>
  <c r="L3493" i="6" s="1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F3500" i="6"/>
  <c r="G3500" i="6"/>
  <c r="H3500" i="6"/>
  <c r="I3500" i="6"/>
  <c r="E3500" i="6" s="1"/>
  <c r="L3500" i="6" s="1"/>
  <c r="J3500" i="6"/>
  <c r="A3501" i="6"/>
  <c r="B3501" i="6"/>
  <c r="C3501" i="6"/>
  <c r="F3501" i="6"/>
  <c r="G3501" i="6"/>
  <c r="H3501" i="6"/>
  <c r="I3501" i="6"/>
  <c r="E3501" i="6" s="1"/>
  <c r="J3501" i="6"/>
  <c r="A3502" i="6"/>
  <c r="B3502" i="6"/>
  <c r="C3502" i="6"/>
  <c r="F3502" i="6"/>
  <c r="G3502" i="6"/>
  <c r="H3502" i="6"/>
  <c r="I3502" i="6"/>
  <c r="E3502" i="6" s="1"/>
  <c r="J3502" i="6"/>
  <c r="A3503" i="6"/>
  <c r="B3503" i="6"/>
  <c r="C3503" i="6"/>
  <c r="F3503" i="6"/>
  <c r="G3503" i="6"/>
  <c r="H3503" i="6"/>
  <c r="I3503" i="6"/>
  <c r="E3503" i="6" s="1"/>
  <c r="L3503" i="6" s="1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E3505" i="6" s="1"/>
  <c r="L3505" i="6" s="1"/>
  <c r="J3505" i="6"/>
  <c r="A3506" i="6"/>
  <c r="B3506" i="6"/>
  <c r="C3506" i="6"/>
  <c r="F3506" i="6"/>
  <c r="G3506" i="6"/>
  <c r="H3506" i="6"/>
  <c r="I3506" i="6"/>
  <c r="E3506" i="6" s="1"/>
  <c r="J3506" i="6"/>
  <c r="A3507" i="6"/>
  <c r="B3507" i="6"/>
  <c r="C3507" i="6"/>
  <c r="F3507" i="6"/>
  <c r="G3507" i="6"/>
  <c r="H3507" i="6"/>
  <c r="I3507" i="6"/>
  <c r="E3507" i="6" s="1"/>
  <c r="J3507" i="6"/>
  <c r="A3508" i="6"/>
  <c r="B3508" i="6"/>
  <c r="C3508" i="6"/>
  <c r="F3508" i="6"/>
  <c r="G3508" i="6"/>
  <c r="H3508" i="6"/>
  <c r="I3508" i="6"/>
  <c r="E3508" i="6" s="1"/>
  <c r="J3508" i="6"/>
  <c r="A3509" i="6"/>
  <c r="B3509" i="6"/>
  <c r="C3509" i="6"/>
  <c r="F3509" i="6"/>
  <c r="G3509" i="6"/>
  <c r="H3509" i="6"/>
  <c r="I3509" i="6"/>
  <c r="E3509" i="6" s="1"/>
  <c r="J3509" i="6"/>
  <c r="A3510" i="6"/>
  <c r="B3510" i="6"/>
  <c r="C3510" i="6"/>
  <c r="F3510" i="6"/>
  <c r="G3510" i="6"/>
  <c r="H3510" i="6"/>
  <c r="I3510" i="6"/>
  <c r="E3510" i="6" s="1"/>
  <c r="J3510" i="6"/>
  <c r="A3511" i="6"/>
  <c r="B3511" i="6"/>
  <c r="C3511" i="6"/>
  <c r="F3511" i="6"/>
  <c r="G3511" i="6"/>
  <c r="H3511" i="6"/>
  <c r="I3511" i="6"/>
  <c r="E3511" i="6" s="1"/>
  <c r="J3511" i="6"/>
  <c r="A3512" i="6"/>
  <c r="B3512" i="6"/>
  <c r="C3512" i="6"/>
  <c r="F3512" i="6"/>
  <c r="G3512" i="6"/>
  <c r="H3512" i="6"/>
  <c r="I3512" i="6"/>
  <c r="E3512" i="6" s="1"/>
  <c r="J3512" i="6"/>
  <c r="A3513" i="6"/>
  <c r="B3513" i="6"/>
  <c r="C3513" i="6"/>
  <c r="F3513" i="6"/>
  <c r="G3513" i="6"/>
  <c r="H3513" i="6"/>
  <c r="I3513" i="6"/>
  <c r="E3513" i="6" s="1"/>
  <c r="J3513" i="6"/>
  <c r="A3514" i="6"/>
  <c r="B3514" i="6"/>
  <c r="C3514" i="6"/>
  <c r="F3514" i="6"/>
  <c r="G3514" i="6"/>
  <c r="H3514" i="6"/>
  <c r="I3514" i="6"/>
  <c r="E3514" i="6" s="1"/>
  <c r="J3514" i="6"/>
  <c r="A3515" i="6"/>
  <c r="B3515" i="6"/>
  <c r="C3515" i="6"/>
  <c r="F3515" i="6"/>
  <c r="G3515" i="6"/>
  <c r="H3515" i="6"/>
  <c r="I3515" i="6"/>
  <c r="E3515" i="6" s="1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E3517" i="6" s="1"/>
  <c r="L3517" i="6" s="1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E3520" i="6" s="1"/>
  <c r="L3520" i="6" s="1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E3522" i="6" s="1"/>
  <c r="L3522" i="6" s="1"/>
  <c r="J3522" i="6"/>
  <c r="A3523" i="6"/>
  <c r="B3523" i="6"/>
  <c r="C3523" i="6"/>
  <c r="F3523" i="6"/>
  <c r="G3523" i="6"/>
  <c r="H3523" i="6"/>
  <c r="I3523" i="6"/>
  <c r="E3523" i="6" s="1"/>
  <c r="J3523" i="6"/>
  <c r="A3524" i="6"/>
  <c r="B3524" i="6"/>
  <c r="C3524" i="6"/>
  <c r="F3524" i="6"/>
  <c r="G3524" i="6"/>
  <c r="H3524" i="6"/>
  <c r="I3524" i="6"/>
  <c r="E3524" i="6" s="1"/>
  <c r="J3524" i="6"/>
  <c r="A3525" i="6"/>
  <c r="B3525" i="6"/>
  <c r="C3525" i="6"/>
  <c r="F3525" i="6"/>
  <c r="G3525" i="6"/>
  <c r="H3525" i="6"/>
  <c r="I3525" i="6"/>
  <c r="E3525" i="6" s="1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E3534" i="6" s="1"/>
  <c r="L3534" i="6" s="1"/>
  <c r="J3534" i="6"/>
  <c r="A3535" i="6"/>
  <c r="B3535" i="6"/>
  <c r="C3535" i="6"/>
  <c r="F3535" i="6"/>
  <c r="G3535" i="6"/>
  <c r="H3535" i="6"/>
  <c r="I3535" i="6"/>
  <c r="E3535" i="6" s="1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E3540" i="6" s="1"/>
  <c r="L3540" i="6" s="1"/>
  <c r="J3540" i="6"/>
  <c r="A3541" i="6"/>
  <c r="B3541" i="6"/>
  <c r="C3541" i="6"/>
  <c r="F3541" i="6"/>
  <c r="G3541" i="6"/>
  <c r="H3541" i="6"/>
  <c r="I3541" i="6"/>
  <c r="E3541" i="6" s="1"/>
  <c r="J3541" i="6"/>
  <c r="A3542" i="6"/>
  <c r="B3542" i="6"/>
  <c r="C3542" i="6"/>
  <c r="F3542" i="6"/>
  <c r="G3542" i="6"/>
  <c r="H3542" i="6"/>
  <c r="I3542" i="6"/>
  <c r="E3542" i="6" s="1"/>
  <c r="J3542" i="6"/>
  <c r="A3543" i="6"/>
  <c r="B3543" i="6"/>
  <c r="C3543" i="6"/>
  <c r="F3543" i="6"/>
  <c r="G3543" i="6"/>
  <c r="H3543" i="6"/>
  <c r="I3543" i="6"/>
  <c r="E3543" i="6" s="1"/>
  <c r="L3543" i="6" s="1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E3552" i="6" s="1"/>
  <c r="L3552" i="6" s="1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E3556" i="6" s="1"/>
  <c r="L3556" i="6" s="1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E3560" i="6" s="1"/>
  <c r="L3560" i="6" s="1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E3564" i="6" s="1"/>
  <c r="L3564" i="6" s="1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E3568" i="6" s="1"/>
  <c r="L3568" i="6" s="1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E3572" i="6" s="1"/>
  <c r="L3572" i="6" s="1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E3576" i="6" s="1"/>
  <c r="L3576" i="6" s="1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E3580" i="6" s="1"/>
  <c r="L3580" i="6" s="1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E3584" i="6" s="1"/>
  <c r="L3584" i="6" s="1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E3588" i="6" s="1"/>
  <c r="L3588" i="6" s="1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F3592" i="6"/>
  <c r="G3592" i="6"/>
  <c r="H3592" i="6"/>
  <c r="I3592" i="6"/>
  <c r="E3592" i="6" s="1"/>
  <c r="L3592" i="6" s="1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E3596" i="6" s="1"/>
  <c r="L3596" i="6" s="1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E3600" i="6" s="1"/>
  <c r="L3600" i="6" s="1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E3608" i="6" s="1"/>
  <c r="L3608" i="6" s="1"/>
  <c r="J3608" i="6"/>
  <c r="A3609" i="6"/>
  <c r="B3609" i="6"/>
  <c r="C3609" i="6"/>
  <c r="F3609" i="6"/>
  <c r="G3609" i="6"/>
  <c r="H3609" i="6"/>
  <c r="I3609" i="6"/>
  <c r="E3609" i="6" s="1"/>
  <c r="J3609" i="6"/>
  <c r="A3610" i="6"/>
  <c r="B3610" i="6"/>
  <c r="C3610" i="6"/>
  <c r="F3610" i="6"/>
  <c r="G3610" i="6"/>
  <c r="H3610" i="6"/>
  <c r="I3610" i="6"/>
  <c r="E3610" i="6" s="1"/>
  <c r="J3610" i="6"/>
  <c r="A3611" i="6"/>
  <c r="B3611" i="6"/>
  <c r="C3611" i="6"/>
  <c r="F3611" i="6"/>
  <c r="G3611" i="6"/>
  <c r="H3611" i="6"/>
  <c r="I3611" i="6"/>
  <c r="E3611" i="6" s="1"/>
  <c r="L3611" i="6" s="1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E3620" i="6" s="1"/>
  <c r="L3620" i="6" s="1"/>
  <c r="J3620" i="6"/>
  <c r="A3621" i="6"/>
  <c r="B3621" i="6"/>
  <c r="C3621" i="6"/>
  <c r="F3621" i="6"/>
  <c r="G3621" i="6"/>
  <c r="H3621" i="6"/>
  <c r="I3621" i="6"/>
  <c r="E3621" i="6" s="1"/>
  <c r="J3621" i="6"/>
  <c r="A3622" i="6"/>
  <c r="B3622" i="6"/>
  <c r="C3622" i="6"/>
  <c r="F3622" i="6"/>
  <c r="G3622" i="6"/>
  <c r="H3622" i="6"/>
  <c r="I3622" i="6"/>
  <c r="E3622" i="6" s="1"/>
  <c r="J3622" i="6"/>
  <c r="A3623" i="6"/>
  <c r="B3623" i="6"/>
  <c r="C3623" i="6"/>
  <c r="F3623" i="6"/>
  <c r="G3623" i="6"/>
  <c r="H3623" i="6"/>
  <c r="I3623" i="6"/>
  <c r="E3623" i="6" s="1"/>
  <c r="L3623" i="6" s="1"/>
  <c r="J3623" i="6"/>
  <c r="A3624" i="6"/>
  <c r="B3624" i="6"/>
  <c r="C3624" i="6"/>
  <c r="F3624" i="6"/>
  <c r="G3624" i="6"/>
  <c r="H3624" i="6"/>
  <c r="I3624" i="6"/>
  <c r="E3624" i="6" s="1"/>
  <c r="J3624" i="6"/>
  <c r="A3625" i="6"/>
  <c r="B3625" i="6"/>
  <c r="C3625" i="6"/>
  <c r="F3625" i="6"/>
  <c r="G3625" i="6"/>
  <c r="H3625" i="6"/>
  <c r="I3625" i="6"/>
  <c r="E3625" i="6" s="1"/>
  <c r="J3625" i="6"/>
  <c r="A3626" i="6"/>
  <c r="B3626" i="6"/>
  <c r="C3626" i="6"/>
  <c r="F3626" i="6"/>
  <c r="G3626" i="6"/>
  <c r="H3626" i="6"/>
  <c r="I3626" i="6"/>
  <c r="E3626" i="6" s="1"/>
  <c r="J3626" i="6"/>
  <c r="A3627" i="6"/>
  <c r="B3627" i="6"/>
  <c r="C3627" i="6"/>
  <c r="F3627" i="6"/>
  <c r="G3627" i="6"/>
  <c r="H3627" i="6"/>
  <c r="I3627" i="6"/>
  <c r="E3627" i="6" s="1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E3632" i="6" s="1"/>
  <c r="L3632" i="6" s="1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K3637" i="6" s="1"/>
  <c r="C3637" i="6"/>
  <c r="F3637" i="6"/>
  <c r="G3637" i="6"/>
  <c r="H3637" i="6"/>
  <c r="I3637" i="6"/>
  <c r="E3637" i="6" s="1"/>
  <c r="L3637" i="6" s="1"/>
  <c r="J3637" i="6"/>
  <c r="A3638" i="6"/>
  <c r="B3638" i="6"/>
  <c r="C3638" i="6"/>
  <c r="F3638" i="6"/>
  <c r="G3638" i="6"/>
  <c r="H3638" i="6"/>
  <c r="I3638" i="6"/>
  <c r="E3638" i="6" s="1"/>
  <c r="J3638" i="6"/>
  <c r="A3639" i="6"/>
  <c r="B3639" i="6"/>
  <c r="C3639" i="6"/>
  <c r="F3639" i="6"/>
  <c r="G3639" i="6"/>
  <c r="H3639" i="6"/>
  <c r="I3639" i="6"/>
  <c r="E3639" i="6" s="1"/>
  <c r="L3639" i="6" s="1"/>
  <c r="J3639" i="6"/>
  <c r="A3640" i="6"/>
  <c r="B3640" i="6"/>
  <c r="C3640" i="6"/>
  <c r="F3640" i="6"/>
  <c r="G3640" i="6"/>
  <c r="H3640" i="6"/>
  <c r="I3640" i="6"/>
  <c r="E3640" i="6" s="1"/>
  <c r="J3640" i="6"/>
  <c r="A3641" i="6"/>
  <c r="B3641" i="6"/>
  <c r="C3641" i="6"/>
  <c r="F3641" i="6"/>
  <c r="G3641" i="6"/>
  <c r="H3641" i="6"/>
  <c r="I3641" i="6"/>
  <c r="E3641" i="6" s="1"/>
  <c r="J3641" i="6"/>
  <c r="A3642" i="6"/>
  <c r="B3642" i="6"/>
  <c r="C3642" i="6"/>
  <c r="F3642" i="6"/>
  <c r="G3642" i="6"/>
  <c r="H3642" i="6"/>
  <c r="I3642" i="6"/>
  <c r="E3642" i="6" s="1"/>
  <c r="J3642" i="6"/>
  <c r="A3643" i="6"/>
  <c r="B3643" i="6"/>
  <c r="C3643" i="6"/>
  <c r="F3643" i="6"/>
  <c r="G3643" i="6"/>
  <c r="H3643" i="6"/>
  <c r="I3643" i="6"/>
  <c r="E3643" i="6" s="1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E3648" i="6" s="1"/>
  <c r="L3648" i="6" s="1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E3653" i="6" s="1"/>
  <c r="L3653" i="6" s="1"/>
  <c r="J3653" i="6"/>
  <c r="A3654" i="6"/>
  <c r="B3654" i="6"/>
  <c r="C3654" i="6"/>
  <c r="F3654" i="6"/>
  <c r="G3654" i="6"/>
  <c r="H3654" i="6"/>
  <c r="I3654" i="6"/>
  <c r="E3654" i="6" s="1"/>
  <c r="J3654" i="6"/>
  <c r="A3655" i="6"/>
  <c r="B3655" i="6"/>
  <c r="C3655" i="6"/>
  <c r="F3655" i="6"/>
  <c r="G3655" i="6"/>
  <c r="H3655" i="6"/>
  <c r="I3655" i="6"/>
  <c r="E3655" i="6" s="1"/>
  <c r="L3655" i="6" s="1"/>
  <c r="J3655" i="6"/>
  <c r="A3656" i="6"/>
  <c r="B3656" i="6"/>
  <c r="C3656" i="6"/>
  <c r="F3656" i="6"/>
  <c r="G3656" i="6"/>
  <c r="H3656" i="6"/>
  <c r="I3656" i="6"/>
  <c r="E3656" i="6" s="1"/>
  <c r="J3656" i="6"/>
  <c r="A3657" i="6"/>
  <c r="B3657" i="6"/>
  <c r="C3657" i="6"/>
  <c r="F3657" i="6"/>
  <c r="G3657" i="6"/>
  <c r="H3657" i="6"/>
  <c r="I3657" i="6"/>
  <c r="E3657" i="6" s="1"/>
  <c r="J3657" i="6"/>
  <c r="A3658" i="6"/>
  <c r="B3658" i="6"/>
  <c r="C3658" i="6"/>
  <c r="F3658" i="6"/>
  <c r="G3658" i="6"/>
  <c r="H3658" i="6"/>
  <c r="I3658" i="6"/>
  <c r="E3658" i="6" s="1"/>
  <c r="J3658" i="6"/>
  <c r="A3659" i="6"/>
  <c r="B3659" i="6"/>
  <c r="C3659" i="6"/>
  <c r="F3659" i="6"/>
  <c r="G3659" i="6"/>
  <c r="H3659" i="6"/>
  <c r="I3659" i="6"/>
  <c r="E3659" i="6" s="1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E3664" i="6" s="1"/>
  <c r="L3664" i="6" s="1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F3668" i="6"/>
  <c r="G3668" i="6"/>
  <c r="H3668" i="6"/>
  <c r="I3668" i="6"/>
  <c r="E3668" i="6" s="1"/>
  <c r="L3668" i="6" s="1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E3672" i="6" s="1"/>
  <c r="L3672" i="6" s="1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F3684" i="6"/>
  <c r="G3684" i="6"/>
  <c r="H3684" i="6"/>
  <c r="I3684" i="6"/>
  <c r="E3684" i="6" s="1"/>
  <c r="L3684" i="6" s="1"/>
  <c r="J3684" i="6"/>
  <c r="A3685" i="6"/>
  <c r="B3685" i="6"/>
  <c r="C3685" i="6"/>
  <c r="F3685" i="6"/>
  <c r="G3685" i="6"/>
  <c r="H3685" i="6"/>
  <c r="I3685" i="6"/>
  <c r="E3685" i="6" s="1"/>
  <c r="J3685" i="6"/>
  <c r="A3686" i="6"/>
  <c r="B3686" i="6"/>
  <c r="C3686" i="6"/>
  <c r="F3686" i="6"/>
  <c r="G3686" i="6"/>
  <c r="H3686" i="6"/>
  <c r="I3686" i="6"/>
  <c r="E3686" i="6" s="1"/>
  <c r="J3686" i="6"/>
  <c r="A3687" i="6"/>
  <c r="B3687" i="6"/>
  <c r="C3687" i="6"/>
  <c r="F3687" i="6"/>
  <c r="G3687" i="6"/>
  <c r="H3687" i="6"/>
  <c r="I3687" i="6"/>
  <c r="E3687" i="6" s="1"/>
  <c r="J3687" i="6"/>
  <c r="A3688" i="6"/>
  <c r="B3688" i="6"/>
  <c r="C3688" i="6"/>
  <c r="F3688" i="6"/>
  <c r="G3688" i="6"/>
  <c r="H3688" i="6"/>
  <c r="I3688" i="6"/>
  <c r="E3688" i="6" s="1"/>
  <c r="J3688" i="6"/>
  <c r="A3689" i="6"/>
  <c r="B3689" i="6"/>
  <c r="C3689" i="6"/>
  <c r="F3689" i="6"/>
  <c r="G3689" i="6"/>
  <c r="H3689" i="6"/>
  <c r="I3689" i="6"/>
  <c r="E3689" i="6" s="1"/>
  <c r="J3689" i="6"/>
  <c r="A3690" i="6"/>
  <c r="B3690" i="6"/>
  <c r="C3690" i="6"/>
  <c r="F3690" i="6"/>
  <c r="G3690" i="6"/>
  <c r="H3690" i="6"/>
  <c r="I3690" i="6"/>
  <c r="E3690" i="6" s="1"/>
  <c r="J3690" i="6"/>
  <c r="A3691" i="6"/>
  <c r="B3691" i="6"/>
  <c r="C3691" i="6"/>
  <c r="F3691" i="6"/>
  <c r="G3691" i="6"/>
  <c r="H3691" i="6"/>
  <c r="I3691" i="6"/>
  <c r="E3691" i="6" s="1"/>
  <c r="L3691" i="6" s="1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E3696" i="6" s="1"/>
  <c r="L3696" i="6" s="1"/>
  <c r="J3696" i="6"/>
  <c r="A3697" i="6"/>
  <c r="B3697" i="6"/>
  <c r="C3697" i="6"/>
  <c r="F3697" i="6"/>
  <c r="G3697" i="6"/>
  <c r="H3697" i="6"/>
  <c r="I3697" i="6"/>
  <c r="E3697" i="6" s="1"/>
  <c r="J3697" i="6"/>
  <c r="A3698" i="6"/>
  <c r="B3698" i="6"/>
  <c r="C3698" i="6"/>
  <c r="F3698" i="6"/>
  <c r="G3698" i="6"/>
  <c r="H3698" i="6"/>
  <c r="I3698" i="6"/>
  <c r="E3698" i="6" s="1"/>
  <c r="J3698" i="6"/>
  <c r="A3699" i="6"/>
  <c r="B3699" i="6"/>
  <c r="C3699" i="6"/>
  <c r="F3699" i="6"/>
  <c r="G3699" i="6"/>
  <c r="H3699" i="6"/>
  <c r="I3699" i="6"/>
  <c r="E3699" i="6" s="1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E3720" i="6" s="1"/>
  <c r="L3720" i="6" s="1"/>
  <c r="J3720" i="6"/>
  <c r="A3721" i="6"/>
  <c r="B3721" i="6"/>
  <c r="C3721" i="6"/>
  <c r="F3721" i="6"/>
  <c r="G3721" i="6"/>
  <c r="H3721" i="6"/>
  <c r="I3721" i="6"/>
  <c r="E3721" i="6" s="1"/>
  <c r="J3721" i="6"/>
  <c r="A3722" i="6"/>
  <c r="B3722" i="6"/>
  <c r="C3722" i="6"/>
  <c r="F3722" i="6"/>
  <c r="G3722" i="6"/>
  <c r="H3722" i="6"/>
  <c r="I3722" i="6"/>
  <c r="E3722" i="6" s="1"/>
  <c r="J3722" i="6"/>
  <c r="A3723" i="6"/>
  <c r="B3723" i="6"/>
  <c r="C3723" i="6"/>
  <c r="F3723" i="6"/>
  <c r="G3723" i="6"/>
  <c r="H3723" i="6"/>
  <c r="I3723" i="6"/>
  <c r="E3723" i="6" s="1"/>
  <c r="L3723" i="6" s="1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E3733" i="6" s="1"/>
  <c r="L3733" i="6" s="1"/>
  <c r="J3733" i="6"/>
  <c r="A3734" i="6"/>
  <c r="B3734" i="6"/>
  <c r="C3734" i="6"/>
  <c r="F3734" i="6"/>
  <c r="G3734" i="6"/>
  <c r="H3734" i="6"/>
  <c r="I3734" i="6"/>
  <c r="E3734" i="6" s="1"/>
  <c r="J3734" i="6"/>
  <c r="A3735" i="6"/>
  <c r="B3735" i="6"/>
  <c r="C3735" i="6"/>
  <c r="F3735" i="6"/>
  <c r="G3735" i="6"/>
  <c r="H3735" i="6"/>
  <c r="I3735" i="6"/>
  <c r="E3735" i="6" s="1"/>
  <c r="L3735" i="6" s="1"/>
  <c r="J3735" i="6"/>
  <c r="A3736" i="6"/>
  <c r="B3736" i="6"/>
  <c r="C3736" i="6"/>
  <c r="F3736" i="6"/>
  <c r="G3736" i="6"/>
  <c r="H3736" i="6"/>
  <c r="I3736" i="6"/>
  <c r="E3736" i="6" s="1"/>
  <c r="J3736" i="6"/>
  <c r="A3737" i="6"/>
  <c r="B3737" i="6"/>
  <c r="C3737" i="6"/>
  <c r="F3737" i="6"/>
  <c r="G3737" i="6"/>
  <c r="H3737" i="6"/>
  <c r="I3737" i="6"/>
  <c r="E3737" i="6" s="1"/>
  <c r="J3737" i="6"/>
  <c r="A3738" i="6"/>
  <c r="B3738" i="6"/>
  <c r="C3738" i="6"/>
  <c r="F3738" i="6"/>
  <c r="G3738" i="6"/>
  <c r="H3738" i="6"/>
  <c r="I3738" i="6"/>
  <c r="E3738" i="6" s="1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E3850" i="6" s="1"/>
  <c r="L3850" i="6" s="1"/>
  <c r="J3850" i="6"/>
  <c r="A3851" i="6"/>
  <c r="B3851" i="6"/>
  <c r="C3851" i="6"/>
  <c r="F3851" i="6"/>
  <c r="G3851" i="6"/>
  <c r="H3851" i="6"/>
  <c r="I3851" i="6"/>
  <c r="E3851" i="6" s="1"/>
  <c r="L3851" i="6" s="1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F3856" i="6"/>
  <c r="G3856" i="6"/>
  <c r="H3856" i="6"/>
  <c r="I3856" i="6"/>
  <c r="E3856" i="6" s="1"/>
  <c r="L3856" i="6" s="1"/>
  <c r="J3856" i="6"/>
  <c r="A3857" i="6"/>
  <c r="B3857" i="6"/>
  <c r="C3857" i="6"/>
  <c r="F3857" i="6"/>
  <c r="G3857" i="6"/>
  <c r="H3857" i="6"/>
  <c r="I3857" i="6"/>
  <c r="E3857" i="6" s="1"/>
  <c r="J3857" i="6"/>
  <c r="A3858" i="6"/>
  <c r="B3858" i="6"/>
  <c r="C3858" i="6"/>
  <c r="F3858" i="6"/>
  <c r="G3858" i="6"/>
  <c r="H3858" i="6"/>
  <c r="I3858" i="6"/>
  <c r="E3858" i="6" s="1"/>
  <c r="J3858" i="6"/>
  <c r="A3859" i="6"/>
  <c r="B3859" i="6"/>
  <c r="C3859" i="6"/>
  <c r="F3859" i="6"/>
  <c r="G3859" i="6"/>
  <c r="H3859" i="6"/>
  <c r="I3859" i="6"/>
  <c r="E3859" i="6" s="1"/>
  <c r="J3859" i="6"/>
  <c r="A3860" i="6"/>
  <c r="B3860" i="6"/>
  <c r="C3860" i="6"/>
  <c r="F3860" i="6"/>
  <c r="G3860" i="6"/>
  <c r="H3860" i="6"/>
  <c r="I3860" i="6"/>
  <c r="E3860" i="6" s="1"/>
  <c r="J3860" i="6"/>
  <c r="A3861" i="6"/>
  <c r="B3861" i="6"/>
  <c r="C3861" i="6"/>
  <c r="F3861" i="6"/>
  <c r="G3861" i="6"/>
  <c r="H3861" i="6"/>
  <c r="I3861" i="6"/>
  <c r="E3861" i="6" s="1"/>
  <c r="J3861" i="6"/>
  <c r="A3862" i="6"/>
  <c r="B3862" i="6"/>
  <c r="C3862" i="6"/>
  <c r="F3862" i="6"/>
  <c r="G3862" i="6"/>
  <c r="H3862" i="6"/>
  <c r="I3862" i="6"/>
  <c r="E3862" i="6" s="1"/>
  <c r="J3862" i="6"/>
  <c r="A3863" i="6"/>
  <c r="B3863" i="6"/>
  <c r="C3863" i="6"/>
  <c r="F3863" i="6"/>
  <c r="G3863" i="6"/>
  <c r="H3863" i="6"/>
  <c r="I3863" i="6"/>
  <c r="E3863" i="6" s="1"/>
  <c r="J3863" i="6"/>
  <c r="A3864" i="6"/>
  <c r="B3864" i="6"/>
  <c r="C3864" i="6"/>
  <c r="F3864" i="6"/>
  <c r="G3864" i="6"/>
  <c r="H3864" i="6"/>
  <c r="I3864" i="6"/>
  <c r="E3864" i="6" s="1"/>
  <c r="J3864" i="6"/>
  <c r="A3865" i="6"/>
  <c r="B3865" i="6"/>
  <c r="C3865" i="6"/>
  <c r="F3865" i="6"/>
  <c r="G3865" i="6"/>
  <c r="H3865" i="6"/>
  <c r="I3865" i="6"/>
  <c r="E3865" i="6" s="1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E3868" i="6" s="1"/>
  <c r="L3868" i="6" s="1"/>
  <c r="J3868" i="6"/>
  <c r="A3869" i="6"/>
  <c r="B3869" i="6"/>
  <c r="C3869" i="6"/>
  <c r="F3869" i="6"/>
  <c r="G3869" i="6"/>
  <c r="H3869" i="6"/>
  <c r="I3869" i="6"/>
  <c r="E3869" i="6" s="1"/>
  <c r="J3869" i="6"/>
  <c r="A3870" i="6"/>
  <c r="B3870" i="6"/>
  <c r="C3870" i="6"/>
  <c r="F3870" i="6"/>
  <c r="G3870" i="6"/>
  <c r="H3870" i="6"/>
  <c r="I3870" i="6"/>
  <c r="E3870" i="6" s="1"/>
  <c r="J3870" i="6"/>
  <c r="A3871" i="6"/>
  <c r="B3871" i="6"/>
  <c r="C3871" i="6"/>
  <c r="F3871" i="6"/>
  <c r="G3871" i="6"/>
  <c r="H3871" i="6"/>
  <c r="I3871" i="6"/>
  <c r="E3871" i="6" s="1"/>
  <c r="J3871" i="6"/>
  <c r="A3872" i="6"/>
  <c r="B3872" i="6"/>
  <c r="C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F3884" i="6"/>
  <c r="G3884" i="6"/>
  <c r="H3884" i="6"/>
  <c r="I3884" i="6"/>
  <c r="E3884" i="6" s="1"/>
  <c r="L3884" i="6" s="1"/>
  <c r="J3884" i="6"/>
  <c r="A3885" i="6"/>
  <c r="B3885" i="6"/>
  <c r="C3885" i="6"/>
  <c r="F3885" i="6"/>
  <c r="G3885" i="6"/>
  <c r="H3885" i="6"/>
  <c r="I3885" i="6"/>
  <c r="E3885" i="6" s="1"/>
  <c r="J3885" i="6"/>
  <c r="A3886" i="6"/>
  <c r="B3886" i="6"/>
  <c r="C3886" i="6"/>
  <c r="F3886" i="6"/>
  <c r="G3886" i="6"/>
  <c r="H3886" i="6"/>
  <c r="I3886" i="6"/>
  <c r="E3886" i="6" s="1"/>
  <c r="J3886" i="6"/>
  <c r="A3887" i="6"/>
  <c r="B3887" i="6"/>
  <c r="C3887" i="6"/>
  <c r="F3887" i="6"/>
  <c r="G3887" i="6"/>
  <c r="H3887" i="6"/>
  <c r="I3887" i="6"/>
  <c r="E3887" i="6" s="1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F3890" i="6"/>
  <c r="G3890" i="6"/>
  <c r="H3890" i="6"/>
  <c r="I3890" i="6"/>
  <c r="E3890" i="6" s="1"/>
  <c r="L3890" i="6" s="1"/>
  <c r="J3890" i="6"/>
  <c r="A3891" i="6"/>
  <c r="B3891" i="6"/>
  <c r="C3891" i="6"/>
  <c r="F3891" i="6"/>
  <c r="G3891" i="6"/>
  <c r="H3891" i="6"/>
  <c r="I3891" i="6"/>
  <c r="E3891" i="6" s="1"/>
  <c r="J3891" i="6"/>
  <c r="A3892" i="6"/>
  <c r="B3892" i="6"/>
  <c r="C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F3894" i="6"/>
  <c r="G3894" i="6"/>
  <c r="H3894" i="6"/>
  <c r="I3894" i="6"/>
  <c r="E3894" i="6" s="1"/>
  <c r="L3894" i="6" s="1"/>
  <c r="J3894" i="6"/>
  <c r="A3895" i="6"/>
  <c r="B3895" i="6"/>
  <c r="C3895" i="6"/>
  <c r="F3895" i="6"/>
  <c r="G3895" i="6"/>
  <c r="H3895" i="6"/>
  <c r="I3895" i="6"/>
  <c r="E3895" i="6" s="1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E3900" i="6" s="1"/>
  <c r="L3900" i="6" s="1"/>
  <c r="J3900" i="6"/>
  <c r="A3901" i="6"/>
  <c r="B3901" i="6"/>
  <c r="C3901" i="6"/>
  <c r="F3901" i="6"/>
  <c r="G3901" i="6"/>
  <c r="H3901" i="6"/>
  <c r="I3901" i="6"/>
  <c r="E3901" i="6" s="1"/>
  <c r="J3901" i="6"/>
  <c r="A3902" i="6"/>
  <c r="B3902" i="6"/>
  <c r="C3902" i="6"/>
  <c r="F3902" i="6"/>
  <c r="G3902" i="6"/>
  <c r="H3902" i="6"/>
  <c r="I3902" i="6"/>
  <c r="E3902" i="6" s="1"/>
  <c r="J3902" i="6"/>
  <c r="A3903" i="6"/>
  <c r="B3903" i="6"/>
  <c r="C3903" i="6"/>
  <c r="F3903" i="6"/>
  <c r="G3903" i="6"/>
  <c r="H3903" i="6"/>
  <c r="I3903" i="6"/>
  <c r="E3903" i="6" s="1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F3906" i="6"/>
  <c r="G3906" i="6"/>
  <c r="H3906" i="6"/>
  <c r="I3906" i="6"/>
  <c r="E3906" i="6" s="1"/>
  <c r="L3906" i="6" s="1"/>
  <c r="J3906" i="6"/>
  <c r="A3907" i="6"/>
  <c r="B3907" i="6"/>
  <c r="C3907" i="6"/>
  <c r="F3907" i="6"/>
  <c r="G3907" i="6"/>
  <c r="H3907" i="6"/>
  <c r="I3907" i="6"/>
  <c r="E3907" i="6" s="1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F3910" i="6"/>
  <c r="G3910" i="6"/>
  <c r="H3910" i="6"/>
  <c r="I3910" i="6"/>
  <c r="E3910" i="6" s="1"/>
  <c r="L3910" i="6" s="1"/>
  <c r="J3910" i="6"/>
  <c r="A3911" i="6"/>
  <c r="B3911" i="6"/>
  <c r="C3911" i="6"/>
  <c r="F3911" i="6"/>
  <c r="G3911" i="6"/>
  <c r="H3911" i="6"/>
  <c r="I3911" i="6"/>
  <c r="E3911" i="6" s="1"/>
  <c r="J3911" i="6"/>
  <c r="A3912" i="6"/>
  <c r="B3912" i="6"/>
  <c r="C3912" i="6"/>
  <c r="F3912" i="6"/>
  <c r="G3912" i="6"/>
  <c r="H3912" i="6"/>
  <c r="I3912" i="6"/>
  <c r="E3912" i="6" s="1"/>
  <c r="J3912" i="6"/>
  <c r="A3913" i="6"/>
  <c r="B3913" i="6"/>
  <c r="C3913" i="6"/>
  <c r="F3913" i="6"/>
  <c r="G3913" i="6"/>
  <c r="H3913" i="6"/>
  <c r="I3913" i="6"/>
  <c r="E3913" i="6" s="1"/>
  <c r="J3913" i="6"/>
  <c r="A3914" i="6"/>
  <c r="B3914" i="6"/>
  <c r="C3914" i="6"/>
  <c r="F3914" i="6"/>
  <c r="G3914" i="6"/>
  <c r="H3914" i="6"/>
  <c r="I3914" i="6"/>
  <c r="E3914" i="6" s="1"/>
  <c r="J3914" i="6"/>
  <c r="A3915" i="6"/>
  <c r="B3915" i="6"/>
  <c r="C3915" i="6"/>
  <c r="F3915" i="6"/>
  <c r="G3915" i="6"/>
  <c r="H3915" i="6"/>
  <c r="I3915" i="6"/>
  <c r="E3915" i="6" s="1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E3918" i="6" s="1"/>
  <c r="L3918" i="6" s="1"/>
  <c r="J3918" i="6"/>
  <c r="A3919" i="6"/>
  <c r="B3919" i="6"/>
  <c r="C3919" i="6"/>
  <c r="F3919" i="6"/>
  <c r="G3919" i="6"/>
  <c r="H3919" i="6"/>
  <c r="I3919" i="6"/>
  <c r="E3919" i="6" s="1"/>
  <c r="L3919" i="6" s="1"/>
  <c r="J3919" i="6"/>
  <c r="A3920" i="6"/>
  <c r="B3920" i="6"/>
  <c r="C3920" i="6"/>
  <c r="F3920" i="6"/>
  <c r="G3920" i="6"/>
  <c r="H3920" i="6"/>
  <c r="I3920" i="6"/>
  <c r="E3920" i="6" s="1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F3922" i="6"/>
  <c r="G3922" i="6"/>
  <c r="H3922" i="6"/>
  <c r="I3922" i="6"/>
  <c r="E3922" i="6" s="1"/>
  <c r="L3922" i="6" s="1"/>
  <c r="J3922" i="6"/>
  <c r="A3923" i="6"/>
  <c r="B3923" i="6"/>
  <c r="C3923" i="6"/>
  <c r="F3923" i="6"/>
  <c r="G3923" i="6"/>
  <c r="H3923" i="6"/>
  <c r="I3923" i="6"/>
  <c r="E3923" i="6" s="1"/>
  <c r="L3923" i="6" s="1"/>
  <c r="J3923" i="6"/>
  <c r="A3924" i="6"/>
  <c r="B3924" i="6"/>
  <c r="C3924" i="6"/>
  <c r="F3924" i="6"/>
  <c r="G3924" i="6"/>
  <c r="H3924" i="6"/>
  <c r="I3924" i="6"/>
  <c r="E3924" i="6" s="1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F3933" i="6"/>
  <c r="G3933" i="6"/>
  <c r="H3933" i="6"/>
  <c r="I3933" i="6"/>
  <c r="E3933" i="6" s="1"/>
  <c r="L3933" i="6" s="1"/>
  <c r="J3933" i="6"/>
  <c r="A3934" i="6"/>
  <c r="B3934" i="6"/>
  <c r="C3934" i="6"/>
  <c r="F3934" i="6"/>
  <c r="G3934" i="6"/>
  <c r="H3934" i="6"/>
  <c r="I3934" i="6"/>
  <c r="E3934" i="6" s="1"/>
  <c r="J3934" i="6"/>
  <c r="A3935" i="6"/>
  <c r="B3935" i="6"/>
  <c r="C3935" i="6"/>
  <c r="F3935" i="6"/>
  <c r="G3935" i="6"/>
  <c r="H3935" i="6"/>
  <c r="I3935" i="6"/>
  <c r="E3935" i="6" s="1"/>
  <c r="L3935" i="6" s="1"/>
  <c r="J3935" i="6"/>
  <c r="A3936" i="6"/>
  <c r="B3936" i="6"/>
  <c r="C3936" i="6"/>
  <c r="F3936" i="6"/>
  <c r="G3936" i="6"/>
  <c r="H3936" i="6"/>
  <c r="I3936" i="6"/>
  <c r="E3936" i="6" s="1"/>
  <c r="J3936" i="6"/>
  <c r="A3937" i="6"/>
  <c r="B3937" i="6"/>
  <c r="C3937" i="6"/>
  <c r="F3937" i="6"/>
  <c r="G3937" i="6"/>
  <c r="H3937" i="6"/>
  <c r="I3937" i="6"/>
  <c r="E3937" i="6" s="1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E3941" i="6" s="1"/>
  <c r="L3941" i="6" s="1"/>
  <c r="J3941" i="6"/>
  <c r="A3942" i="6"/>
  <c r="B3942" i="6"/>
  <c r="C3942" i="6"/>
  <c r="F3942" i="6"/>
  <c r="G3942" i="6"/>
  <c r="H3942" i="6"/>
  <c r="I3942" i="6"/>
  <c r="E3942" i="6" s="1"/>
  <c r="J3942" i="6"/>
  <c r="A3943" i="6"/>
  <c r="B3943" i="6"/>
  <c r="C3943" i="6"/>
  <c r="F3943" i="6"/>
  <c r="G3943" i="6"/>
  <c r="H3943" i="6"/>
  <c r="I3943" i="6"/>
  <c r="E3943" i="6" s="1"/>
  <c r="L3943" i="6" s="1"/>
  <c r="J3943" i="6"/>
  <c r="A3944" i="6"/>
  <c r="B3944" i="6"/>
  <c r="C3944" i="6"/>
  <c r="F3944" i="6"/>
  <c r="G3944" i="6"/>
  <c r="H3944" i="6"/>
  <c r="I3944" i="6"/>
  <c r="E3944" i="6" s="1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E3949" i="6" s="1"/>
  <c r="L3949" i="6" s="1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K3958" i="6" s="1"/>
  <c r="C3958" i="6"/>
  <c r="F3958" i="6"/>
  <c r="G3958" i="6"/>
  <c r="H3958" i="6"/>
  <c r="I3958" i="6"/>
  <c r="E3958" i="6" s="1"/>
  <c r="L3958" i="6" s="1"/>
  <c r="J3958" i="6"/>
  <c r="A3959" i="6"/>
  <c r="B3959" i="6"/>
  <c r="C3959" i="6"/>
  <c r="F3959" i="6"/>
  <c r="G3959" i="6"/>
  <c r="H3959" i="6"/>
  <c r="I3959" i="6"/>
  <c r="E3959" i="6" s="1"/>
  <c r="L3959" i="6" s="1"/>
  <c r="J3959" i="6"/>
  <c r="A3960" i="6"/>
  <c r="B3960" i="6"/>
  <c r="C3960" i="6"/>
  <c r="F3960" i="6"/>
  <c r="G3960" i="6"/>
  <c r="H3960" i="6"/>
  <c r="I3960" i="6"/>
  <c r="E3960" i="6" s="1"/>
  <c r="J3960" i="6"/>
  <c r="A3961" i="6"/>
  <c r="B3961" i="6"/>
  <c r="C3961" i="6"/>
  <c r="F3961" i="6"/>
  <c r="G3961" i="6"/>
  <c r="H3961" i="6"/>
  <c r="I3961" i="6"/>
  <c r="E3961" i="6" s="1"/>
  <c r="J3961" i="6"/>
  <c r="A3962" i="6"/>
  <c r="B3962" i="6"/>
  <c r="C3962" i="6"/>
  <c r="F3962" i="6"/>
  <c r="G3962" i="6"/>
  <c r="H3962" i="6"/>
  <c r="I3962" i="6"/>
  <c r="E3962" i="6" s="1"/>
  <c r="J3962" i="6"/>
  <c r="A3963" i="6"/>
  <c r="B3963" i="6"/>
  <c r="C3963" i="6"/>
  <c r="F3963" i="6"/>
  <c r="G3963" i="6"/>
  <c r="H3963" i="6"/>
  <c r="I3963" i="6"/>
  <c r="E3963" i="6" s="1"/>
  <c r="L3963" i="6" s="1"/>
  <c r="J3963" i="6"/>
  <c r="A3964" i="6"/>
  <c r="B3964" i="6"/>
  <c r="C3964" i="6"/>
  <c r="F3964" i="6"/>
  <c r="G3964" i="6"/>
  <c r="H3964" i="6"/>
  <c r="I3964" i="6"/>
  <c r="E3964" i="6" s="1"/>
  <c r="J3964" i="6"/>
  <c r="A3965" i="6"/>
  <c r="B3965" i="6"/>
  <c r="C3965" i="6"/>
  <c r="F3965" i="6"/>
  <c r="G3965" i="6"/>
  <c r="H3965" i="6"/>
  <c r="I3965" i="6"/>
  <c r="E3965" i="6" s="1"/>
  <c r="J3965" i="6"/>
  <c r="A3966" i="6"/>
  <c r="B3966" i="6"/>
  <c r="C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E3977" i="6" s="1"/>
  <c r="L3977" i="6" s="1"/>
  <c r="J3977" i="6"/>
  <c r="A3978" i="6"/>
  <c r="B3978" i="6"/>
  <c r="C3978" i="6"/>
  <c r="F3978" i="6"/>
  <c r="G3978" i="6"/>
  <c r="H3978" i="6"/>
  <c r="I3978" i="6"/>
  <c r="E3978" i="6" s="1"/>
  <c r="J3978" i="6"/>
  <c r="A3979" i="6"/>
  <c r="B3979" i="6"/>
  <c r="C3979" i="6"/>
  <c r="F3979" i="6"/>
  <c r="G3979" i="6"/>
  <c r="H3979" i="6"/>
  <c r="I3979" i="6"/>
  <c r="E3979" i="6" s="1"/>
  <c r="L3979" i="6" s="1"/>
  <c r="J3979" i="6"/>
  <c r="A3980" i="6"/>
  <c r="B3980" i="6"/>
  <c r="C3980" i="6"/>
  <c r="F3980" i="6"/>
  <c r="G3980" i="6"/>
  <c r="H3980" i="6"/>
  <c r="I3980" i="6"/>
  <c r="E3980" i="6" s="1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E3985" i="6" s="1"/>
  <c r="L3985" i="6" s="1"/>
  <c r="J3985" i="6"/>
  <c r="A3986" i="6"/>
  <c r="B3986" i="6"/>
  <c r="C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E3989" i="6" s="1"/>
  <c r="L3989" i="6" s="1"/>
  <c r="J3989" i="6"/>
  <c r="A3990" i="6"/>
  <c r="B3990" i="6"/>
  <c r="C3990" i="6"/>
  <c r="F3990" i="6"/>
  <c r="G3990" i="6"/>
  <c r="H3990" i="6"/>
  <c r="I3990" i="6"/>
  <c r="E3990" i="6" s="1"/>
  <c r="J3990" i="6"/>
  <c r="A3991" i="6"/>
  <c r="B3991" i="6"/>
  <c r="C3991" i="6"/>
  <c r="F3991" i="6"/>
  <c r="G3991" i="6"/>
  <c r="H3991" i="6"/>
  <c r="I3991" i="6"/>
  <c r="E3991" i="6" s="1"/>
  <c r="L3991" i="6" s="1"/>
  <c r="J3991" i="6"/>
  <c r="A3992" i="6"/>
  <c r="B3992" i="6"/>
  <c r="C3992" i="6"/>
  <c r="F3992" i="6"/>
  <c r="G3992" i="6"/>
  <c r="H3992" i="6"/>
  <c r="I3992" i="6"/>
  <c r="E3992" i="6" s="1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E3994" i="6" s="1"/>
  <c r="L3994" i="6" s="1"/>
  <c r="J3994" i="6"/>
  <c r="A3995" i="6"/>
  <c r="B3995" i="6"/>
  <c r="C3995" i="6"/>
  <c r="F3995" i="6"/>
  <c r="G3995" i="6"/>
  <c r="H3995" i="6"/>
  <c r="I3995" i="6"/>
  <c r="E3995" i="6" s="1"/>
  <c r="L3995" i="6" s="1"/>
  <c r="J3995" i="6"/>
  <c r="A3996" i="6"/>
  <c r="B3996" i="6"/>
  <c r="C3996" i="6"/>
  <c r="F3996" i="6"/>
  <c r="G3996" i="6"/>
  <c r="H3996" i="6"/>
  <c r="I3996" i="6"/>
  <c r="E3996" i="6" s="1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K4001" i="6" s="1"/>
  <c r="C4001" i="6"/>
  <c r="F4001" i="6"/>
  <c r="G4001" i="6"/>
  <c r="H4001" i="6"/>
  <c r="I4001" i="6"/>
  <c r="E4001" i="6" s="1"/>
  <c r="L4001" i="6" s="1"/>
  <c r="J4001" i="6"/>
  <c r="A4002" i="6"/>
  <c r="B4002" i="6"/>
  <c r="C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K4005" i="6" s="1"/>
  <c r="C4005" i="6"/>
  <c r="F4005" i="6"/>
  <c r="G4005" i="6"/>
  <c r="H4005" i="6"/>
  <c r="I4005" i="6"/>
  <c r="E4005" i="6" s="1"/>
  <c r="L4005" i="6" s="1"/>
  <c r="J4005" i="6"/>
  <c r="A4006" i="6"/>
  <c r="B4006" i="6"/>
  <c r="C4006" i="6"/>
  <c r="F4006" i="6"/>
  <c r="G4006" i="6"/>
  <c r="H4006" i="6"/>
  <c r="I4006" i="6"/>
  <c r="E4006" i="6" s="1"/>
  <c r="J4006" i="6"/>
  <c r="A4007" i="6"/>
  <c r="B4007" i="6"/>
  <c r="C4007" i="6"/>
  <c r="F4007" i="6"/>
  <c r="G4007" i="6"/>
  <c r="H4007" i="6"/>
  <c r="I4007" i="6"/>
  <c r="E4007" i="6" s="1"/>
  <c r="L4007" i="6" s="1"/>
  <c r="J4007" i="6"/>
  <c r="A4008" i="6"/>
  <c r="B4008" i="6"/>
  <c r="C4008" i="6"/>
  <c r="F4008" i="6"/>
  <c r="G4008" i="6"/>
  <c r="H4008" i="6"/>
  <c r="I4008" i="6"/>
  <c r="E4008" i="6" s="1"/>
  <c r="J4008" i="6"/>
  <c r="A4009" i="6"/>
  <c r="B4009" i="6"/>
  <c r="C4009" i="6"/>
  <c r="F4009" i="6"/>
  <c r="G4009" i="6"/>
  <c r="H4009" i="6"/>
  <c r="I4009" i="6"/>
  <c r="E4009" i="6" s="1"/>
  <c r="J4009" i="6"/>
  <c r="A4010" i="6"/>
  <c r="B4010" i="6"/>
  <c r="C4010" i="6"/>
  <c r="F4010" i="6"/>
  <c r="G4010" i="6"/>
  <c r="H4010" i="6"/>
  <c r="I4010" i="6"/>
  <c r="E4010" i="6" s="1"/>
  <c r="J4010" i="6"/>
  <c r="A4011" i="6"/>
  <c r="B4011" i="6"/>
  <c r="C4011" i="6"/>
  <c r="F4011" i="6"/>
  <c r="G4011" i="6"/>
  <c r="H4011" i="6"/>
  <c r="I4011" i="6"/>
  <c r="E4011" i="6" s="1"/>
  <c r="L4011" i="6" s="1"/>
  <c r="J4011" i="6"/>
  <c r="A4012" i="6"/>
  <c r="B4012" i="6"/>
  <c r="C4012" i="6"/>
  <c r="F4012" i="6"/>
  <c r="G4012" i="6"/>
  <c r="H4012" i="6"/>
  <c r="I4012" i="6"/>
  <c r="E4012" i="6" s="1"/>
  <c r="J4012" i="6"/>
  <c r="A4013" i="6"/>
  <c r="B4013" i="6"/>
  <c r="C4013" i="6"/>
  <c r="F4013" i="6"/>
  <c r="G4013" i="6"/>
  <c r="H4013" i="6"/>
  <c r="I4013" i="6"/>
  <c r="E4013" i="6" s="1"/>
  <c r="J4013" i="6"/>
  <c r="A4014" i="6"/>
  <c r="B4014" i="6"/>
  <c r="C4014" i="6"/>
  <c r="F4014" i="6"/>
  <c r="G4014" i="6"/>
  <c r="H4014" i="6"/>
  <c r="I4014" i="6"/>
  <c r="E4014" i="6" s="1"/>
  <c r="J4014" i="6"/>
  <c r="A4015" i="6"/>
  <c r="B4015" i="6"/>
  <c r="C4015" i="6"/>
  <c r="F4015" i="6"/>
  <c r="G4015" i="6"/>
  <c r="H4015" i="6"/>
  <c r="I4015" i="6"/>
  <c r="E4015" i="6" s="1"/>
  <c r="L4015" i="6" s="1"/>
  <c r="J4015" i="6"/>
  <c r="A4016" i="6"/>
  <c r="B4016" i="6"/>
  <c r="C4016" i="6"/>
  <c r="F4016" i="6"/>
  <c r="G4016" i="6"/>
  <c r="H4016" i="6"/>
  <c r="I4016" i="6"/>
  <c r="E4016" i="6" s="1"/>
  <c r="J4016" i="6"/>
  <c r="A4017" i="6"/>
  <c r="B4017" i="6"/>
  <c r="C4017" i="6"/>
  <c r="F4017" i="6"/>
  <c r="G4017" i="6"/>
  <c r="H4017" i="6"/>
  <c r="I4017" i="6"/>
  <c r="E4017" i="6" s="1"/>
  <c r="J4017" i="6"/>
  <c r="A4018" i="6"/>
  <c r="B4018" i="6"/>
  <c r="C4018" i="6"/>
  <c r="F4018" i="6"/>
  <c r="G4018" i="6"/>
  <c r="H4018" i="6"/>
  <c r="I4018" i="6"/>
  <c r="E4018" i="6" s="1"/>
  <c r="J4018" i="6"/>
  <c r="A4019" i="6"/>
  <c r="B4019" i="6"/>
  <c r="C4019" i="6"/>
  <c r="F4019" i="6"/>
  <c r="G4019" i="6"/>
  <c r="H4019" i="6"/>
  <c r="I4019" i="6"/>
  <c r="E4019" i="6" s="1"/>
  <c r="L4019" i="6" s="1"/>
  <c r="J4019" i="6"/>
  <c r="A4020" i="6"/>
  <c r="B4020" i="6"/>
  <c r="C4020" i="6"/>
  <c r="F4020" i="6"/>
  <c r="G4020" i="6"/>
  <c r="H4020" i="6"/>
  <c r="I4020" i="6"/>
  <c r="E4020" i="6" s="1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E4025" i="6" s="1"/>
  <c r="L4025" i="6" s="1"/>
  <c r="J4025" i="6"/>
  <c r="A4026" i="6"/>
  <c r="B4026" i="6"/>
  <c r="C4026" i="6"/>
  <c r="F4026" i="6"/>
  <c r="G4026" i="6"/>
  <c r="H4026" i="6"/>
  <c r="I4026" i="6"/>
  <c r="E4026" i="6" s="1"/>
  <c r="J4026" i="6"/>
  <c r="A4027" i="6"/>
  <c r="B4027" i="6"/>
  <c r="C4027" i="6"/>
  <c r="F4027" i="6"/>
  <c r="G4027" i="6"/>
  <c r="H4027" i="6"/>
  <c r="I4027" i="6"/>
  <c r="E4027" i="6" s="1"/>
  <c r="L4027" i="6" s="1"/>
  <c r="J4027" i="6"/>
  <c r="A4028" i="6"/>
  <c r="B4028" i="6"/>
  <c r="C4028" i="6"/>
  <c r="F4028" i="6"/>
  <c r="G4028" i="6"/>
  <c r="H4028" i="6"/>
  <c r="I4028" i="6"/>
  <c r="E4028" i="6" s="1"/>
  <c r="J4028" i="6"/>
  <c r="A4029" i="6"/>
  <c r="B4029" i="6"/>
  <c r="C4029" i="6"/>
  <c r="F4029" i="6"/>
  <c r="G4029" i="6"/>
  <c r="H4029" i="6"/>
  <c r="I4029" i="6"/>
  <c r="J4029" i="6"/>
  <c r="A4030" i="6"/>
  <c r="B4030" i="6"/>
  <c r="K4030" i="6" s="1"/>
  <c r="C4030" i="6"/>
  <c r="F4030" i="6"/>
  <c r="G4030" i="6"/>
  <c r="H4030" i="6"/>
  <c r="I4030" i="6"/>
  <c r="E4030" i="6" s="1"/>
  <c r="L4030" i="6" s="1"/>
  <c r="J4030" i="6"/>
  <c r="A4031" i="6"/>
  <c r="B4031" i="6"/>
  <c r="C4031" i="6"/>
  <c r="F4031" i="6"/>
  <c r="G4031" i="6"/>
  <c r="H4031" i="6"/>
  <c r="I4031" i="6"/>
  <c r="E4031" i="6" s="1"/>
  <c r="L4031" i="6" s="1"/>
  <c r="J4031" i="6"/>
  <c r="A4032" i="6"/>
  <c r="B4032" i="6"/>
  <c r="C4032" i="6"/>
  <c r="F4032" i="6"/>
  <c r="G4032" i="6"/>
  <c r="H4032" i="6"/>
  <c r="I4032" i="6"/>
  <c r="E4032" i="6" s="1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E4037" i="6" s="1"/>
  <c r="L4037" i="6" s="1"/>
  <c r="J4037" i="6"/>
  <c r="A4038" i="6"/>
  <c r="B4038" i="6"/>
  <c r="C4038" i="6"/>
  <c r="F4038" i="6"/>
  <c r="G4038" i="6"/>
  <c r="H4038" i="6"/>
  <c r="I4038" i="6"/>
  <c r="E4038" i="6" s="1"/>
  <c r="J4038" i="6"/>
  <c r="A4039" i="6"/>
  <c r="B4039" i="6"/>
  <c r="C4039" i="6"/>
  <c r="F4039" i="6"/>
  <c r="G4039" i="6"/>
  <c r="H4039" i="6"/>
  <c r="I4039" i="6"/>
  <c r="E4039" i="6" s="1"/>
  <c r="L4039" i="6" s="1"/>
  <c r="J4039" i="6"/>
  <c r="A4040" i="6"/>
  <c r="B4040" i="6"/>
  <c r="C4040" i="6"/>
  <c r="F4040" i="6"/>
  <c r="G4040" i="6"/>
  <c r="H4040" i="6"/>
  <c r="I4040" i="6"/>
  <c r="E4040" i="6" s="1"/>
  <c r="J4040" i="6"/>
  <c r="A4041" i="6"/>
  <c r="B4041" i="6"/>
  <c r="C4041" i="6"/>
  <c r="F4041" i="6"/>
  <c r="G4041" i="6"/>
  <c r="H4041" i="6"/>
  <c r="I4041" i="6"/>
  <c r="E4041" i="6" s="1"/>
  <c r="J4041" i="6"/>
  <c r="A4042" i="6"/>
  <c r="B4042" i="6"/>
  <c r="C4042" i="6"/>
  <c r="F4042" i="6"/>
  <c r="G4042" i="6"/>
  <c r="H4042" i="6"/>
  <c r="I4042" i="6"/>
  <c r="E4042" i="6" s="1"/>
  <c r="J4042" i="6"/>
  <c r="A4043" i="6"/>
  <c r="B4043" i="6"/>
  <c r="C4043" i="6"/>
  <c r="F4043" i="6"/>
  <c r="G4043" i="6"/>
  <c r="H4043" i="6"/>
  <c r="I4043" i="6"/>
  <c r="E4043" i="6" s="1"/>
  <c r="L4043" i="6" s="1"/>
  <c r="J4043" i="6"/>
  <c r="A4044" i="6"/>
  <c r="B4044" i="6"/>
  <c r="C4044" i="6"/>
  <c r="F4044" i="6"/>
  <c r="G4044" i="6"/>
  <c r="H4044" i="6"/>
  <c r="I4044" i="6"/>
  <c r="E4044" i="6" s="1"/>
  <c r="J4044" i="6"/>
  <c r="A4045" i="6"/>
  <c r="B4045" i="6"/>
  <c r="C4045" i="6"/>
  <c r="F4045" i="6"/>
  <c r="G4045" i="6"/>
  <c r="H4045" i="6"/>
  <c r="I4045" i="6"/>
  <c r="E4045" i="6" s="1"/>
  <c r="J4045" i="6"/>
  <c r="A4046" i="6"/>
  <c r="B4046" i="6"/>
  <c r="C4046" i="6"/>
  <c r="F4046" i="6"/>
  <c r="G4046" i="6"/>
  <c r="H4046" i="6"/>
  <c r="I4046" i="6"/>
  <c r="E4046" i="6" s="1"/>
  <c r="J4046" i="6"/>
  <c r="A4047" i="6"/>
  <c r="B4047" i="6"/>
  <c r="C4047" i="6"/>
  <c r="F4047" i="6"/>
  <c r="G4047" i="6"/>
  <c r="H4047" i="6"/>
  <c r="I4047" i="6"/>
  <c r="E4047" i="6" s="1"/>
  <c r="L4047" i="6" s="1"/>
  <c r="J4047" i="6"/>
  <c r="A4048" i="6"/>
  <c r="B4048" i="6"/>
  <c r="C4048" i="6"/>
  <c r="F4048" i="6"/>
  <c r="G4048" i="6"/>
  <c r="H4048" i="6"/>
  <c r="I4048" i="6"/>
  <c r="E4048" i="6" s="1"/>
  <c r="J4048" i="6"/>
  <c r="A4049" i="6"/>
  <c r="B4049" i="6"/>
  <c r="C4049" i="6"/>
  <c r="F4049" i="6"/>
  <c r="G4049" i="6"/>
  <c r="H4049" i="6"/>
  <c r="I4049" i="6"/>
  <c r="E4049" i="6" s="1"/>
  <c r="J4049" i="6"/>
  <c r="A4050" i="6"/>
  <c r="B4050" i="6"/>
  <c r="C4050" i="6"/>
  <c r="F4050" i="6"/>
  <c r="G4050" i="6"/>
  <c r="H4050" i="6"/>
  <c r="I4050" i="6"/>
  <c r="E4050" i="6" s="1"/>
  <c r="J4050" i="6"/>
  <c r="A4051" i="6"/>
  <c r="B4051" i="6"/>
  <c r="C4051" i="6"/>
  <c r="F4051" i="6"/>
  <c r="G4051" i="6"/>
  <c r="H4051" i="6"/>
  <c r="I4051" i="6"/>
  <c r="E4051" i="6" s="1"/>
  <c r="L4051" i="6" s="1"/>
  <c r="J4051" i="6"/>
  <c r="A4052" i="6"/>
  <c r="B4052" i="6"/>
  <c r="C4052" i="6"/>
  <c r="F4052" i="6"/>
  <c r="G4052" i="6"/>
  <c r="H4052" i="6"/>
  <c r="I4052" i="6"/>
  <c r="E4052" i="6" s="1"/>
  <c r="J4052" i="6"/>
  <c r="A4053" i="6"/>
  <c r="B4053" i="6"/>
  <c r="C4053" i="6"/>
  <c r="F4053" i="6"/>
  <c r="G4053" i="6"/>
  <c r="H4053" i="6"/>
  <c r="I4053" i="6"/>
  <c r="E4053" i="6" s="1"/>
  <c r="J4053" i="6"/>
  <c r="A4054" i="6"/>
  <c r="B4054" i="6"/>
  <c r="C4054" i="6"/>
  <c r="F4054" i="6"/>
  <c r="G4054" i="6"/>
  <c r="H4054" i="6"/>
  <c r="I4054" i="6"/>
  <c r="E4054" i="6" s="1"/>
  <c r="J4054" i="6"/>
  <c r="A4055" i="6"/>
  <c r="B4055" i="6"/>
  <c r="C4055" i="6"/>
  <c r="F4055" i="6"/>
  <c r="G4055" i="6"/>
  <c r="H4055" i="6"/>
  <c r="I4055" i="6"/>
  <c r="E4055" i="6" s="1"/>
  <c r="L4055" i="6" s="1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E4057" i="6" s="1"/>
  <c r="L4057" i="6" s="1"/>
  <c r="J4057" i="6"/>
  <c r="A4058" i="6"/>
  <c r="B4058" i="6"/>
  <c r="C4058" i="6"/>
  <c r="F4058" i="6"/>
  <c r="G4058" i="6"/>
  <c r="H4058" i="6"/>
  <c r="I4058" i="6"/>
  <c r="E4058" i="6" s="1"/>
  <c r="J4058" i="6"/>
  <c r="A4059" i="6"/>
  <c r="B4059" i="6"/>
  <c r="C4059" i="6"/>
  <c r="F4059" i="6"/>
  <c r="G4059" i="6"/>
  <c r="H4059" i="6"/>
  <c r="I4059" i="6"/>
  <c r="E4059" i="6" s="1"/>
  <c r="L4059" i="6" s="1"/>
  <c r="J4059" i="6"/>
  <c r="A4060" i="6"/>
  <c r="B4060" i="6"/>
  <c r="C4060" i="6"/>
  <c r="F4060" i="6"/>
  <c r="G4060" i="6"/>
  <c r="H4060" i="6"/>
  <c r="I4060" i="6"/>
  <c r="E4060" i="6" s="1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E4064" i="6" s="1"/>
  <c r="L4064" i="6" s="1"/>
  <c r="J4064" i="6"/>
  <c r="A4065" i="6"/>
  <c r="B4065" i="6"/>
  <c r="C4065" i="6"/>
  <c r="F4065" i="6"/>
  <c r="G4065" i="6"/>
  <c r="H4065" i="6"/>
  <c r="I4065" i="6"/>
  <c r="E4065" i="6" s="1"/>
  <c r="J4065" i="6"/>
  <c r="A4066" i="6"/>
  <c r="B4066" i="6"/>
  <c r="C4066" i="6"/>
  <c r="F4066" i="6"/>
  <c r="G4066" i="6"/>
  <c r="H4066" i="6"/>
  <c r="I4066" i="6"/>
  <c r="E4066" i="6" s="1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E4068" i="6" s="1"/>
  <c r="L4068" i="6" s="1"/>
  <c r="J4068" i="6"/>
  <c r="A4069" i="6"/>
  <c r="B4069" i="6"/>
  <c r="C4069" i="6"/>
  <c r="F4069" i="6"/>
  <c r="G4069" i="6"/>
  <c r="H4069" i="6"/>
  <c r="I4069" i="6"/>
  <c r="E4069" i="6" s="1"/>
  <c r="J4069" i="6"/>
  <c r="A4070" i="6"/>
  <c r="B4070" i="6"/>
  <c r="C4070" i="6"/>
  <c r="F4070" i="6"/>
  <c r="G4070" i="6"/>
  <c r="H4070" i="6"/>
  <c r="I4070" i="6"/>
  <c r="E4070" i="6" s="1"/>
  <c r="J4070" i="6"/>
  <c r="A4071" i="6"/>
  <c r="B4071" i="6"/>
  <c r="C4071" i="6"/>
  <c r="F4071" i="6"/>
  <c r="G4071" i="6"/>
  <c r="H4071" i="6"/>
  <c r="I4071" i="6"/>
  <c r="E4071" i="6" s="1"/>
  <c r="L4071" i="6" s="1"/>
  <c r="J4071" i="6"/>
  <c r="A4072" i="6"/>
  <c r="B4072" i="6"/>
  <c r="C4072" i="6"/>
  <c r="F4072" i="6"/>
  <c r="G4072" i="6"/>
  <c r="H4072" i="6"/>
  <c r="I4072" i="6"/>
  <c r="E4072" i="6" s="1"/>
  <c r="J4072" i="6"/>
  <c r="A4073" i="6"/>
  <c r="B4073" i="6"/>
  <c r="C4073" i="6"/>
  <c r="F4073" i="6"/>
  <c r="G4073" i="6"/>
  <c r="H4073" i="6"/>
  <c r="I4073" i="6"/>
  <c r="E4073" i="6" s="1"/>
  <c r="J4073" i="6"/>
  <c r="A4074" i="6"/>
  <c r="B4074" i="6"/>
  <c r="C4074" i="6"/>
  <c r="F4074" i="6"/>
  <c r="G4074" i="6"/>
  <c r="H4074" i="6"/>
  <c r="I4074" i="6"/>
  <c r="E4074" i="6" s="1"/>
  <c r="J4074" i="6"/>
  <c r="A4075" i="6"/>
  <c r="B4075" i="6"/>
  <c r="C4075" i="6"/>
  <c r="F4075" i="6"/>
  <c r="G4075" i="6"/>
  <c r="H4075" i="6"/>
  <c r="I4075" i="6"/>
  <c r="E4075" i="6" s="1"/>
  <c r="L4075" i="6" s="1"/>
  <c r="J4075" i="6"/>
  <c r="A4076" i="6"/>
  <c r="B4076" i="6"/>
  <c r="C4076" i="6"/>
  <c r="F4076" i="6"/>
  <c r="G4076" i="6"/>
  <c r="H4076" i="6"/>
  <c r="I4076" i="6"/>
  <c r="E4076" i="6" s="1"/>
  <c r="J4076" i="6"/>
  <c r="A4077" i="6"/>
  <c r="B4077" i="6"/>
  <c r="C4077" i="6"/>
  <c r="F4077" i="6"/>
  <c r="G4077" i="6"/>
  <c r="H4077" i="6"/>
  <c r="I4077" i="6"/>
  <c r="E4077" i="6" s="1"/>
  <c r="J4077" i="6"/>
  <c r="A4078" i="6"/>
  <c r="B4078" i="6"/>
  <c r="C4078" i="6"/>
  <c r="F4078" i="6"/>
  <c r="G4078" i="6"/>
  <c r="H4078" i="6"/>
  <c r="I4078" i="6"/>
  <c r="E4078" i="6" s="1"/>
  <c r="J4078" i="6"/>
  <c r="A4079" i="6"/>
  <c r="B4079" i="6"/>
  <c r="C4079" i="6"/>
  <c r="F4079" i="6"/>
  <c r="G4079" i="6"/>
  <c r="H4079" i="6"/>
  <c r="I4079" i="6"/>
  <c r="E4079" i="6" s="1"/>
  <c r="L4079" i="6" s="1"/>
  <c r="J4079" i="6"/>
  <c r="A4080" i="6"/>
  <c r="B4080" i="6"/>
  <c r="C4080" i="6"/>
  <c r="F4080" i="6"/>
  <c r="G4080" i="6"/>
  <c r="H4080" i="6"/>
  <c r="I4080" i="6"/>
  <c r="E4080" i="6" s="1"/>
  <c r="J4080" i="6"/>
  <c r="A4081" i="6"/>
  <c r="B4081" i="6"/>
  <c r="C4081" i="6"/>
  <c r="F4081" i="6"/>
  <c r="G4081" i="6"/>
  <c r="H4081" i="6"/>
  <c r="I4081" i="6"/>
  <c r="E4081" i="6" s="1"/>
  <c r="J4081" i="6"/>
  <c r="A4082" i="6"/>
  <c r="B4082" i="6"/>
  <c r="C4082" i="6"/>
  <c r="F4082" i="6"/>
  <c r="G4082" i="6"/>
  <c r="H4082" i="6"/>
  <c r="I4082" i="6"/>
  <c r="E4082" i="6" s="1"/>
  <c r="J4082" i="6"/>
  <c r="A4083" i="6"/>
  <c r="B4083" i="6"/>
  <c r="C4083" i="6"/>
  <c r="F4083" i="6"/>
  <c r="G4083" i="6"/>
  <c r="H4083" i="6"/>
  <c r="I4083" i="6"/>
  <c r="E4083" i="6" s="1"/>
  <c r="L4083" i="6" s="1"/>
  <c r="J4083" i="6"/>
  <c r="A4084" i="6"/>
  <c r="B4084" i="6"/>
  <c r="C4084" i="6"/>
  <c r="F4084" i="6"/>
  <c r="G4084" i="6"/>
  <c r="H4084" i="6"/>
  <c r="I4084" i="6"/>
  <c r="E4084" i="6" s="1"/>
  <c r="J4084" i="6"/>
  <c r="A4085" i="6"/>
  <c r="B4085" i="6"/>
  <c r="C4085" i="6"/>
  <c r="F4085" i="6"/>
  <c r="G4085" i="6"/>
  <c r="H4085" i="6"/>
  <c r="I4085" i="6"/>
  <c r="E4085" i="6" s="1"/>
  <c r="J4085" i="6"/>
  <c r="A4086" i="6"/>
  <c r="B4086" i="6"/>
  <c r="C4086" i="6"/>
  <c r="F4086" i="6"/>
  <c r="G4086" i="6"/>
  <c r="H4086" i="6"/>
  <c r="I4086" i="6"/>
  <c r="E4086" i="6" s="1"/>
  <c r="J4086" i="6"/>
  <c r="A4087" i="6"/>
  <c r="B4087" i="6"/>
  <c r="C4087" i="6"/>
  <c r="F4087" i="6"/>
  <c r="G4087" i="6"/>
  <c r="H4087" i="6"/>
  <c r="I4087" i="6"/>
  <c r="E4087" i="6" s="1"/>
  <c r="L4087" i="6" s="1"/>
  <c r="J4087" i="6"/>
  <c r="A4088" i="6"/>
  <c r="B4088" i="6"/>
  <c r="C4088" i="6"/>
  <c r="F4088" i="6"/>
  <c r="G4088" i="6"/>
  <c r="H4088" i="6"/>
  <c r="I4088" i="6"/>
  <c r="E4088" i="6" s="1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F4104" i="6"/>
  <c r="G4104" i="6"/>
  <c r="H4104" i="6"/>
  <c r="I4104" i="6"/>
  <c r="E4104" i="6" s="1"/>
  <c r="L4104" i="6" s="1"/>
  <c r="J4104" i="6"/>
  <c r="A4105" i="6"/>
  <c r="B4105" i="6"/>
  <c r="C4105" i="6"/>
  <c r="F4105" i="6"/>
  <c r="G4105" i="6"/>
  <c r="H4105" i="6"/>
  <c r="I4105" i="6"/>
  <c r="E4105" i="6" s="1"/>
  <c r="J4105" i="6"/>
  <c r="A4106" i="6"/>
  <c r="B4106" i="6"/>
  <c r="C4106" i="6"/>
  <c r="F4106" i="6"/>
  <c r="G4106" i="6"/>
  <c r="H4106" i="6"/>
  <c r="I4106" i="6"/>
  <c r="E4106" i="6" s="1"/>
  <c r="J4106" i="6"/>
  <c r="A4107" i="6"/>
  <c r="B4107" i="6"/>
  <c r="C4107" i="6"/>
  <c r="F4107" i="6"/>
  <c r="G4107" i="6"/>
  <c r="H4107" i="6"/>
  <c r="I4107" i="6"/>
  <c r="E4107" i="6" s="1"/>
  <c r="J4107" i="6"/>
  <c r="A4108" i="6"/>
  <c r="B4108" i="6"/>
  <c r="C4108" i="6"/>
  <c r="F4108" i="6"/>
  <c r="G4108" i="6"/>
  <c r="H4108" i="6"/>
  <c r="I4108" i="6"/>
  <c r="E4108" i="6" s="1"/>
  <c r="J4108" i="6"/>
  <c r="A4109" i="6"/>
  <c r="B4109" i="6"/>
  <c r="C4109" i="6"/>
  <c r="F4109" i="6"/>
  <c r="G4109" i="6"/>
  <c r="H4109" i="6"/>
  <c r="I4109" i="6"/>
  <c r="E4109" i="6" s="1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F4118" i="6"/>
  <c r="G4118" i="6"/>
  <c r="H4118" i="6"/>
  <c r="I4118" i="6"/>
  <c r="E4118" i="6" s="1"/>
  <c r="L4118" i="6" s="1"/>
  <c r="J4118" i="6"/>
  <c r="A4119" i="6"/>
  <c r="B4119" i="6"/>
  <c r="C4119" i="6"/>
  <c r="F4119" i="6"/>
  <c r="G4119" i="6"/>
  <c r="H4119" i="6"/>
  <c r="I4119" i="6"/>
  <c r="E4119" i="6" s="1"/>
  <c r="L4119" i="6" s="1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E4121" i="6" s="1"/>
  <c r="L4121" i="6" s="1"/>
  <c r="J4121" i="6"/>
  <c r="A4122" i="6"/>
  <c r="B4122" i="6"/>
  <c r="C4122" i="6"/>
  <c r="F4122" i="6"/>
  <c r="G4122" i="6"/>
  <c r="H4122" i="6"/>
  <c r="I4122" i="6"/>
  <c r="E4122" i="6" s="1"/>
  <c r="J4122" i="6"/>
  <c r="A4123" i="6"/>
  <c r="B4123" i="6"/>
  <c r="C4123" i="6"/>
  <c r="F4123" i="6"/>
  <c r="G4123" i="6"/>
  <c r="H4123" i="6"/>
  <c r="I4123" i="6"/>
  <c r="E4123" i="6" s="1"/>
  <c r="L4123" i="6" s="1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E4126" i="6" s="1"/>
  <c r="L4126" i="6" s="1"/>
  <c r="J4126" i="6"/>
  <c r="A4127" i="6"/>
  <c r="B4127" i="6"/>
  <c r="C4127" i="6"/>
  <c r="F4127" i="6"/>
  <c r="G4127" i="6"/>
  <c r="H4127" i="6"/>
  <c r="I4127" i="6"/>
  <c r="E4127" i="6" s="1"/>
  <c r="J4127" i="6"/>
  <c r="A4128" i="6"/>
  <c r="B4128" i="6"/>
  <c r="C4128" i="6"/>
  <c r="F4128" i="6"/>
  <c r="G4128" i="6"/>
  <c r="H4128" i="6"/>
  <c r="I4128" i="6"/>
  <c r="E4128" i="6" s="1"/>
  <c r="J4128" i="6"/>
  <c r="A4129" i="6"/>
  <c r="B4129" i="6"/>
  <c r="C4129" i="6"/>
  <c r="F4129" i="6"/>
  <c r="G4129" i="6"/>
  <c r="H4129" i="6"/>
  <c r="I4129" i="6"/>
  <c r="E4129" i="6" s="1"/>
  <c r="J4129" i="6"/>
  <c r="A4130" i="6"/>
  <c r="B4130" i="6"/>
  <c r="C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K4134" i="6" s="1"/>
  <c r="C4134" i="6"/>
  <c r="F4134" i="6"/>
  <c r="G4134" i="6"/>
  <c r="H4134" i="6"/>
  <c r="I4134" i="6"/>
  <c r="E4134" i="6" s="1"/>
  <c r="L4134" i="6" s="1"/>
  <c r="J4134" i="6"/>
  <c r="A4135" i="6"/>
  <c r="B4135" i="6"/>
  <c r="C4135" i="6"/>
  <c r="F4135" i="6"/>
  <c r="G4135" i="6"/>
  <c r="H4135" i="6"/>
  <c r="I4135" i="6"/>
  <c r="E4135" i="6" s="1"/>
  <c r="L4135" i="6" s="1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E4137" i="6" s="1"/>
  <c r="L4137" i="6" s="1"/>
  <c r="J4137" i="6"/>
  <c r="A4138" i="6"/>
  <c r="B4138" i="6"/>
  <c r="C4138" i="6"/>
  <c r="F4138" i="6"/>
  <c r="G4138" i="6"/>
  <c r="H4138" i="6"/>
  <c r="I4138" i="6"/>
  <c r="E4138" i="6" s="1"/>
  <c r="J4138" i="6"/>
  <c r="A4139" i="6"/>
  <c r="B4139" i="6"/>
  <c r="C4139" i="6"/>
  <c r="F4139" i="6"/>
  <c r="G4139" i="6"/>
  <c r="H4139" i="6"/>
  <c r="I4139" i="6"/>
  <c r="E4139" i="6" s="1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E4149" i="6" s="1"/>
  <c r="L4149" i="6" s="1"/>
  <c r="J4149" i="6"/>
  <c r="A4150" i="6"/>
  <c r="B4150" i="6"/>
  <c r="C4150" i="6"/>
  <c r="F4150" i="6"/>
  <c r="G4150" i="6"/>
  <c r="H4150" i="6"/>
  <c r="I4150" i="6"/>
  <c r="E4150" i="6" s="1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E4152" i="6" s="1"/>
  <c r="L4152" i="6" s="1"/>
  <c r="J4152" i="6"/>
  <c r="A4153" i="6"/>
  <c r="B4153" i="6"/>
  <c r="C4153" i="6"/>
  <c r="F4153" i="6"/>
  <c r="G4153" i="6"/>
  <c r="H4153" i="6"/>
  <c r="I4153" i="6"/>
  <c r="E4153" i="6" s="1"/>
  <c r="J4153" i="6"/>
  <c r="A4154" i="6"/>
  <c r="B4154" i="6"/>
  <c r="C4154" i="6"/>
  <c r="F4154" i="6"/>
  <c r="G4154" i="6"/>
  <c r="H4154" i="6"/>
  <c r="I4154" i="6"/>
  <c r="E4154" i="6" s="1"/>
  <c r="J4154" i="6"/>
  <c r="A4155" i="6"/>
  <c r="B4155" i="6"/>
  <c r="C4155" i="6"/>
  <c r="F4155" i="6"/>
  <c r="G4155" i="6"/>
  <c r="H4155" i="6"/>
  <c r="I4155" i="6"/>
  <c r="E4155" i="6" s="1"/>
  <c r="J4155" i="6"/>
  <c r="A4156" i="6"/>
  <c r="B4156" i="6"/>
  <c r="C4156" i="6"/>
  <c r="F4156" i="6"/>
  <c r="G4156" i="6"/>
  <c r="H4156" i="6"/>
  <c r="I4156" i="6"/>
  <c r="E4156" i="6" s="1"/>
  <c r="J4156" i="6"/>
  <c r="A4157" i="6"/>
  <c r="B4157" i="6"/>
  <c r="C4157" i="6"/>
  <c r="F4157" i="6"/>
  <c r="G4157" i="6"/>
  <c r="H4157" i="6"/>
  <c r="I4157" i="6"/>
  <c r="E4157" i="6" s="1"/>
  <c r="J4157" i="6"/>
  <c r="A4158" i="6"/>
  <c r="B4158" i="6"/>
  <c r="C4158" i="6"/>
  <c r="F4158" i="6"/>
  <c r="G4158" i="6"/>
  <c r="H4158" i="6"/>
  <c r="I4158" i="6"/>
  <c r="E4158" i="6" s="1"/>
  <c r="J4158" i="6"/>
  <c r="A4159" i="6"/>
  <c r="B4159" i="6"/>
  <c r="C4159" i="6"/>
  <c r="F4159" i="6"/>
  <c r="G4159" i="6"/>
  <c r="H4159" i="6"/>
  <c r="I4159" i="6"/>
  <c r="E4159" i="6" s="1"/>
  <c r="L4159" i="6" s="1"/>
  <c r="J4159" i="6"/>
  <c r="A4160" i="6"/>
  <c r="B4160" i="6"/>
  <c r="C4160" i="6"/>
  <c r="F4160" i="6"/>
  <c r="G4160" i="6"/>
  <c r="H4160" i="6"/>
  <c r="I4160" i="6"/>
  <c r="E4160" i="6" s="1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E4162" i="6" s="1"/>
  <c r="L4162" i="6" s="1"/>
  <c r="J4162" i="6"/>
  <c r="A4163" i="6"/>
  <c r="B4163" i="6"/>
  <c r="C4163" i="6"/>
  <c r="F4163" i="6"/>
  <c r="G4163" i="6"/>
  <c r="H4163" i="6"/>
  <c r="I4163" i="6"/>
  <c r="E4163" i="6" s="1"/>
  <c r="L4163" i="6" s="1"/>
  <c r="J4163" i="6"/>
  <c r="A4164" i="6"/>
  <c r="B4164" i="6"/>
  <c r="C4164" i="6"/>
  <c r="F4164" i="6"/>
  <c r="G4164" i="6"/>
  <c r="H4164" i="6"/>
  <c r="I4164" i="6"/>
  <c r="E4164" i="6" s="1"/>
  <c r="J4164" i="6"/>
  <c r="A4165" i="6"/>
  <c r="B4165" i="6"/>
  <c r="C4165" i="6"/>
  <c r="F4165" i="6"/>
  <c r="G4165" i="6"/>
  <c r="H4165" i="6"/>
  <c r="I4165" i="6"/>
  <c r="E4165" i="6" s="1"/>
  <c r="J4165" i="6"/>
  <c r="A4166" i="6"/>
  <c r="B4166" i="6"/>
  <c r="C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E4171" i="6" s="1"/>
  <c r="L4171" i="6" s="1"/>
  <c r="J4171" i="6"/>
  <c r="A4172" i="6"/>
  <c r="B4172" i="6"/>
  <c r="C4172" i="6"/>
  <c r="F4172" i="6"/>
  <c r="G4172" i="6"/>
  <c r="H4172" i="6"/>
  <c r="I4172" i="6"/>
  <c r="E4172" i="6" s="1"/>
  <c r="J4172" i="6"/>
  <c r="A4173" i="6"/>
  <c r="B4173" i="6"/>
  <c r="C4173" i="6"/>
  <c r="F4173" i="6"/>
  <c r="G4173" i="6"/>
  <c r="H4173" i="6"/>
  <c r="I4173" i="6"/>
  <c r="E4173" i="6" s="1"/>
  <c r="J4173" i="6"/>
  <c r="A4174" i="6"/>
  <c r="B4174" i="6"/>
  <c r="C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F4176" i="6"/>
  <c r="G4176" i="6"/>
  <c r="H4176" i="6"/>
  <c r="I4176" i="6"/>
  <c r="E4176" i="6" s="1"/>
  <c r="L4176" i="6" s="1"/>
  <c r="J4176" i="6"/>
  <c r="A4177" i="6"/>
  <c r="B4177" i="6"/>
  <c r="C4177" i="6"/>
  <c r="F4177" i="6"/>
  <c r="G4177" i="6"/>
  <c r="H4177" i="6"/>
  <c r="I4177" i="6"/>
  <c r="E4177" i="6" s="1"/>
  <c r="J4177" i="6"/>
  <c r="A4178" i="6"/>
  <c r="B4178" i="6"/>
  <c r="C4178" i="6"/>
  <c r="F4178" i="6"/>
  <c r="G4178" i="6"/>
  <c r="H4178" i="6"/>
  <c r="I4178" i="6"/>
  <c r="E4178" i="6" s="1"/>
  <c r="J4178" i="6"/>
  <c r="A4179" i="6"/>
  <c r="B4179" i="6"/>
  <c r="C4179" i="6"/>
  <c r="F4179" i="6"/>
  <c r="G4179" i="6"/>
  <c r="H4179" i="6"/>
  <c r="I4179" i="6"/>
  <c r="E4179" i="6" s="1"/>
  <c r="L4179" i="6" s="1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E4183" i="6" s="1"/>
  <c r="L4183" i="6" s="1"/>
  <c r="J4183" i="6"/>
  <c r="A4184" i="6"/>
  <c r="B4184" i="6"/>
  <c r="C4184" i="6"/>
  <c r="F4184" i="6"/>
  <c r="G4184" i="6"/>
  <c r="H4184" i="6"/>
  <c r="I4184" i="6"/>
  <c r="E4184" i="6" s="1"/>
  <c r="J4184" i="6"/>
  <c r="A4185" i="6"/>
  <c r="B4185" i="6"/>
  <c r="C4185" i="6"/>
  <c r="F4185" i="6"/>
  <c r="G4185" i="6"/>
  <c r="H4185" i="6"/>
  <c r="I4185" i="6"/>
  <c r="E4185" i="6" s="1"/>
  <c r="J4185" i="6"/>
  <c r="A4186" i="6"/>
  <c r="B4186" i="6"/>
  <c r="C4186" i="6"/>
  <c r="F4186" i="6"/>
  <c r="G4186" i="6"/>
  <c r="H4186" i="6"/>
  <c r="I4186" i="6"/>
  <c r="E4186" i="6" s="1"/>
  <c r="J4186" i="6"/>
  <c r="A4187" i="6"/>
  <c r="B4187" i="6"/>
  <c r="C4187" i="6"/>
  <c r="F4187" i="6"/>
  <c r="G4187" i="6"/>
  <c r="H4187" i="6"/>
  <c r="I4187" i="6"/>
  <c r="E4187" i="6" s="1"/>
  <c r="L4187" i="6" s="1"/>
  <c r="J4187" i="6"/>
  <c r="A4188" i="6"/>
  <c r="B4188" i="6"/>
  <c r="C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K4191" i="6" s="1"/>
  <c r="C4191" i="6"/>
  <c r="F4191" i="6"/>
  <c r="G4191" i="6"/>
  <c r="H4191" i="6"/>
  <c r="I4191" i="6"/>
  <c r="E4191" i="6" s="1"/>
  <c r="L4191" i="6" s="1"/>
  <c r="J4191" i="6"/>
  <c r="A4192" i="6"/>
  <c r="B4192" i="6"/>
  <c r="C4192" i="6"/>
  <c r="F4192" i="6"/>
  <c r="G4192" i="6"/>
  <c r="H4192" i="6"/>
  <c r="I4192" i="6"/>
  <c r="E4192" i="6" s="1"/>
  <c r="J4192" i="6"/>
  <c r="A4193" i="6"/>
  <c r="B4193" i="6"/>
  <c r="C4193" i="6"/>
  <c r="F4193" i="6"/>
  <c r="G4193" i="6"/>
  <c r="H4193" i="6"/>
  <c r="I4193" i="6"/>
  <c r="E4193" i="6" s="1"/>
  <c r="J4193" i="6"/>
  <c r="A4194" i="6"/>
  <c r="B4194" i="6"/>
  <c r="C4194" i="6"/>
  <c r="F4194" i="6"/>
  <c r="G4194" i="6"/>
  <c r="H4194" i="6"/>
  <c r="I4194" i="6"/>
  <c r="E4194" i="6" s="1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E4196" i="6" s="1"/>
  <c r="L4196" i="6" s="1"/>
  <c r="J4196" i="6"/>
  <c r="A4197" i="6"/>
  <c r="B4197" i="6"/>
  <c r="C4197" i="6"/>
  <c r="F4197" i="6"/>
  <c r="G4197" i="6"/>
  <c r="H4197" i="6"/>
  <c r="I4197" i="6"/>
  <c r="E4197" i="6" s="1"/>
  <c r="J4197" i="6"/>
  <c r="A4198" i="6"/>
  <c r="B4198" i="6"/>
  <c r="C4198" i="6"/>
  <c r="F4198" i="6"/>
  <c r="G4198" i="6"/>
  <c r="H4198" i="6"/>
  <c r="I4198" i="6"/>
  <c r="E4198" i="6" s="1"/>
  <c r="J4198" i="6"/>
  <c r="A4199" i="6"/>
  <c r="B4199" i="6"/>
  <c r="C4199" i="6"/>
  <c r="F4199" i="6"/>
  <c r="G4199" i="6"/>
  <c r="H4199" i="6"/>
  <c r="I4199" i="6"/>
  <c r="E4199" i="6" s="1"/>
  <c r="L4199" i="6" s="1"/>
  <c r="J4199" i="6"/>
  <c r="A4200" i="6"/>
  <c r="B4200" i="6"/>
  <c r="C4200" i="6"/>
  <c r="F4200" i="6"/>
  <c r="G4200" i="6"/>
  <c r="H4200" i="6"/>
  <c r="I4200" i="6"/>
  <c r="E4200" i="6" s="1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E4202" i="6" s="1"/>
  <c r="L4202" i="6" s="1"/>
  <c r="J4202" i="6"/>
  <c r="A4203" i="6"/>
  <c r="B4203" i="6"/>
  <c r="C4203" i="6"/>
  <c r="F4203" i="6"/>
  <c r="G4203" i="6"/>
  <c r="H4203" i="6"/>
  <c r="I4203" i="6"/>
  <c r="E4203" i="6" s="1"/>
  <c r="L4203" i="6" s="1"/>
  <c r="J4203" i="6"/>
  <c r="A4204" i="6"/>
  <c r="B4204" i="6"/>
  <c r="C4204" i="6"/>
  <c r="F4204" i="6"/>
  <c r="G4204" i="6"/>
  <c r="H4204" i="6"/>
  <c r="I4204" i="6"/>
  <c r="E4204" i="6" s="1"/>
  <c r="J4204" i="6"/>
  <c r="A4205" i="6"/>
  <c r="B4205" i="6"/>
  <c r="C4205" i="6"/>
  <c r="F4205" i="6"/>
  <c r="G4205" i="6"/>
  <c r="H4205" i="6"/>
  <c r="I4205" i="6"/>
  <c r="E4205" i="6" s="1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E4207" i="6" s="1"/>
  <c r="L4207" i="6" s="1"/>
  <c r="J4207" i="6"/>
  <c r="A4208" i="6"/>
  <c r="B4208" i="6"/>
  <c r="C4208" i="6"/>
  <c r="F4208" i="6"/>
  <c r="G4208" i="6"/>
  <c r="H4208" i="6"/>
  <c r="I4208" i="6"/>
  <c r="E4208" i="6" s="1"/>
  <c r="J4208" i="6"/>
  <c r="A4209" i="6"/>
  <c r="B4209" i="6"/>
  <c r="C4209" i="6"/>
  <c r="F4209" i="6"/>
  <c r="G4209" i="6"/>
  <c r="H4209" i="6"/>
  <c r="I4209" i="6"/>
  <c r="E4209" i="6" s="1"/>
  <c r="J4209" i="6"/>
  <c r="A4210" i="6"/>
  <c r="B4210" i="6"/>
  <c r="C4210" i="6"/>
  <c r="F4210" i="6"/>
  <c r="G4210" i="6"/>
  <c r="H4210" i="6"/>
  <c r="I4210" i="6"/>
  <c r="E4210" i="6" s="1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E4222" i="6" s="1"/>
  <c r="L4222" i="6" s="1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F4230" i="6"/>
  <c r="G4230" i="6"/>
  <c r="H4230" i="6"/>
  <c r="I4230" i="6"/>
  <c r="E4230" i="6" s="1"/>
  <c r="L4230" i="6" s="1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E4234" i="6" s="1"/>
  <c r="L4234" i="6" s="1"/>
  <c r="J4234" i="6"/>
  <c r="A4235" i="6"/>
  <c r="B4235" i="6"/>
  <c r="C4235" i="6"/>
  <c r="F4235" i="6"/>
  <c r="G4235" i="6"/>
  <c r="H4235" i="6"/>
  <c r="I4235" i="6"/>
  <c r="E4235" i="6" s="1"/>
  <c r="L4235" i="6" s="1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E4239" i="6" s="1"/>
  <c r="L4239" i="6" s="1"/>
  <c r="J4239" i="6"/>
  <c r="A4240" i="6"/>
  <c r="B4240" i="6"/>
  <c r="C4240" i="6"/>
  <c r="F4240" i="6"/>
  <c r="G4240" i="6"/>
  <c r="H4240" i="6"/>
  <c r="I4240" i="6"/>
  <c r="E4240" i="6" s="1"/>
  <c r="J4240" i="6"/>
  <c r="A4241" i="6"/>
  <c r="B4241" i="6"/>
  <c r="C4241" i="6"/>
  <c r="F4241" i="6"/>
  <c r="G4241" i="6"/>
  <c r="H4241" i="6"/>
  <c r="I4241" i="6"/>
  <c r="E4241" i="6" s="1"/>
  <c r="J4241" i="6"/>
  <c r="A4242" i="6"/>
  <c r="B4242" i="6"/>
  <c r="C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E4245" i="6" s="1"/>
  <c r="L4245" i="6" s="1"/>
  <c r="J4245" i="6"/>
  <c r="A4246" i="6"/>
  <c r="B4246" i="6"/>
  <c r="C4246" i="6"/>
  <c r="F4246" i="6"/>
  <c r="G4246" i="6"/>
  <c r="H4246" i="6"/>
  <c r="I4246" i="6"/>
  <c r="E4246" i="6" s="1"/>
  <c r="J4246" i="6"/>
  <c r="A4247" i="6"/>
  <c r="B4247" i="6"/>
  <c r="C4247" i="6"/>
  <c r="F4247" i="6"/>
  <c r="G4247" i="6"/>
  <c r="H4247" i="6"/>
  <c r="I4247" i="6"/>
  <c r="E4247" i="6" s="1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E4252" i="6" s="1"/>
  <c r="L4252" i="6" s="1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E4257" i="6" s="1"/>
  <c r="L4257" i="6" s="1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E4259" i="6" s="1"/>
  <c r="L4259" i="6" s="1"/>
  <c r="J4259" i="6"/>
  <c r="A4260" i="6"/>
  <c r="B4260" i="6"/>
  <c r="C4260" i="6"/>
  <c r="F4260" i="6"/>
  <c r="G4260" i="6"/>
  <c r="H4260" i="6"/>
  <c r="I4260" i="6"/>
  <c r="E4260" i="6" s="1"/>
  <c r="J4260" i="6"/>
  <c r="A4261" i="6"/>
  <c r="B4261" i="6"/>
  <c r="C4261" i="6"/>
  <c r="F4261" i="6"/>
  <c r="G4261" i="6"/>
  <c r="H4261" i="6"/>
  <c r="I4261" i="6"/>
  <c r="E4261" i="6" s="1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E4264" i="6" s="1"/>
  <c r="L4264" i="6" s="1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E4271" i="6" s="1"/>
  <c r="L4271" i="6" s="1"/>
  <c r="J4271" i="6"/>
  <c r="A4272" i="6"/>
  <c r="B4272" i="6"/>
  <c r="C4272" i="6"/>
  <c r="F4272" i="6"/>
  <c r="G4272" i="6"/>
  <c r="H4272" i="6"/>
  <c r="I4272" i="6"/>
  <c r="E4272" i="6" s="1"/>
  <c r="J4272" i="6"/>
  <c r="A4273" i="6"/>
  <c r="B4273" i="6"/>
  <c r="C4273" i="6"/>
  <c r="F4273" i="6"/>
  <c r="G4273" i="6"/>
  <c r="H4273" i="6"/>
  <c r="I4273" i="6"/>
  <c r="E4273" i="6" s="1"/>
  <c r="J4273" i="6"/>
  <c r="A4274" i="6"/>
  <c r="B4274" i="6"/>
  <c r="C4274" i="6"/>
  <c r="F4274" i="6"/>
  <c r="G4274" i="6"/>
  <c r="H4274" i="6"/>
  <c r="I4274" i="6"/>
  <c r="E4274" i="6" s="1"/>
  <c r="J4274" i="6"/>
  <c r="A4275" i="6"/>
  <c r="B4275" i="6"/>
  <c r="C4275" i="6"/>
  <c r="F4275" i="6"/>
  <c r="G4275" i="6"/>
  <c r="H4275" i="6"/>
  <c r="I4275" i="6"/>
  <c r="E4275" i="6" s="1"/>
  <c r="J4275" i="6"/>
  <c r="A4276" i="6"/>
  <c r="B4276" i="6"/>
  <c r="C4276" i="6"/>
  <c r="F4276" i="6"/>
  <c r="G4276" i="6"/>
  <c r="H4276" i="6"/>
  <c r="I4276" i="6"/>
  <c r="E4276" i="6" s="1"/>
  <c r="J4276" i="6"/>
  <c r="A4277" i="6"/>
  <c r="B4277" i="6"/>
  <c r="C4277" i="6"/>
  <c r="F4277" i="6"/>
  <c r="G4277" i="6"/>
  <c r="H4277" i="6"/>
  <c r="I4277" i="6"/>
  <c r="E4277" i="6" s="1"/>
  <c r="J4277" i="6"/>
  <c r="A4278" i="6"/>
  <c r="B4278" i="6"/>
  <c r="C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E4287" i="6" s="1"/>
  <c r="L4287" i="6" s="1"/>
  <c r="J4287" i="6"/>
  <c r="A4288" i="6"/>
  <c r="B4288" i="6"/>
  <c r="C4288" i="6"/>
  <c r="F4288" i="6"/>
  <c r="G4288" i="6"/>
  <c r="H4288" i="6"/>
  <c r="I4288" i="6"/>
  <c r="E4288" i="6" s="1"/>
  <c r="J4288" i="6"/>
  <c r="A4289" i="6"/>
  <c r="B4289" i="6"/>
  <c r="C4289" i="6"/>
  <c r="F4289" i="6"/>
  <c r="G4289" i="6"/>
  <c r="H4289" i="6"/>
  <c r="I4289" i="6"/>
  <c r="E4289" i="6" s="1"/>
  <c r="J4289" i="6"/>
  <c r="A4290" i="6"/>
  <c r="B4290" i="6"/>
  <c r="C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E4293" i="6" s="1"/>
  <c r="L4293" i="6" s="1"/>
  <c r="J4293" i="6"/>
  <c r="A4294" i="6"/>
  <c r="B4294" i="6"/>
  <c r="C4294" i="6"/>
  <c r="F4294" i="6"/>
  <c r="G4294" i="6"/>
  <c r="H4294" i="6"/>
  <c r="I4294" i="6"/>
  <c r="E4294" i="6" s="1"/>
  <c r="J4294" i="6"/>
  <c r="A4295" i="6"/>
  <c r="B4295" i="6"/>
  <c r="C4295" i="6"/>
  <c r="F4295" i="6"/>
  <c r="G4295" i="6"/>
  <c r="H4295" i="6"/>
  <c r="I4295" i="6"/>
  <c r="E4295" i="6" s="1"/>
  <c r="J4295" i="6"/>
  <c r="A4296" i="6"/>
  <c r="B4296" i="6"/>
  <c r="C4296" i="6"/>
  <c r="F4296" i="6"/>
  <c r="G4296" i="6"/>
  <c r="H4296" i="6"/>
  <c r="I4296" i="6"/>
  <c r="E4296" i="6" s="1"/>
  <c r="J4296" i="6"/>
  <c r="A4297" i="6"/>
  <c r="B4297" i="6"/>
  <c r="C4297" i="6"/>
  <c r="F4297" i="6"/>
  <c r="G4297" i="6"/>
  <c r="H4297" i="6"/>
  <c r="I4297" i="6"/>
  <c r="E4297" i="6" s="1"/>
  <c r="J4297" i="6"/>
  <c r="A4298" i="6"/>
  <c r="B4298" i="6"/>
  <c r="C4298" i="6"/>
  <c r="F4298" i="6"/>
  <c r="G4298" i="6"/>
  <c r="H4298" i="6"/>
  <c r="I4298" i="6"/>
  <c r="E4298" i="6" s="1"/>
  <c r="J4298" i="6"/>
  <c r="A4299" i="6"/>
  <c r="B4299" i="6"/>
  <c r="C4299" i="6"/>
  <c r="F4299" i="6"/>
  <c r="G4299" i="6"/>
  <c r="H4299" i="6"/>
  <c r="I4299" i="6"/>
  <c r="E4299" i="6" s="1"/>
  <c r="J4299" i="6"/>
  <c r="A4300" i="6"/>
  <c r="B4300" i="6"/>
  <c r="C4300" i="6"/>
  <c r="F4300" i="6"/>
  <c r="G4300" i="6"/>
  <c r="H4300" i="6"/>
  <c r="I4300" i="6"/>
  <c r="E4300" i="6" s="1"/>
  <c r="J4300" i="6"/>
  <c r="A4301" i="6"/>
  <c r="B4301" i="6"/>
  <c r="C4301" i="6"/>
  <c r="F4301" i="6"/>
  <c r="G4301" i="6"/>
  <c r="H4301" i="6"/>
  <c r="I4301" i="6"/>
  <c r="E4301" i="6" s="1"/>
  <c r="J4301" i="6"/>
  <c r="A4302" i="6"/>
  <c r="B4302" i="6"/>
  <c r="C4302" i="6"/>
  <c r="F4302" i="6"/>
  <c r="G4302" i="6"/>
  <c r="H4302" i="6"/>
  <c r="I4302" i="6"/>
  <c r="E4302" i="6" s="1"/>
  <c r="J4302" i="6"/>
  <c r="A4303" i="6"/>
  <c r="B4303" i="6"/>
  <c r="C4303" i="6"/>
  <c r="F4303" i="6"/>
  <c r="G4303" i="6"/>
  <c r="H4303" i="6"/>
  <c r="I4303" i="6"/>
  <c r="E4303" i="6" s="1"/>
  <c r="J4303" i="6"/>
  <c r="A4304" i="6"/>
  <c r="B4304" i="6"/>
  <c r="C4304" i="6"/>
  <c r="F4304" i="6"/>
  <c r="G4304" i="6"/>
  <c r="H4304" i="6"/>
  <c r="I4304" i="6"/>
  <c r="E4304" i="6" s="1"/>
  <c r="J4304" i="6"/>
  <c r="A4305" i="6"/>
  <c r="B4305" i="6"/>
  <c r="C4305" i="6"/>
  <c r="F4305" i="6"/>
  <c r="G4305" i="6"/>
  <c r="H4305" i="6"/>
  <c r="I4305" i="6"/>
  <c r="E4305" i="6" s="1"/>
  <c r="J4305" i="6"/>
  <c r="A4306" i="6"/>
  <c r="B4306" i="6"/>
  <c r="C4306" i="6"/>
  <c r="F4306" i="6"/>
  <c r="G4306" i="6"/>
  <c r="H4306" i="6"/>
  <c r="I4306" i="6"/>
  <c r="E4306" i="6" s="1"/>
  <c r="J4306" i="6"/>
  <c r="A4307" i="6"/>
  <c r="B4307" i="6"/>
  <c r="C4307" i="6"/>
  <c r="F4307" i="6"/>
  <c r="G4307" i="6"/>
  <c r="H4307" i="6"/>
  <c r="I4307" i="6"/>
  <c r="E4307" i="6" s="1"/>
  <c r="J4307" i="6"/>
  <c r="A4308" i="6"/>
  <c r="B4308" i="6"/>
  <c r="C4308" i="6"/>
  <c r="F4308" i="6"/>
  <c r="G4308" i="6"/>
  <c r="H4308" i="6"/>
  <c r="I4308" i="6"/>
  <c r="E4308" i="6" s="1"/>
  <c r="J4308" i="6"/>
  <c r="A4309" i="6"/>
  <c r="B4309" i="6"/>
  <c r="C4309" i="6"/>
  <c r="F4309" i="6"/>
  <c r="G4309" i="6"/>
  <c r="H4309" i="6"/>
  <c r="I4309" i="6"/>
  <c r="E4309" i="6" s="1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E4313" i="6" s="1"/>
  <c r="L4313" i="6" s="1"/>
  <c r="J4313" i="6"/>
  <c r="A4314" i="6"/>
  <c r="B4314" i="6"/>
  <c r="C4314" i="6"/>
  <c r="F4314" i="6"/>
  <c r="G4314" i="6"/>
  <c r="H4314" i="6"/>
  <c r="I4314" i="6"/>
  <c r="E4314" i="6" s="1"/>
  <c r="J4314" i="6"/>
  <c r="A4315" i="6"/>
  <c r="B4315" i="6"/>
  <c r="C4315" i="6"/>
  <c r="F4315" i="6"/>
  <c r="G4315" i="6"/>
  <c r="H4315" i="6"/>
  <c r="I4315" i="6"/>
  <c r="E4315" i="6" s="1"/>
  <c r="J4315" i="6"/>
  <c r="A4316" i="6"/>
  <c r="B4316" i="6"/>
  <c r="C4316" i="6"/>
  <c r="F4316" i="6"/>
  <c r="G4316" i="6"/>
  <c r="H4316" i="6"/>
  <c r="I4316" i="6"/>
  <c r="E4316" i="6" s="1"/>
  <c r="J4316" i="6"/>
  <c r="A4317" i="6"/>
  <c r="B4317" i="6"/>
  <c r="C4317" i="6"/>
  <c r="F4317" i="6"/>
  <c r="G4317" i="6"/>
  <c r="H4317" i="6"/>
  <c r="I4317" i="6"/>
  <c r="E4317" i="6" s="1"/>
  <c r="J4317" i="6"/>
  <c r="A4318" i="6"/>
  <c r="B4318" i="6"/>
  <c r="C4318" i="6"/>
  <c r="F4318" i="6"/>
  <c r="G4318" i="6"/>
  <c r="H4318" i="6"/>
  <c r="I4318" i="6"/>
  <c r="E4318" i="6" s="1"/>
  <c r="J4318" i="6"/>
  <c r="A4319" i="6"/>
  <c r="B4319" i="6"/>
  <c r="C4319" i="6"/>
  <c r="F4319" i="6"/>
  <c r="G4319" i="6"/>
  <c r="H4319" i="6"/>
  <c r="I4319" i="6"/>
  <c r="E4319" i="6" s="1"/>
  <c r="J4319" i="6"/>
  <c r="A4320" i="6"/>
  <c r="B4320" i="6"/>
  <c r="C4320" i="6"/>
  <c r="F4320" i="6"/>
  <c r="G4320" i="6"/>
  <c r="H4320" i="6"/>
  <c r="I4320" i="6"/>
  <c r="E4320" i="6" s="1"/>
  <c r="J4320" i="6"/>
  <c r="A4321" i="6"/>
  <c r="B4321" i="6"/>
  <c r="C4321" i="6"/>
  <c r="F4321" i="6"/>
  <c r="G4321" i="6"/>
  <c r="H4321" i="6"/>
  <c r="I4321" i="6"/>
  <c r="E4321" i="6" s="1"/>
  <c r="J4321" i="6"/>
  <c r="A4322" i="6"/>
  <c r="B4322" i="6"/>
  <c r="C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F4334" i="6"/>
  <c r="G4334" i="6"/>
  <c r="H4334" i="6"/>
  <c r="I4334" i="6"/>
  <c r="E4334" i="6" s="1"/>
  <c r="L4334" i="6" s="1"/>
  <c r="J4334" i="6"/>
  <c r="A4335" i="6"/>
  <c r="B4335" i="6"/>
  <c r="C4335" i="6"/>
  <c r="F4335" i="6"/>
  <c r="G4335" i="6"/>
  <c r="H4335" i="6"/>
  <c r="I4335" i="6"/>
  <c r="E4335" i="6" s="1"/>
  <c r="J4335" i="6"/>
  <c r="A4336" i="6"/>
  <c r="B4336" i="6"/>
  <c r="C4336" i="6"/>
  <c r="F4336" i="6"/>
  <c r="G4336" i="6"/>
  <c r="H4336" i="6"/>
  <c r="I4336" i="6"/>
  <c r="E4336" i="6" s="1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F4354" i="6"/>
  <c r="G4354" i="6"/>
  <c r="H4354" i="6"/>
  <c r="I4354" i="6"/>
  <c r="E4354" i="6" s="1"/>
  <c r="L4354" i="6" s="1"/>
  <c r="J4354" i="6"/>
  <c r="A4355" i="6"/>
  <c r="B4355" i="6"/>
  <c r="C4355" i="6"/>
  <c r="F4355" i="6"/>
  <c r="G4355" i="6"/>
  <c r="H4355" i="6"/>
  <c r="I4355" i="6"/>
  <c r="E4355" i="6" s="1"/>
  <c r="J4355" i="6"/>
  <c r="A4356" i="6"/>
  <c r="B4356" i="6"/>
  <c r="C4356" i="6"/>
  <c r="F4356" i="6"/>
  <c r="G4356" i="6"/>
  <c r="H4356" i="6"/>
  <c r="I4356" i="6"/>
  <c r="E4356" i="6" s="1"/>
  <c r="J4356" i="6"/>
  <c r="A4357" i="6"/>
  <c r="B4357" i="6"/>
  <c r="C4357" i="6"/>
  <c r="F4357" i="6"/>
  <c r="G4357" i="6"/>
  <c r="H4357" i="6"/>
  <c r="I4357" i="6"/>
  <c r="E4357" i="6" s="1"/>
  <c r="J4357" i="6"/>
  <c r="A4358" i="6"/>
  <c r="B4358" i="6"/>
  <c r="C4358" i="6"/>
  <c r="F4358" i="6"/>
  <c r="G4358" i="6"/>
  <c r="H4358" i="6"/>
  <c r="I4358" i="6"/>
  <c r="E4358" i="6" s="1"/>
  <c r="J4358" i="6"/>
  <c r="A4359" i="6"/>
  <c r="B4359" i="6"/>
  <c r="C4359" i="6"/>
  <c r="F4359" i="6"/>
  <c r="G4359" i="6"/>
  <c r="H4359" i="6"/>
  <c r="I4359" i="6"/>
  <c r="E4359" i="6" s="1"/>
  <c r="J4359" i="6"/>
  <c r="A4360" i="6"/>
  <c r="B4360" i="6"/>
  <c r="C4360" i="6"/>
  <c r="F4360" i="6"/>
  <c r="G4360" i="6"/>
  <c r="H4360" i="6"/>
  <c r="I4360" i="6"/>
  <c r="E4360" i="6" s="1"/>
  <c r="J4360" i="6"/>
  <c r="A4361" i="6"/>
  <c r="B4361" i="6"/>
  <c r="C4361" i="6"/>
  <c r="F4361" i="6"/>
  <c r="G4361" i="6"/>
  <c r="H4361" i="6"/>
  <c r="I4361" i="6"/>
  <c r="E4361" i="6" s="1"/>
  <c r="J4361" i="6"/>
  <c r="A4362" i="6"/>
  <c r="B4362" i="6"/>
  <c r="C4362" i="6"/>
  <c r="F4362" i="6"/>
  <c r="G4362" i="6"/>
  <c r="H4362" i="6"/>
  <c r="I4362" i="6"/>
  <c r="E4362" i="6" s="1"/>
  <c r="J4362" i="6"/>
  <c r="A4363" i="6"/>
  <c r="B4363" i="6"/>
  <c r="C4363" i="6"/>
  <c r="F4363" i="6"/>
  <c r="G4363" i="6"/>
  <c r="H4363" i="6"/>
  <c r="I4363" i="6"/>
  <c r="E4363" i="6" s="1"/>
  <c r="J4363" i="6"/>
  <c r="A4364" i="6"/>
  <c r="B4364" i="6"/>
  <c r="C4364" i="6"/>
  <c r="F4364" i="6"/>
  <c r="G4364" i="6"/>
  <c r="H4364" i="6"/>
  <c r="I4364" i="6"/>
  <c r="E4364" i="6" s="1"/>
  <c r="J4364" i="6"/>
  <c r="A4365" i="6"/>
  <c r="B4365" i="6"/>
  <c r="C4365" i="6"/>
  <c r="F4365" i="6"/>
  <c r="G4365" i="6"/>
  <c r="H4365" i="6"/>
  <c r="I4365" i="6"/>
  <c r="E4365" i="6" s="1"/>
  <c r="J4365" i="6"/>
  <c r="A4366" i="6"/>
  <c r="B4366" i="6"/>
  <c r="C4366" i="6"/>
  <c r="F4366" i="6"/>
  <c r="G4366" i="6"/>
  <c r="H4366" i="6"/>
  <c r="I4366" i="6"/>
  <c r="E4366" i="6" s="1"/>
  <c r="J4366" i="6"/>
  <c r="A4367" i="6"/>
  <c r="B4367" i="6"/>
  <c r="C4367" i="6"/>
  <c r="F4367" i="6"/>
  <c r="G4367" i="6"/>
  <c r="H4367" i="6"/>
  <c r="I4367" i="6"/>
  <c r="E4367" i="6" s="1"/>
  <c r="J4367" i="6"/>
  <c r="A4368" i="6"/>
  <c r="B4368" i="6"/>
  <c r="C4368" i="6"/>
  <c r="F4368" i="6"/>
  <c r="G4368" i="6"/>
  <c r="H4368" i="6"/>
  <c r="I4368" i="6"/>
  <c r="E4368" i="6" s="1"/>
  <c r="J4368" i="6"/>
  <c r="A4369" i="6"/>
  <c r="B4369" i="6"/>
  <c r="C4369" i="6"/>
  <c r="F4369" i="6"/>
  <c r="G4369" i="6"/>
  <c r="H4369" i="6"/>
  <c r="I4369" i="6"/>
  <c r="E4369" i="6" s="1"/>
  <c r="J4369" i="6"/>
  <c r="A4370" i="6"/>
  <c r="B4370" i="6"/>
  <c r="C4370" i="6"/>
  <c r="F4370" i="6"/>
  <c r="G4370" i="6"/>
  <c r="H4370" i="6"/>
  <c r="I4370" i="6"/>
  <c r="E4370" i="6" s="1"/>
  <c r="J4370" i="6"/>
  <c r="A4371" i="6"/>
  <c r="B4371" i="6"/>
  <c r="C4371" i="6"/>
  <c r="F4371" i="6"/>
  <c r="G4371" i="6"/>
  <c r="H4371" i="6"/>
  <c r="I4371" i="6"/>
  <c r="E4371" i="6" s="1"/>
  <c r="J4371" i="6"/>
  <c r="A4372" i="6"/>
  <c r="B4372" i="6"/>
  <c r="C4372" i="6"/>
  <c r="F4372" i="6"/>
  <c r="G4372" i="6"/>
  <c r="H4372" i="6"/>
  <c r="I4372" i="6"/>
  <c r="E4372" i="6" s="1"/>
  <c r="J4372" i="6"/>
  <c r="A4373" i="6"/>
  <c r="B4373" i="6"/>
  <c r="C4373" i="6"/>
  <c r="F4373" i="6"/>
  <c r="G4373" i="6"/>
  <c r="H4373" i="6"/>
  <c r="I4373" i="6"/>
  <c r="E4373" i="6" s="1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E4377" i="6" s="1"/>
  <c r="L4377" i="6" s="1"/>
  <c r="J4377" i="6"/>
  <c r="A4378" i="6"/>
  <c r="B4378" i="6"/>
  <c r="C4378" i="6"/>
  <c r="F4378" i="6"/>
  <c r="G4378" i="6"/>
  <c r="H4378" i="6"/>
  <c r="I4378" i="6"/>
  <c r="E4378" i="6" s="1"/>
  <c r="J4378" i="6"/>
  <c r="A4379" i="6"/>
  <c r="B4379" i="6"/>
  <c r="C4379" i="6"/>
  <c r="F4379" i="6"/>
  <c r="G4379" i="6"/>
  <c r="H4379" i="6"/>
  <c r="I4379" i="6"/>
  <c r="E4379" i="6" s="1"/>
  <c r="J4379" i="6"/>
  <c r="A4380" i="6"/>
  <c r="B4380" i="6"/>
  <c r="C4380" i="6"/>
  <c r="F4380" i="6"/>
  <c r="G4380" i="6"/>
  <c r="H4380" i="6"/>
  <c r="I4380" i="6"/>
  <c r="E4380" i="6" s="1"/>
  <c r="J4380" i="6"/>
  <c r="A4381" i="6"/>
  <c r="B4381" i="6"/>
  <c r="C4381" i="6"/>
  <c r="F4381" i="6"/>
  <c r="G4381" i="6"/>
  <c r="H4381" i="6"/>
  <c r="I4381" i="6"/>
  <c r="E4381" i="6" s="1"/>
  <c r="J4381" i="6"/>
  <c r="A4382" i="6"/>
  <c r="B4382" i="6"/>
  <c r="C4382" i="6"/>
  <c r="F4382" i="6"/>
  <c r="G4382" i="6"/>
  <c r="H4382" i="6"/>
  <c r="I4382" i="6"/>
  <c r="E4382" i="6" s="1"/>
  <c r="J4382" i="6"/>
  <c r="A4383" i="6"/>
  <c r="B4383" i="6"/>
  <c r="C4383" i="6"/>
  <c r="F4383" i="6"/>
  <c r="G4383" i="6"/>
  <c r="H4383" i="6"/>
  <c r="I4383" i="6"/>
  <c r="E4383" i="6" s="1"/>
  <c r="J4383" i="6"/>
  <c r="A4384" i="6"/>
  <c r="B4384" i="6"/>
  <c r="C4384" i="6"/>
  <c r="F4384" i="6"/>
  <c r="G4384" i="6"/>
  <c r="H4384" i="6"/>
  <c r="I4384" i="6"/>
  <c r="E4384" i="6" s="1"/>
  <c r="J4384" i="6"/>
  <c r="A4385" i="6"/>
  <c r="B4385" i="6"/>
  <c r="C4385" i="6"/>
  <c r="F4385" i="6"/>
  <c r="G4385" i="6"/>
  <c r="H4385" i="6"/>
  <c r="I4385" i="6"/>
  <c r="E4385" i="6" s="1"/>
  <c r="J4385" i="6"/>
  <c r="A4386" i="6"/>
  <c r="B4386" i="6"/>
  <c r="C4386" i="6"/>
  <c r="F4386" i="6"/>
  <c r="G4386" i="6"/>
  <c r="H4386" i="6"/>
  <c r="I4386" i="6"/>
  <c r="E4386" i="6" s="1"/>
  <c r="J4386" i="6"/>
  <c r="A4387" i="6"/>
  <c r="B4387" i="6"/>
  <c r="C4387" i="6"/>
  <c r="F4387" i="6"/>
  <c r="G4387" i="6"/>
  <c r="H4387" i="6"/>
  <c r="I4387" i="6"/>
  <c r="E4387" i="6" s="1"/>
  <c r="J4387" i="6"/>
  <c r="A4388" i="6"/>
  <c r="B4388" i="6"/>
  <c r="C4388" i="6"/>
  <c r="F4388" i="6"/>
  <c r="G4388" i="6"/>
  <c r="H4388" i="6"/>
  <c r="I4388" i="6"/>
  <c r="E4388" i="6" s="1"/>
  <c r="J4388" i="6"/>
  <c r="A4389" i="6"/>
  <c r="B4389" i="6"/>
  <c r="C4389" i="6"/>
  <c r="F4389" i="6"/>
  <c r="G4389" i="6"/>
  <c r="H4389" i="6"/>
  <c r="I4389" i="6"/>
  <c r="E4389" i="6" s="1"/>
  <c r="J4389" i="6"/>
  <c r="A4390" i="6"/>
  <c r="B4390" i="6"/>
  <c r="C4390" i="6"/>
  <c r="F4390" i="6"/>
  <c r="G4390" i="6"/>
  <c r="H4390" i="6"/>
  <c r="I4390" i="6"/>
  <c r="E4390" i="6" s="1"/>
  <c r="J4390" i="6"/>
  <c r="A4391" i="6"/>
  <c r="B4391" i="6"/>
  <c r="C4391" i="6"/>
  <c r="F4391" i="6"/>
  <c r="G4391" i="6"/>
  <c r="H4391" i="6"/>
  <c r="I4391" i="6"/>
  <c r="E4391" i="6" s="1"/>
  <c r="J4391" i="6"/>
  <c r="A4392" i="6"/>
  <c r="B4392" i="6"/>
  <c r="C4392" i="6"/>
  <c r="F4392" i="6"/>
  <c r="G4392" i="6"/>
  <c r="H4392" i="6"/>
  <c r="I4392" i="6"/>
  <c r="E4392" i="6" s="1"/>
  <c r="J4392" i="6"/>
  <c r="A4393" i="6"/>
  <c r="B4393" i="6"/>
  <c r="C4393" i="6"/>
  <c r="F4393" i="6"/>
  <c r="G4393" i="6"/>
  <c r="H4393" i="6"/>
  <c r="I4393" i="6"/>
  <c r="E4393" i="6" s="1"/>
  <c r="J4393" i="6"/>
  <c r="A4394" i="6"/>
  <c r="B4394" i="6"/>
  <c r="C4394" i="6"/>
  <c r="F4394" i="6"/>
  <c r="G4394" i="6"/>
  <c r="H4394" i="6"/>
  <c r="I4394" i="6"/>
  <c r="E4394" i="6" s="1"/>
  <c r="J4394" i="6"/>
  <c r="A4395" i="6"/>
  <c r="B4395" i="6"/>
  <c r="C4395" i="6"/>
  <c r="F4395" i="6"/>
  <c r="G4395" i="6"/>
  <c r="H4395" i="6"/>
  <c r="I4395" i="6"/>
  <c r="E4395" i="6" s="1"/>
  <c r="J4395" i="6"/>
  <c r="A4396" i="6"/>
  <c r="B4396" i="6"/>
  <c r="C4396" i="6"/>
  <c r="F4396" i="6"/>
  <c r="G4396" i="6"/>
  <c r="H4396" i="6"/>
  <c r="I4396" i="6"/>
  <c r="E4396" i="6" s="1"/>
  <c r="J4396" i="6"/>
  <c r="A4397" i="6"/>
  <c r="B4397" i="6"/>
  <c r="C4397" i="6"/>
  <c r="F4397" i="6"/>
  <c r="G4397" i="6"/>
  <c r="H4397" i="6"/>
  <c r="I4397" i="6"/>
  <c r="E4397" i="6" s="1"/>
  <c r="J4397" i="6"/>
  <c r="A4398" i="6"/>
  <c r="B4398" i="6"/>
  <c r="C4398" i="6"/>
  <c r="F4398" i="6"/>
  <c r="G4398" i="6"/>
  <c r="H4398" i="6"/>
  <c r="I4398" i="6"/>
  <c r="E4398" i="6" s="1"/>
  <c r="J4398" i="6"/>
  <c r="A4399" i="6"/>
  <c r="B4399" i="6"/>
  <c r="C4399" i="6"/>
  <c r="F4399" i="6"/>
  <c r="G4399" i="6"/>
  <c r="H4399" i="6"/>
  <c r="I4399" i="6"/>
  <c r="E4399" i="6" s="1"/>
  <c r="J4399" i="6"/>
  <c r="A4400" i="6"/>
  <c r="B4400" i="6"/>
  <c r="C4400" i="6"/>
  <c r="F4400" i="6"/>
  <c r="G4400" i="6"/>
  <c r="H4400" i="6"/>
  <c r="I4400" i="6"/>
  <c r="E4400" i="6" s="1"/>
  <c r="J4400" i="6"/>
  <c r="A4401" i="6"/>
  <c r="B4401" i="6"/>
  <c r="C4401" i="6"/>
  <c r="F4401" i="6"/>
  <c r="G4401" i="6"/>
  <c r="H4401" i="6"/>
  <c r="I4401" i="6"/>
  <c r="E4401" i="6" s="1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E4405" i="6" s="1"/>
  <c r="L4405" i="6" s="1"/>
  <c r="J4405" i="6"/>
  <c r="A4406" i="6"/>
  <c r="B4406" i="6"/>
  <c r="C4406" i="6"/>
  <c r="F4406" i="6"/>
  <c r="G4406" i="6"/>
  <c r="H4406" i="6"/>
  <c r="I4406" i="6"/>
  <c r="E4406" i="6" s="1"/>
  <c r="J4406" i="6"/>
  <c r="A4407" i="6"/>
  <c r="B4407" i="6"/>
  <c r="C4407" i="6"/>
  <c r="F4407" i="6"/>
  <c r="G4407" i="6"/>
  <c r="H4407" i="6"/>
  <c r="I4407" i="6"/>
  <c r="E4407" i="6" s="1"/>
  <c r="J4407" i="6"/>
  <c r="A4408" i="6"/>
  <c r="B4408" i="6"/>
  <c r="C4408" i="6"/>
  <c r="F4408" i="6"/>
  <c r="G4408" i="6"/>
  <c r="H4408" i="6"/>
  <c r="I4408" i="6"/>
  <c r="E4408" i="6" s="1"/>
  <c r="J4408" i="6"/>
  <c r="A4409" i="6"/>
  <c r="B4409" i="6"/>
  <c r="C4409" i="6"/>
  <c r="F4409" i="6"/>
  <c r="G4409" i="6"/>
  <c r="H4409" i="6"/>
  <c r="I4409" i="6"/>
  <c r="E4409" i="6" s="1"/>
  <c r="J4409" i="6"/>
  <c r="A4410" i="6"/>
  <c r="B4410" i="6"/>
  <c r="C4410" i="6"/>
  <c r="F4410" i="6"/>
  <c r="G4410" i="6"/>
  <c r="H4410" i="6"/>
  <c r="I4410" i="6"/>
  <c r="E4410" i="6" s="1"/>
  <c r="J4410" i="6"/>
  <c r="A4411" i="6"/>
  <c r="B4411" i="6"/>
  <c r="C4411" i="6"/>
  <c r="F4411" i="6"/>
  <c r="G4411" i="6"/>
  <c r="H4411" i="6"/>
  <c r="I4411" i="6"/>
  <c r="E4411" i="6" s="1"/>
  <c r="J4411" i="6"/>
  <c r="A4412" i="6"/>
  <c r="B4412" i="6"/>
  <c r="C4412" i="6"/>
  <c r="F4412" i="6"/>
  <c r="G4412" i="6"/>
  <c r="H4412" i="6"/>
  <c r="I4412" i="6"/>
  <c r="E4412" i="6" s="1"/>
  <c r="J4412" i="6"/>
  <c r="A4413" i="6"/>
  <c r="B4413" i="6"/>
  <c r="C4413" i="6"/>
  <c r="F4413" i="6"/>
  <c r="G4413" i="6"/>
  <c r="H4413" i="6"/>
  <c r="I4413" i="6"/>
  <c r="E4413" i="6" s="1"/>
  <c r="J4413" i="6"/>
  <c r="A4414" i="6"/>
  <c r="B4414" i="6"/>
  <c r="C4414" i="6"/>
  <c r="F4414" i="6"/>
  <c r="G4414" i="6"/>
  <c r="H4414" i="6"/>
  <c r="I4414" i="6"/>
  <c r="E4414" i="6" s="1"/>
  <c r="J4414" i="6"/>
  <c r="A4415" i="6"/>
  <c r="B4415" i="6"/>
  <c r="C4415" i="6"/>
  <c r="F4415" i="6"/>
  <c r="G4415" i="6"/>
  <c r="H4415" i="6"/>
  <c r="I4415" i="6"/>
  <c r="E4415" i="6" s="1"/>
  <c r="J4415" i="6"/>
  <c r="A4416" i="6"/>
  <c r="B4416" i="6"/>
  <c r="C4416" i="6"/>
  <c r="F4416" i="6"/>
  <c r="G4416" i="6"/>
  <c r="H4416" i="6"/>
  <c r="I4416" i="6"/>
  <c r="E4416" i="6" s="1"/>
  <c r="J4416" i="6"/>
  <c r="A4417" i="6"/>
  <c r="B4417" i="6"/>
  <c r="C4417" i="6"/>
  <c r="F4417" i="6"/>
  <c r="G4417" i="6"/>
  <c r="H4417" i="6"/>
  <c r="I4417" i="6"/>
  <c r="E4417" i="6" s="1"/>
  <c r="J4417" i="6"/>
  <c r="A4418" i="6"/>
  <c r="B4418" i="6"/>
  <c r="C4418" i="6"/>
  <c r="F4418" i="6"/>
  <c r="G4418" i="6"/>
  <c r="H4418" i="6"/>
  <c r="I4418" i="6"/>
  <c r="E4418" i="6" s="1"/>
  <c r="J4418" i="6"/>
  <c r="A4419" i="6"/>
  <c r="B4419" i="6"/>
  <c r="C4419" i="6"/>
  <c r="F4419" i="6"/>
  <c r="G4419" i="6"/>
  <c r="H4419" i="6"/>
  <c r="I4419" i="6"/>
  <c r="E4419" i="6" s="1"/>
  <c r="J4419" i="6"/>
  <c r="A4420" i="6"/>
  <c r="B4420" i="6"/>
  <c r="C4420" i="6"/>
  <c r="F4420" i="6"/>
  <c r="G4420" i="6"/>
  <c r="H4420" i="6"/>
  <c r="I4420" i="6"/>
  <c r="E4420" i="6" s="1"/>
  <c r="J4420" i="6"/>
  <c r="A4421" i="6"/>
  <c r="B4421" i="6"/>
  <c r="C4421" i="6"/>
  <c r="F4421" i="6"/>
  <c r="G4421" i="6"/>
  <c r="H4421" i="6"/>
  <c r="I4421" i="6"/>
  <c r="E4421" i="6" s="1"/>
  <c r="J4421" i="6"/>
  <c r="A4422" i="6"/>
  <c r="B4422" i="6"/>
  <c r="C4422" i="6"/>
  <c r="F4422" i="6"/>
  <c r="G4422" i="6"/>
  <c r="H4422" i="6"/>
  <c r="I4422" i="6"/>
  <c r="E4422" i="6" s="1"/>
  <c r="J4422" i="6"/>
  <c r="A4423" i="6"/>
  <c r="B4423" i="6"/>
  <c r="C4423" i="6"/>
  <c r="F4423" i="6"/>
  <c r="G4423" i="6"/>
  <c r="H4423" i="6"/>
  <c r="I4423" i="6"/>
  <c r="E4423" i="6" s="1"/>
  <c r="J4423" i="6"/>
  <c r="A4424" i="6"/>
  <c r="B4424" i="6"/>
  <c r="C4424" i="6"/>
  <c r="F4424" i="6"/>
  <c r="G4424" i="6"/>
  <c r="H4424" i="6"/>
  <c r="I4424" i="6"/>
  <c r="E4424" i="6" s="1"/>
  <c r="J4424" i="6"/>
  <c r="A4425" i="6"/>
  <c r="B4425" i="6"/>
  <c r="C4425" i="6"/>
  <c r="F4425" i="6"/>
  <c r="G4425" i="6"/>
  <c r="H4425" i="6"/>
  <c r="I4425" i="6"/>
  <c r="E4425" i="6" s="1"/>
  <c r="J4425" i="6"/>
  <c r="A4426" i="6"/>
  <c r="B4426" i="6"/>
  <c r="C4426" i="6"/>
  <c r="F4426" i="6"/>
  <c r="G4426" i="6"/>
  <c r="H4426" i="6"/>
  <c r="I4426" i="6"/>
  <c r="E4426" i="6" s="1"/>
  <c r="J4426" i="6"/>
  <c r="A4427" i="6"/>
  <c r="B4427" i="6"/>
  <c r="C4427" i="6"/>
  <c r="F4427" i="6"/>
  <c r="G4427" i="6"/>
  <c r="H4427" i="6"/>
  <c r="I4427" i="6"/>
  <c r="E4427" i="6" s="1"/>
  <c r="J4427" i="6"/>
  <c r="A4428" i="6"/>
  <c r="B4428" i="6"/>
  <c r="C4428" i="6"/>
  <c r="F4428" i="6"/>
  <c r="G4428" i="6"/>
  <c r="H4428" i="6"/>
  <c r="I4428" i="6"/>
  <c r="E4428" i="6" s="1"/>
  <c r="J4428" i="6"/>
  <c r="A4429" i="6"/>
  <c r="B4429" i="6"/>
  <c r="C4429" i="6"/>
  <c r="F4429" i="6"/>
  <c r="G4429" i="6"/>
  <c r="H4429" i="6"/>
  <c r="I4429" i="6"/>
  <c r="E4429" i="6" s="1"/>
  <c r="J4429" i="6"/>
  <c r="A4430" i="6"/>
  <c r="B4430" i="6"/>
  <c r="C4430" i="6"/>
  <c r="F4430" i="6"/>
  <c r="G4430" i="6"/>
  <c r="H4430" i="6"/>
  <c r="I4430" i="6"/>
  <c r="E4430" i="6" s="1"/>
  <c r="J4430" i="6"/>
  <c r="A4431" i="6"/>
  <c r="B4431" i="6"/>
  <c r="C4431" i="6"/>
  <c r="F4431" i="6"/>
  <c r="G4431" i="6"/>
  <c r="H4431" i="6"/>
  <c r="I4431" i="6"/>
  <c r="E4431" i="6" s="1"/>
  <c r="J4431" i="6"/>
  <c r="A4432" i="6"/>
  <c r="B4432" i="6"/>
  <c r="C4432" i="6"/>
  <c r="F4432" i="6"/>
  <c r="G4432" i="6"/>
  <c r="H4432" i="6"/>
  <c r="I4432" i="6"/>
  <c r="E4432" i="6" s="1"/>
  <c r="J4432" i="6"/>
  <c r="A4433" i="6"/>
  <c r="B4433" i="6"/>
  <c r="C4433" i="6"/>
  <c r="F4433" i="6"/>
  <c r="G4433" i="6"/>
  <c r="H4433" i="6"/>
  <c r="I4433" i="6"/>
  <c r="E4433" i="6" s="1"/>
  <c r="J4433" i="6"/>
  <c r="A4434" i="6"/>
  <c r="B4434" i="6"/>
  <c r="C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E4437" i="6" s="1"/>
  <c r="L4437" i="6" s="1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E4454" i="6" s="1"/>
  <c r="L4454" i="6" s="1"/>
  <c r="J4454" i="6"/>
  <c r="A4455" i="6"/>
  <c r="B4455" i="6"/>
  <c r="C4455" i="6"/>
  <c r="F4455" i="6"/>
  <c r="G4455" i="6"/>
  <c r="H4455" i="6"/>
  <c r="I4455" i="6"/>
  <c r="E4455" i="6" s="1"/>
  <c r="J4455" i="6"/>
  <c r="A4456" i="6"/>
  <c r="B4456" i="6"/>
  <c r="C4456" i="6"/>
  <c r="F4456" i="6"/>
  <c r="G4456" i="6"/>
  <c r="H4456" i="6"/>
  <c r="I4456" i="6"/>
  <c r="E4456" i="6" s="1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E4465" i="6" s="1"/>
  <c r="L4465" i="6" s="1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E4469" i="6" s="1"/>
  <c r="L4469" i="6" s="1"/>
  <c r="J4469" i="6"/>
  <c r="A4470" i="6"/>
  <c r="B4470" i="6"/>
  <c r="C4470" i="6"/>
  <c r="F4470" i="6"/>
  <c r="G4470" i="6"/>
  <c r="H4470" i="6"/>
  <c r="I4470" i="6"/>
  <c r="E4470" i="6" s="1"/>
  <c r="J4470" i="6"/>
  <c r="A4471" i="6"/>
  <c r="B4471" i="6"/>
  <c r="C4471" i="6"/>
  <c r="F4471" i="6"/>
  <c r="G4471" i="6"/>
  <c r="H4471" i="6"/>
  <c r="I4471" i="6"/>
  <c r="E4471" i="6" s="1"/>
  <c r="J4471" i="6"/>
  <c r="A4472" i="6"/>
  <c r="B4472" i="6"/>
  <c r="C4472" i="6"/>
  <c r="F4472" i="6"/>
  <c r="G4472" i="6"/>
  <c r="H4472" i="6"/>
  <c r="I4472" i="6"/>
  <c r="E4472" i="6" s="1"/>
  <c r="J4472" i="6"/>
  <c r="A4473" i="6"/>
  <c r="B4473" i="6"/>
  <c r="C4473" i="6"/>
  <c r="F4473" i="6"/>
  <c r="G4473" i="6"/>
  <c r="H4473" i="6"/>
  <c r="I4473" i="6"/>
  <c r="E4473" i="6" s="1"/>
  <c r="J4473" i="6"/>
  <c r="A4474" i="6"/>
  <c r="B4474" i="6"/>
  <c r="C4474" i="6"/>
  <c r="F4474" i="6"/>
  <c r="G4474" i="6"/>
  <c r="H4474" i="6"/>
  <c r="I4474" i="6"/>
  <c r="E4474" i="6" s="1"/>
  <c r="J4474" i="6"/>
  <c r="A4475" i="6"/>
  <c r="B4475" i="6"/>
  <c r="C4475" i="6"/>
  <c r="F4475" i="6"/>
  <c r="G4475" i="6"/>
  <c r="H4475" i="6"/>
  <c r="I4475" i="6"/>
  <c r="E4475" i="6" s="1"/>
  <c r="J4475" i="6"/>
  <c r="A4476" i="6"/>
  <c r="B4476" i="6"/>
  <c r="C4476" i="6"/>
  <c r="F4476" i="6"/>
  <c r="G4476" i="6"/>
  <c r="H4476" i="6"/>
  <c r="I4476" i="6"/>
  <c r="E4476" i="6" s="1"/>
  <c r="J4476" i="6"/>
  <c r="A4477" i="6"/>
  <c r="B4477" i="6"/>
  <c r="C4477" i="6"/>
  <c r="F4477" i="6"/>
  <c r="G4477" i="6"/>
  <c r="H4477" i="6"/>
  <c r="I4477" i="6"/>
  <c r="E4477" i="6" s="1"/>
  <c r="J4477" i="6"/>
  <c r="A4478" i="6"/>
  <c r="B4478" i="6"/>
  <c r="C4478" i="6"/>
  <c r="F4478" i="6"/>
  <c r="G4478" i="6"/>
  <c r="H4478" i="6"/>
  <c r="I4478" i="6"/>
  <c r="E4478" i="6" s="1"/>
  <c r="J4478" i="6"/>
  <c r="A4479" i="6"/>
  <c r="B4479" i="6"/>
  <c r="C4479" i="6"/>
  <c r="F4479" i="6"/>
  <c r="G4479" i="6"/>
  <c r="H4479" i="6"/>
  <c r="I4479" i="6"/>
  <c r="E4479" i="6" s="1"/>
  <c r="J4479" i="6"/>
  <c r="A4480" i="6"/>
  <c r="B4480" i="6"/>
  <c r="C4480" i="6"/>
  <c r="F4480" i="6"/>
  <c r="G4480" i="6"/>
  <c r="H4480" i="6"/>
  <c r="I4480" i="6"/>
  <c r="E4480" i="6" s="1"/>
  <c r="J4480" i="6"/>
  <c r="A4481" i="6"/>
  <c r="B4481" i="6"/>
  <c r="C4481" i="6"/>
  <c r="F4481" i="6"/>
  <c r="G4481" i="6"/>
  <c r="H4481" i="6"/>
  <c r="I4481" i="6"/>
  <c r="E4481" i="6" s="1"/>
  <c r="J4481" i="6"/>
  <c r="A4482" i="6"/>
  <c r="B4482" i="6"/>
  <c r="C4482" i="6"/>
  <c r="F4482" i="6"/>
  <c r="G4482" i="6"/>
  <c r="H4482" i="6"/>
  <c r="I4482" i="6"/>
  <c r="E4482" i="6" s="1"/>
  <c r="J4482" i="6"/>
  <c r="A4483" i="6"/>
  <c r="B4483" i="6"/>
  <c r="C4483" i="6"/>
  <c r="F4483" i="6"/>
  <c r="G4483" i="6"/>
  <c r="H4483" i="6"/>
  <c r="I4483" i="6"/>
  <c r="E4483" i="6" s="1"/>
  <c r="J4483" i="6"/>
  <c r="A4484" i="6"/>
  <c r="B4484" i="6"/>
  <c r="C4484" i="6"/>
  <c r="F4484" i="6"/>
  <c r="G4484" i="6"/>
  <c r="H4484" i="6"/>
  <c r="I4484" i="6"/>
  <c r="E4484" i="6" s="1"/>
  <c r="J4484" i="6"/>
  <c r="A4485" i="6"/>
  <c r="B4485" i="6"/>
  <c r="C4485" i="6"/>
  <c r="F4485" i="6"/>
  <c r="G4485" i="6"/>
  <c r="H4485" i="6"/>
  <c r="I4485" i="6"/>
  <c r="E4485" i="6" s="1"/>
  <c r="J4485" i="6"/>
  <c r="A4486" i="6"/>
  <c r="B4486" i="6"/>
  <c r="C4486" i="6"/>
  <c r="F4486" i="6"/>
  <c r="G4486" i="6"/>
  <c r="H4486" i="6"/>
  <c r="I4486" i="6"/>
  <c r="E4486" i="6" s="1"/>
  <c r="J4486" i="6"/>
  <c r="A4487" i="6"/>
  <c r="B4487" i="6"/>
  <c r="C4487" i="6"/>
  <c r="F4487" i="6"/>
  <c r="G4487" i="6"/>
  <c r="H4487" i="6"/>
  <c r="I4487" i="6"/>
  <c r="E4487" i="6" s="1"/>
  <c r="J4487" i="6"/>
  <c r="A4488" i="6"/>
  <c r="B4488" i="6"/>
  <c r="C4488" i="6"/>
  <c r="F4488" i="6"/>
  <c r="G4488" i="6"/>
  <c r="H4488" i="6"/>
  <c r="I4488" i="6"/>
  <c r="E4488" i="6" s="1"/>
  <c r="J4488" i="6"/>
  <c r="A4489" i="6"/>
  <c r="B4489" i="6"/>
  <c r="C4489" i="6"/>
  <c r="F4489" i="6"/>
  <c r="G4489" i="6"/>
  <c r="H4489" i="6"/>
  <c r="I4489" i="6"/>
  <c r="E4489" i="6" s="1"/>
  <c r="J4489" i="6"/>
  <c r="A4490" i="6"/>
  <c r="B4490" i="6"/>
  <c r="C4490" i="6"/>
  <c r="F4490" i="6"/>
  <c r="G4490" i="6"/>
  <c r="H4490" i="6"/>
  <c r="I4490" i="6"/>
  <c r="E4490" i="6" s="1"/>
  <c r="J4490" i="6"/>
  <c r="A4491" i="6"/>
  <c r="B4491" i="6"/>
  <c r="C4491" i="6"/>
  <c r="F4491" i="6"/>
  <c r="G4491" i="6"/>
  <c r="H4491" i="6"/>
  <c r="I4491" i="6"/>
  <c r="E4491" i="6" s="1"/>
  <c r="J4491" i="6"/>
  <c r="A4492" i="6"/>
  <c r="B4492" i="6"/>
  <c r="C4492" i="6"/>
  <c r="F4492" i="6"/>
  <c r="G4492" i="6"/>
  <c r="H4492" i="6"/>
  <c r="I4492" i="6"/>
  <c r="E4492" i="6" s="1"/>
  <c r="J4492" i="6"/>
  <c r="A4493" i="6"/>
  <c r="B4493" i="6"/>
  <c r="C4493" i="6"/>
  <c r="F4493" i="6"/>
  <c r="G4493" i="6"/>
  <c r="H4493" i="6"/>
  <c r="I4493" i="6"/>
  <c r="E4493" i="6" s="1"/>
  <c r="J4493" i="6"/>
  <c r="A4494" i="6"/>
  <c r="B4494" i="6"/>
  <c r="C4494" i="6"/>
  <c r="F4494" i="6"/>
  <c r="G4494" i="6"/>
  <c r="H4494" i="6"/>
  <c r="I4494" i="6"/>
  <c r="E4494" i="6" s="1"/>
  <c r="J4494" i="6"/>
  <c r="A4495" i="6"/>
  <c r="B4495" i="6"/>
  <c r="C4495" i="6"/>
  <c r="F4495" i="6"/>
  <c r="G4495" i="6"/>
  <c r="H4495" i="6"/>
  <c r="I4495" i="6"/>
  <c r="E4495" i="6" s="1"/>
  <c r="J4495" i="6"/>
  <c r="A4496" i="6"/>
  <c r="B4496" i="6"/>
  <c r="C4496" i="6"/>
  <c r="F4496" i="6"/>
  <c r="G4496" i="6"/>
  <c r="H4496" i="6"/>
  <c r="I4496" i="6"/>
  <c r="E4496" i="6" s="1"/>
  <c r="J4496" i="6"/>
  <c r="A4497" i="6"/>
  <c r="B4497" i="6"/>
  <c r="C4497" i="6"/>
  <c r="F4497" i="6"/>
  <c r="G4497" i="6"/>
  <c r="H4497" i="6"/>
  <c r="I4497" i="6"/>
  <c r="E4497" i="6" s="1"/>
  <c r="J4497" i="6"/>
  <c r="A4498" i="6"/>
  <c r="B4498" i="6"/>
  <c r="C4498" i="6"/>
  <c r="F4498" i="6"/>
  <c r="G4498" i="6"/>
  <c r="H4498" i="6"/>
  <c r="I4498" i="6"/>
  <c r="E4498" i="6" s="1"/>
  <c r="J4498" i="6"/>
  <c r="A4499" i="6"/>
  <c r="B4499" i="6"/>
  <c r="C4499" i="6"/>
  <c r="F4499" i="6"/>
  <c r="G4499" i="6"/>
  <c r="H4499" i="6"/>
  <c r="I4499" i="6"/>
  <c r="E4499" i="6" s="1"/>
  <c r="J4499" i="6"/>
  <c r="A4500" i="6"/>
  <c r="B4500" i="6"/>
  <c r="C4500" i="6"/>
  <c r="F4500" i="6"/>
  <c r="G4500" i="6"/>
  <c r="H4500" i="6"/>
  <c r="I4500" i="6"/>
  <c r="E4500" i="6" s="1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E4518" i="6" s="1"/>
  <c r="L4518" i="6" s="1"/>
  <c r="J4518" i="6"/>
  <c r="A4519" i="6"/>
  <c r="B4519" i="6"/>
  <c r="C4519" i="6"/>
  <c r="F4519" i="6"/>
  <c r="G4519" i="6"/>
  <c r="H4519" i="6"/>
  <c r="I4519" i="6"/>
  <c r="E4519" i="6" s="1"/>
  <c r="J4519" i="6"/>
  <c r="A4520" i="6"/>
  <c r="B4520" i="6"/>
  <c r="C4520" i="6"/>
  <c r="F4520" i="6"/>
  <c r="G4520" i="6"/>
  <c r="H4520" i="6"/>
  <c r="I4520" i="6"/>
  <c r="E4520" i="6" s="1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E4541" i="6" s="1"/>
  <c r="L4541" i="6" s="1"/>
  <c r="J4541" i="6"/>
  <c r="A4542" i="6"/>
  <c r="B4542" i="6"/>
  <c r="C4542" i="6"/>
  <c r="F4542" i="6"/>
  <c r="G4542" i="6"/>
  <c r="H4542" i="6"/>
  <c r="I4542" i="6"/>
  <c r="E4542" i="6" s="1"/>
  <c r="J4542" i="6"/>
  <c r="A4543" i="6"/>
  <c r="B4543" i="6"/>
  <c r="C4543" i="6"/>
  <c r="F4543" i="6"/>
  <c r="G4543" i="6"/>
  <c r="H4543" i="6"/>
  <c r="I4543" i="6"/>
  <c r="E4543" i="6" s="1"/>
  <c r="J4543" i="6"/>
  <c r="A4544" i="6"/>
  <c r="B4544" i="6"/>
  <c r="C4544" i="6"/>
  <c r="F4544" i="6"/>
  <c r="G4544" i="6"/>
  <c r="H4544" i="6"/>
  <c r="I4544" i="6"/>
  <c r="E4544" i="6" s="1"/>
  <c r="J4544" i="6"/>
  <c r="A4545" i="6"/>
  <c r="B4545" i="6"/>
  <c r="C4545" i="6"/>
  <c r="F4545" i="6"/>
  <c r="G4545" i="6"/>
  <c r="H4545" i="6"/>
  <c r="I4545" i="6"/>
  <c r="E4545" i="6" s="1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E4563" i="6" s="1"/>
  <c r="L4563" i="6" s="1"/>
  <c r="J4563" i="6"/>
  <c r="A4564" i="6"/>
  <c r="B4564" i="6"/>
  <c r="C4564" i="6"/>
  <c r="F4564" i="6"/>
  <c r="G4564" i="6"/>
  <c r="H4564" i="6"/>
  <c r="I4564" i="6"/>
  <c r="E4564" i="6" s="1"/>
  <c r="J4564" i="6"/>
  <c r="A4565" i="6"/>
  <c r="B4565" i="6"/>
  <c r="C4565" i="6"/>
  <c r="F4565" i="6"/>
  <c r="G4565" i="6"/>
  <c r="H4565" i="6"/>
  <c r="I4565" i="6"/>
  <c r="E4565" i="6" s="1"/>
  <c r="J4565" i="6"/>
  <c r="A4566" i="6"/>
  <c r="B4566" i="6"/>
  <c r="C4566" i="6"/>
  <c r="F4566" i="6"/>
  <c r="G4566" i="6"/>
  <c r="H4566" i="6"/>
  <c r="I4566" i="6"/>
  <c r="E4566" i="6" s="1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E4595" i="6" s="1"/>
  <c r="L4595" i="6" s="1"/>
  <c r="J4595" i="6"/>
  <c r="A4596" i="6"/>
  <c r="B4596" i="6"/>
  <c r="C4596" i="6"/>
  <c r="F4596" i="6"/>
  <c r="G4596" i="6"/>
  <c r="H4596" i="6"/>
  <c r="I4596" i="6"/>
  <c r="E4596" i="6" s="1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E4605" i="6" s="1"/>
  <c r="L4605" i="6" s="1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E4626" i="6" s="1"/>
  <c r="L4626" i="6" s="1"/>
  <c r="J4626" i="6"/>
  <c r="A4627" i="6"/>
  <c r="B4627" i="6"/>
  <c r="C4627" i="6"/>
  <c r="F4627" i="6"/>
  <c r="G4627" i="6"/>
  <c r="H4627" i="6"/>
  <c r="I4627" i="6"/>
  <c r="E4627" i="6" s="1"/>
  <c r="J4627" i="6"/>
  <c r="A4628" i="6"/>
  <c r="B4628" i="6"/>
  <c r="C4628" i="6"/>
  <c r="F4628" i="6"/>
  <c r="G4628" i="6"/>
  <c r="H4628" i="6"/>
  <c r="I4628" i="6"/>
  <c r="E4628" i="6" s="1"/>
  <c r="J4628" i="6"/>
  <c r="A4629" i="6"/>
  <c r="B4629" i="6"/>
  <c r="C4629" i="6"/>
  <c r="F4629" i="6"/>
  <c r="G4629" i="6"/>
  <c r="H4629" i="6"/>
  <c r="I4629" i="6"/>
  <c r="E4629" i="6" s="1"/>
  <c r="J4629" i="6"/>
  <c r="A4630" i="6"/>
  <c r="B4630" i="6"/>
  <c r="C4630" i="6"/>
  <c r="F4630" i="6"/>
  <c r="G4630" i="6"/>
  <c r="H4630" i="6"/>
  <c r="I4630" i="6"/>
  <c r="E4630" i="6" s="1"/>
  <c r="J4630" i="6"/>
  <c r="A4631" i="6"/>
  <c r="B4631" i="6"/>
  <c r="C4631" i="6"/>
  <c r="F4631" i="6"/>
  <c r="G4631" i="6"/>
  <c r="H4631" i="6"/>
  <c r="I4631" i="6"/>
  <c r="E4631" i="6" s="1"/>
  <c r="L4631" i="6" s="1"/>
  <c r="J4631" i="6"/>
  <c r="A4632" i="6"/>
  <c r="B4632" i="6"/>
  <c r="C4632" i="6"/>
  <c r="F4632" i="6"/>
  <c r="G4632" i="6"/>
  <c r="H4632" i="6"/>
  <c r="I4632" i="6"/>
  <c r="E4632" i="6" s="1"/>
  <c r="J4632" i="6"/>
  <c r="A4633" i="6"/>
  <c r="B4633" i="6"/>
  <c r="C4633" i="6"/>
  <c r="F4633" i="6"/>
  <c r="G4633" i="6"/>
  <c r="H4633" i="6"/>
  <c r="I4633" i="6"/>
  <c r="E4633" i="6" s="1"/>
  <c r="J4633" i="6"/>
  <c r="A4634" i="6"/>
  <c r="B4634" i="6"/>
  <c r="C4634" i="6"/>
  <c r="F4634" i="6"/>
  <c r="G4634" i="6"/>
  <c r="H4634" i="6"/>
  <c r="I4634" i="6"/>
  <c r="E4634" i="6" s="1"/>
  <c r="J4634" i="6"/>
  <c r="A4635" i="6"/>
  <c r="B4635" i="6"/>
  <c r="C4635" i="6"/>
  <c r="F4635" i="6"/>
  <c r="G4635" i="6"/>
  <c r="H4635" i="6"/>
  <c r="I4635" i="6"/>
  <c r="E4635" i="6" s="1"/>
  <c r="J4635" i="6"/>
  <c r="A4636" i="6"/>
  <c r="B4636" i="6"/>
  <c r="C4636" i="6"/>
  <c r="F4636" i="6"/>
  <c r="G4636" i="6"/>
  <c r="H4636" i="6"/>
  <c r="I4636" i="6"/>
  <c r="E4636" i="6" s="1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E4647" i="6" s="1"/>
  <c r="L4647" i="6" s="1"/>
  <c r="J4647" i="6"/>
  <c r="A4648" i="6"/>
  <c r="B4648" i="6"/>
  <c r="C4648" i="6"/>
  <c r="F4648" i="6"/>
  <c r="G4648" i="6"/>
  <c r="H4648" i="6"/>
  <c r="I4648" i="6"/>
  <c r="E4648" i="6" s="1"/>
  <c r="J4648" i="6"/>
  <c r="A4649" i="6"/>
  <c r="B4649" i="6"/>
  <c r="C4649" i="6"/>
  <c r="F4649" i="6"/>
  <c r="G4649" i="6"/>
  <c r="H4649" i="6"/>
  <c r="I4649" i="6"/>
  <c r="E4649" i="6" s="1"/>
  <c r="J4649" i="6"/>
  <c r="A4650" i="6"/>
  <c r="B4650" i="6"/>
  <c r="C4650" i="6"/>
  <c r="F4650" i="6"/>
  <c r="G4650" i="6"/>
  <c r="H4650" i="6"/>
  <c r="I4650" i="6"/>
  <c r="E4650" i="6" s="1"/>
  <c r="J4650" i="6"/>
  <c r="A4651" i="6"/>
  <c r="B4651" i="6"/>
  <c r="C4651" i="6"/>
  <c r="F4651" i="6"/>
  <c r="G4651" i="6"/>
  <c r="H4651" i="6"/>
  <c r="I4651" i="6"/>
  <c r="E4651" i="6" s="1"/>
  <c r="J4651" i="6"/>
  <c r="A4652" i="6"/>
  <c r="B4652" i="6"/>
  <c r="C4652" i="6"/>
  <c r="F4652" i="6"/>
  <c r="G4652" i="6"/>
  <c r="H4652" i="6"/>
  <c r="I4652" i="6"/>
  <c r="E4652" i="6" s="1"/>
  <c r="J4652" i="6"/>
  <c r="A4653" i="6"/>
  <c r="B4653" i="6"/>
  <c r="C4653" i="6"/>
  <c r="F4653" i="6"/>
  <c r="G4653" i="6"/>
  <c r="H4653" i="6"/>
  <c r="I4653" i="6"/>
  <c r="E4653" i="6" s="1"/>
  <c r="J4653" i="6"/>
  <c r="A4654" i="6"/>
  <c r="B4654" i="6"/>
  <c r="C4654" i="6"/>
  <c r="F4654" i="6"/>
  <c r="G4654" i="6"/>
  <c r="H4654" i="6"/>
  <c r="I4654" i="6"/>
  <c r="E4654" i="6" s="1"/>
  <c r="L4654" i="6" s="1"/>
  <c r="J4654" i="6"/>
  <c r="A4655" i="6"/>
  <c r="B4655" i="6"/>
  <c r="C4655" i="6"/>
  <c r="F4655" i="6"/>
  <c r="G4655" i="6"/>
  <c r="H4655" i="6"/>
  <c r="I4655" i="6"/>
  <c r="E4655" i="6" s="1"/>
  <c r="J4655" i="6"/>
  <c r="A4656" i="6"/>
  <c r="B4656" i="6"/>
  <c r="C4656" i="6"/>
  <c r="F4656" i="6"/>
  <c r="G4656" i="6"/>
  <c r="H4656" i="6"/>
  <c r="I4656" i="6"/>
  <c r="E4656" i="6" s="1"/>
  <c r="J4656" i="6"/>
  <c r="A4657" i="6"/>
  <c r="B4657" i="6"/>
  <c r="C4657" i="6"/>
  <c r="F4657" i="6"/>
  <c r="G4657" i="6"/>
  <c r="H4657" i="6"/>
  <c r="I4657" i="6"/>
  <c r="E4657" i="6" s="1"/>
  <c r="J4657" i="6"/>
  <c r="A4658" i="6"/>
  <c r="B4658" i="6"/>
  <c r="C4658" i="6"/>
  <c r="F4658" i="6"/>
  <c r="G4658" i="6"/>
  <c r="H4658" i="6"/>
  <c r="I4658" i="6"/>
  <c r="E4658" i="6" s="1"/>
  <c r="J4658" i="6"/>
  <c r="A4659" i="6"/>
  <c r="B4659" i="6"/>
  <c r="C4659" i="6"/>
  <c r="F4659" i="6"/>
  <c r="G4659" i="6"/>
  <c r="H4659" i="6"/>
  <c r="I4659" i="6"/>
  <c r="E4659" i="6" s="1"/>
  <c r="L4659" i="6" s="1"/>
  <c r="J4659" i="6"/>
  <c r="A4660" i="6"/>
  <c r="B4660" i="6"/>
  <c r="C4660" i="6"/>
  <c r="F4660" i="6"/>
  <c r="G4660" i="6"/>
  <c r="H4660" i="6"/>
  <c r="I4660" i="6"/>
  <c r="E4660" i="6" s="1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E4665" i="6" s="1"/>
  <c r="L4665" i="6" s="1"/>
  <c r="J4665" i="6"/>
  <c r="A4666" i="6"/>
  <c r="B4666" i="6"/>
  <c r="C4666" i="6"/>
  <c r="F4666" i="6"/>
  <c r="G4666" i="6"/>
  <c r="H4666" i="6"/>
  <c r="I4666" i="6"/>
  <c r="E4666" i="6" s="1"/>
  <c r="J4666" i="6"/>
  <c r="A4667" i="6"/>
  <c r="B4667" i="6"/>
  <c r="C4667" i="6"/>
  <c r="F4667" i="6"/>
  <c r="G4667" i="6"/>
  <c r="H4667" i="6"/>
  <c r="I4667" i="6"/>
  <c r="E4667" i="6" s="1"/>
  <c r="L4667" i="6" s="1"/>
  <c r="J4667" i="6"/>
  <c r="A4668" i="6"/>
  <c r="B4668" i="6"/>
  <c r="C4668" i="6"/>
  <c r="F4668" i="6"/>
  <c r="G4668" i="6"/>
  <c r="H4668" i="6"/>
  <c r="I4668" i="6"/>
  <c r="E4668" i="6" s="1"/>
  <c r="J4668" i="6"/>
  <c r="A4669" i="6"/>
  <c r="B4669" i="6"/>
  <c r="C4669" i="6"/>
  <c r="F4669" i="6"/>
  <c r="G4669" i="6"/>
  <c r="H4669" i="6"/>
  <c r="I4669" i="6"/>
  <c r="E4669" i="6" s="1"/>
  <c r="J4669" i="6"/>
  <c r="A4670" i="6"/>
  <c r="B4670" i="6"/>
  <c r="C4670" i="6"/>
  <c r="F4670" i="6"/>
  <c r="G4670" i="6"/>
  <c r="H4670" i="6"/>
  <c r="I4670" i="6"/>
  <c r="E4670" i="6" s="1"/>
  <c r="J4670" i="6"/>
  <c r="A4671" i="6"/>
  <c r="B4671" i="6"/>
  <c r="C4671" i="6"/>
  <c r="F4671" i="6"/>
  <c r="G4671" i="6"/>
  <c r="H4671" i="6"/>
  <c r="I4671" i="6"/>
  <c r="E4671" i="6" s="1"/>
  <c r="J4671" i="6"/>
  <c r="A4672" i="6"/>
  <c r="B4672" i="6"/>
  <c r="C4672" i="6"/>
  <c r="F4672" i="6"/>
  <c r="G4672" i="6"/>
  <c r="H4672" i="6"/>
  <c r="I4672" i="6"/>
  <c r="E4672" i="6" s="1"/>
  <c r="J4672" i="6"/>
  <c r="A4673" i="6"/>
  <c r="B4673" i="6"/>
  <c r="C4673" i="6"/>
  <c r="F4673" i="6"/>
  <c r="G4673" i="6"/>
  <c r="H4673" i="6"/>
  <c r="I4673" i="6"/>
  <c r="E4673" i="6" s="1"/>
  <c r="J4673" i="6"/>
  <c r="A4674" i="6"/>
  <c r="B4674" i="6"/>
  <c r="C4674" i="6"/>
  <c r="F4674" i="6"/>
  <c r="G4674" i="6"/>
  <c r="H4674" i="6"/>
  <c r="I4674" i="6"/>
  <c r="E4674" i="6" s="1"/>
  <c r="J4674" i="6"/>
  <c r="A4675" i="6"/>
  <c r="B4675" i="6"/>
  <c r="C4675" i="6"/>
  <c r="F4675" i="6"/>
  <c r="G4675" i="6"/>
  <c r="H4675" i="6"/>
  <c r="I4675" i="6"/>
  <c r="E4675" i="6" s="1"/>
  <c r="L4675" i="6" s="1"/>
  <c r="J4675" i="6"/>
  <c r="A4676" i="6"/>
  <c r="B4676" i="6"/>
  <c r="C4676" i="6"/>
  <c r="F4676" i="6"/>
  <c r="G4676" i="6"/>
  <c r="H4676" i="6"/>
  <c r="I4676" i="6"/>
  <c r="E4676" i="6" s="1"/>
  <c r="J4676" i="6"/>
  <c r="A4677" i="6"/>
  <c r="B4677" i="6"/>
  <c r="C4677" i="6"/>
  <c r="F4677" i="6"/>
  <c r="G4677" i="6"/>
  <c r="H4677" i="6"/>
  <c r="I4677" i="6"/>
  <c r="E4677" i="6" s="1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E4684" i="6" s="1"/>
  <c r="L4684" i="6" s="1"/>
  <c r="J4684" i="6"/>
  <c r="A4685" i="6"/>
  <c r="B4685" i="6"/>
  <c r="C4685" i="6"/>
  <c r="F4685" i="6"/>
  <c r="G4685" i="6"/>
  <c r="H4685" i="6"/>
  <c r="I4685" i="6"/>
  <c r="E4685" i="6" s="1"/>
  <c r="J4685" i="6"/>
  <c r="A4686" i="6"/>
  <c r="B4686" i="6"/>
  <c r="C4686" i="6"/>
  <c r="F4686" i="6"/>
  <c r="G4686" i="6"/>
  <c r="H4686" i="6"/>
  <c r="I4686" i="6"/>
  <c r="E4686" i="6" s="1"/>
  <c r="J4686" i="6"/>
  <c r="A4687" i="6"/>
  <c r="B4687" i="6"/>
  <c r="C4687" i="6"/>
  <c r="F4687" i="6"/>
  <c r="G4687" i="6"/>
  <c r="H4687" i="6"/>
  <c r="I4687" i="6"/>
  <c r="E4687" i="6" s="1"/>
  <c r="L4687" i="6" s="1"/>
  <c r="J4687" i="6"/>
  <c r="A4688" i="6"/>
  <c r="B4688" i="6"/>
  <c r="C4688" i="6"/>
  <c r="F4688" i="6"/>
  <c r="G4688" i="6"/>
  <c r="H4688" i="6"/>
  <c r="I4688" i="6"/>
  <c r="E4688" i="6" s="1"/>
  <c r="J4688" i="6"/>
  <c r="A4689" i="6"/>
  <c r="B4689" i="6"/>
  <c r="C4689" i="6"/>
  <c r="F4689" i="6"/>
  <c r="G4689" i="6"/>
  <c r="H4689" i="6"/>
  <c r="I4689" i="6"/>
  <c r="E4689" i="6" s="1"/>
  <c r="J4689" i="6"/>
  <c r="A4690" i="6"/>
  <c r="B4690" i="6"/>
  <c r="C4690" i="6"/>
  <c r="F4690" i="6"/>
  <c r="G4690" i="6"/>
  <c r="H4690" i="6"/>
  <c r="I4690" i="6"/>
  <c r="E4690" i="6" s="1"/>
  <c r="J4690" i="6"/>
  <c r="A4691" i="6"/>
  <c r="B4691" i="6"/>
  <c r="C4691" i="6"/>
  <c r="F4691" i="6"/>
  <c r="G4691" i="6"/>
  <c r="H4691" i="6"/>
  <c r="I4691" i="6"/>
  <c r="E4691" i="6" s="1"/>
  <c r="J4691" i="6"/>
  <c r="A4692" i="6"/>
  <c r="B4692" i="6"/>
  <c r="C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E4700" i="6" s="1"/>
  <c r="L4700" i="6" s="1"/>
  <c r="J4700" i="6"/>
  <c r="A4701" i="6"/>
  <c r="B4701" i="6"/>
  <c r="C4701" i="6"/>
  <c r="F4701" i="6"/>
  <c r="G4701" i="6"/>
  <c r="H4701" i="6"/>
  <c r="I4701" i="6"/>
  <c r="E4701" i="6" s="1"/>
  <c r="J4701" i="6"/>
  <c r="A4702" i="6"/>
  <c r="B4702" i="6"/>
  <c r="C4702" i="6"/>
  <c r="F4702" i="6"/>
  <c r="G4702" i="6"/>
  <c r="H4702" i="6"/>
  <c r="I4702" i="6"/>
  <c r="E4702" i="6" s="1"/>
  <c r="J4702" i="6"/>
  <c r="A4703" i="6"/>
  <c r="B4703" i="6"/>
  <c r="C4703" i="6"/>
  <c r="F4703" i="6"/>
  <c r="G4703" i="6"/>
  <c r="H4703" i="6"/>
  <c r="I4703" i="6"/>
  <c r="E4703" i="6" s="1"/>
  <c r="J4703" i="6"/>
  <c r="A4704" i="6"/>
  <c r="B4704" i="6"/>
  <c r="C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E4709" i="6" s="1"/>
  <c r="L4709" i="6" s="1"/>
  <c r="J4709" i="6"/>
  <c r="A4710" i="6"/>
  <c r="B4710" i="6"/>
  <c r="C4710" i="6"/>
  <c r="F4710" i="6"/>
  <c r="G4710" i="6"/>
  <c r="H4710" i="6"/>
  <c r="I4710" i="6"/>
  <c r="E4710" i="6" s="1"/>
  <c r="J4710" i="6"/>
  <c r="A4711" i="6"/>
  <c r="B4711" i="6"/>
  <c r="C4711" i="6"/>
  <c r="F4711" i="6"/>
  <c r="G4711" i="6"/>
  <c r="H4711" i="6"/>
  <c r="I4711" i="6"/>
  <c r="E4711" i="6" s="1"/>
  <c r="J4711" i="6"/>
  <c r="A4712" i="6"/>
  <c r="B4712" i="6"/>
  <c r="C4712" i="6"/>
  <c r="F4712" i="6"/>
  <c r="G4712" i="6"/>
  <c r="H4712" i="6"/>
  <c r="I4712" i="6"/>
  <c r="E4712" i="6" s="1"/>
  <c r="J4712" i="6"/>
  <c r="A4713" i="6"/>
  <c r="B4713" i="6"/>
  <c r="C4713" i="6"/>
  <c r="F4713" i="6"/>
  <c r="G4713" i="6"/>
  <c r="H4713" i="6"/>
  <c r="I4713" i="6"/>
  <c r="E4713" i="6" s="1"/>
  <c r="L4713" i="6" s="1"/>
  <c r="J4713" i="6"/>
  <c r="A4714" i="6"/>
  <c r="B4714" i="6"/>
  <c r="C4714" i="6"/>
  <c r="F4714" i="6"/>
  <c r="G4714" i="6"/>
  <c r="H4714" i="6"/>
  <c r="I4714" i="6"/>
  <c r="E4714" i="6" s="1"/>
  <c r="J4714" i="6"/>
  <c r="A4715" i="6"/>
  <c r="B4715" i="6"/>
  <c r="C4715" i="6"/>
  <c r="F4715" i="6"/>
  <c r="G4715" i="6"/>
  <c r="H4715" i="6"/>
  <c r="I4715" i="6"/>
  <c r="E4715" i="6" s="1"/>
  <c r="J4715" i="6"/>
  <c r="A4716" i="6"/>
  <c r="B4716" i="6"/>
  <c r="C4716" i="6"/>
  <c r="F4716" i="6"/>
  <c r="G4716" i="6"/>
  <c r="H4716" i="6"/>
  <c r="I4716" i="6"/>
  <c r="E4716" i="6" s="1"/>
  <c r="J4716" i="6"/>
  <c r="A4717" i="6"/>
  <c r="B4717" i="6"/>
  <c r="C4717" i="6"/>
  <c r="F4717" i="6"/>
  <c r="G4717" i="6"/>
  <c r="H4717" i="6"/>
  <c r="I4717" i="6"/>
  <c r="E4717" i="6" s="1"/>
  <c r="L4717" i="6" s="1"/>
  <c r="J4717" i="6"/>
  <c r="A4718" i="6"/>
  <c r="B4718" i="6"/>
  <c r="C4718" i="6"/>
  <c r="F4718" i="6"/>
  <c r="G4718" i="6"/>
  <c r="H4718" i="6"/>
  <c r="I4718" i="6"/>
  <c r="E4718" i="6" s="1"/>
  <c r="J4718" i="6"/>
  <c r="A4719" i="6"/>
  <c r="B4719" i="6"/>
  <c r="C4719" i="6"/>
  <c r="F4719" i="6"/>
  <c r="G4719" i="6"/>
  <c r="H4719" i="6"/>
  <c r="I4719" i="6"/>
  <c r="E4719" i="6" s="1"/>
  <c r="L4719" i="6" s="1"/>
  <c r="J4719" i="6"/>
  <c r="A4720" i="6"/>
  <c r="B4720" i="6"/>
  <c r="C4720" i="6"/>
  <c r="F4720" i="6"/>
  <c r="G4720" i="6"/>
  <c r="H4720" i="6"/>
  <c r="I4720" i="6"/>
  <c r="E4720" i="6" s="1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E4725" i="6" s="1"/>
  <c r="L4725" i="6" s="1"/>
  <c r="J4725" i="6"/>
  <c r="A4726" i="6"/>
  <c r="B4726" i="6"/>
  <c r="C4726" i="6"/>
  <c r="F4726" i="6"/>
  <c r="G4726" i="6"/>
  <c r="H4726" i="6"/>
  <c r="I4726" i="6"/>
  <c r="E4726" i="6" s="1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E4729" i="6" s="1"/>
  <c r="L4729" i="6" s="1"/>
  <c r="J4729" i="6"/>
  <c r="A4730" i="6"/>
  <c r="B4730" i="6"/>
  <c r="C4730" i="6"/>
  <c r="F4730" i="6"/>
  <c r="G4730" i="6"/>
  <c r="H4730" i="6"/>
  <c r="I4730" i="6"/>
  <c r="E4730" i="6" s="1"/>
  <c r="J4730" i="6"/>
  <c r="A4731" i="6"/>
  <c r="B4731" i="6"/>
  <c r="C4731" i="6"/>
  <c r="F4731" i="6"/>
  <c r="G4731" i="6"/>
  <c r="H4731" i="6"/>
  <c r="I4731" i="6"/>
  <c r="E4731" i="6" s="1"/>
  <c r="J4731" i="6"/>
  <c r="A4732" i="6"/>
  <c r="B4732" i="6"/>
  <c r="C4732" i="6"/>
  <c r="F4732" i="6"/>
  <c r="G4732" i="6"/>
  <c r="H4732" i="6"/>
  <c r="I4732" i="6"/>
  <c r="E4732" i="6" s="1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F4752" i="6"/>
  <c r="G4752" i="6"/>
  <c r="H4752" i="6"/>
  <c r="I4752" i="6"/>
  <c r="E4752" i="6" s="1"/>
  <c r="L4752" i="6" s="1"/>
  <c r="J4752" i="6"/>
  <c r="A4753" i="6"/>
  <c r="B4753" i="6"/>
  <c r="C4753" i="6"/>
  <c r="F4753" i="6"/>
  <c r="G4753" i="6"/>
  <c r="H4753" i="6"/>
  <c r="I4753" i="6"/>
  <c r="E4753" i="6" s="1"/>
  <c r="J4753" i="6"/>
  <c r="A4754" i="6"/>
  <c r="B4754" i="6"/>
  <c r="C4754" i="6"/>
  <c r="F4754" i="6"/>
  <c r="G4754" i="6"/>
  <c r="H4754" i="6"/>
  <c r="I4754" i="6"/>
  <c r="E4754" i="6" s="1"/>
  <c r="J4754" i="6"/>
  <c r="A4755" i="6"/>
  <c r="B4755" i="6"/>
  <c r="C4755" i="6"/>
  <c r="F4755" i="6"/>
  <c r="G4755" i="6"/>
  <c r="H4755" i="6"/>
  <c r="I4755" i="6"/>
  <c r="E4755" i="6" s="1"/>
  <c r="L4755" i="6" s="1"/>
  <c r="J4755" i="6"/>
  <c r="A4756" i="6"/>
  <c r="B4756" i="6"/>
  <c r="C4756" i="6"/>
  <c r="F4756" i="6"/>
  <c r="G4756" i="6"/>
  <c r="H4756" i="6"/>
  <c r="I4756" i="6"/>
  <c r="E4756" i="6" s="1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E4761" i="6" s="1"/>
  <c r="L4761" i="6" s="1"/>
  <c r="J4761" i="6"/>
  <c r="A4762" i="6"/>
  <c r="B4762" i="6"/>
  <c r="C4762" i="6"/>
  <c r="F4762" i="6"/>
  <c r="G4762" i="6"/>
  <c r="H4762" i="6"/>
  <c r="I4762" i="6"/>
  <c r="E4762" i="6" s="1"/>
  <c r="J4762" i="6"/>
  <c r="A4763" i="6"/>
  <c r="B4763" i="6"/>
  <c r="C4763" i="6"/>
  <c r="F4763" i="6"/>
  <c r="G4763" i="6"/>
  <c r="H4763" i="6"/>
  <c r="I4763" i="6"/>
  <c r="E4763" i="6" s="1"/>
  <c r="J4763" i="6"/>
  <c r="A4764" i="6"/>
  <c r="B4764" i="6"/>
  <c r="C4764" i="6"/>
  <c r="F4764" i="6"/>
  <c r="G4764" i="6"/>
  <c r="H4764" i="6"/>
  <c r="I4764" i="6"/>
  <c r="E4764" i="6" s="1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E4769" i="6" s="1"/>
  <c r="L4769" i="6" s="1"/>
  <c r="J4769" i="6"/>
  <c r="A4770" i="6"/>
  <c r="B4770" i="6"/>
  <c r="C4770" i="6"/>
  <c r="F4770" i="6"/>
  <c r="G4770" i="6"/>
  <c r="H4770" i="6"/>
  <c r="I4770" i="6"/>
  <c r="E4770" i="6" s="1"/>
  <c r="J4770" i="6"/>
  <c r="A4771" i="6"/>
  <c r="B4771" i="6"/>
  <c r="C4771" i="6"/>
  <c r="F4771" i="6"/>
  <c r="G4771" i="6"/>
  <c r="H4771" i="6"/>
  <c r="I4771" i="6"/>
  <c r="E4771" i="6" s="1"/>
  <c r="J4771" i="6"/>
  <c r="A4772" i="6"/>
  <c r="B4772" i="6"/>
  <c r="C4772" i="6"/>
  <c r="F4772" i="6"/>
  <c r="G4772" i="6"/>
  <c r="H4772" i="6"/>
  <c r="I4772" i="6"/>
  <c r="E4772" i="6" s="1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E4781" i="6" s="1"/>
  <c r="L4781" i="6" s="1"/>
  <c r="J4781" i="6"/>
  <c r="A4782" i="6"/>
  <c r="B4782" i="6"/>
  <c r="C4782" i="6"/>
  <c r="F4782" i="6"/>
  <c r="G4782" i="6"/>
  <c r="H4782" i="6"/>
  <c r="I4782" i="6"/>
  <c r="E4782" i="6" s="1"/>
  <c r="J4782" i="6"/>
  <c r="A4783" i="6"/>
  <c r="B4783" i="6"/>
  <c r="C4783" i="6"/>
  <c r="F4783" i="6"/>
  <c r="G4783" i="6"/>
  <c r="H4783" i="6"/>
  <c r="I4783" i="6"/>
  <c r="E4783" i="6" s="1"/>
  <c r="J4783" i="6"/>
  <c r="A4784" i="6"/>
  <c r="B4784" i="6"/>
  <c r="C4784" i="6"/>
  <c r="F4784" i="6"/>
  <c r="G4784" i="6"/>
  <c r="H4784" i="6"/>
  <c r="I4784" i="6"/>
  <c r="E4784" i="6" s="1"/>
  <c r="J4784" i="6"/>
  <c r="A4785" i="6"/>
  <c r="B4785" i="6"/>
  <c r="C4785" i="6"/>
  <c r="F4785" i="6"/>
  <c r="G4785" i="6"/>
  <c r="H4785" i="6"/>
  <c r="I4785" i="6"/>
  <c r="E4785" i="6" s="1"/>
  <c r="L4785" i="6" s="1"/>
  <c r="J4785" i="6"/>
  <c r="A4786" i="6"/>
  <c r="B4786" i="6"/>
  <c r="C4786" i="6"/>
  <c r="F4786" i="6"/>
  <c r="G4786" i="6"/>
  <c r="H4786" i="6"/>
  <c r="I4786" i="6"/>
  <c r="E4786" i="6" s="1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E4793" i="6" s="1"/>
  <c r="L4793" i="6" s="1"/>
  <c r="J4793" i="6"/>
  <c r="A4794" i="6"/>
  <c r="B4794" i="6"/>
  <c r="C4794" i="6"/>
  <c r="F4794" i="6"/>
  <c r="G4794" i="6"/>
  <c r="H4794" i="6"/>
  <c r="I4794" i="6"/>
  <c r="E4794" i="6" s="1"/>
  <c r="J4794" i="6"/>
  <c r="A4795" i="6"/>
  <c r="B4795" i="6"/>
  <c r="C4795" i="6"/>
  <c r="F4795" i="6"/>
  <c r="G4795" i="6"/>
  <c r="H4795" i="6"/>
  <c r="I4795" i="6"/>
  <c r="E4795" i="6" s="1"/>
  <c r="J4795" i="6"/>
  <c r="A4796" i="6"/>
  <c r="B4796" i="6"/>
  <c r="C4796" i="6"/>
  <c r="F4796" i="6"/>
  <c r="G4796" i="6"/>
  <c r="H4796" i="6"/>
  <c r="I4796" i="6"/>
  <c r="E4796" i="6" s="1"/>
  <c r="J4796" i="6"/>
  <c r="A4797" i="6"/>
  <c r="B4797" i="6"/>
  <c r="C4797" i="6"/>
  <c r="F4797" i="6"/>
  <c r="G4797" i="6"/>
  <c r="H4797" i="6"/>
  <c r="I4797" i="6"/>
  <c r="E4797" i="6" s="1"/>
  <c r="L4797" i="6" s="1"/>
  <c r="J4797" i="6"/>
  <c r="A4798" i="6"/>
  <c r="B4798" i="6"/>
  <c r="C4798" i="6"/>
  <c r="F4798" i="6"/>
  <c r="G4798" i="6"/>
  <c r="H4798" i="6"/>
  <c r="I4798" i="6"/>
  <c r="E4798" i="6" s="1"/>
  <c r="J4798" i="6"/>
  <c r="A4799" i="6"/>
  <c r="B4799" i="6"/>
  <c r="C4799" i="6"/>
  <c r="F4799" i="6"/>
  <c r="G4799" i="6"/>
  <c r="H4799" i="6"/>
  <c r="I4799" i="6"/>
  <c r="E4799" i="6" s="1"/>
  <c r="J4799" i="6"/>
  <c r="A4800" i="6"/>
  <c r="B4800" i="6"/>
  <c r="C4800" i="6"/>
  <c r="F4800" i="6"/>
  <c r="G4800" i="6"/>
  <c r="H4800" i="6"/>
  <c r="I4800" i="6"/>
  <c r="E4800" i="6" s="1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E4803" i="6" s="1"/>
  <c r="J4803" i="6"/>
  <c r="A4804" i="6"/>
  <c r="B4804" i="6"/>
  <c r="C4804" i="6"/>
  <c r="F4804" i="6"/>
  <c r="G4804" i="6"/>
  <c r="H4804" i="6"/>
  <c r="I4804" i="6"/>
  <c r="E4804" i="6" s="1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E4809" i="6" s="1"/>
  <c r="L4809" i="6" s="1"/>
  <c r="J4809" i="6"/>
  <c r="A4810" i="6"/>
  <c r="B4810" i="6"/>
  <c r="C4810" i="6"/>
  <c r="F4810" i="6"/>
  <c r="G4810" i="6"/>
  <c r="H4810" i="6"/>
  <c r="I4810" i="6"/>
  <c r="E4810" i="6" s="1"/>
  <c r="J4810" i="6"/>
  <c r="A4811" i="6"/>
  <c r="B4811" i="6"/>
  <c r="C4811" i="6"/>
  <c r="F4811" i="6"/>
  <c r="G4811" i="6"/>
  <c r="H4811" i="6"/>
  <c r="I4811" i="6"/>
  <c r="E4811" i="6" s="1"/>
  <c r="J4811" i="6"/>
  <c r="A4812" i="6"/>
  <c r="B4812" i="6"/>
  <c r="C4812" i="6"/>
  <c r="F4812" i="6"/>
  <c r="G4812" i="6"/>
  <c r="H4812" i="6"/>
  <c r="I4812" i="6"/>
  <c r="E4812" i="6" s="1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E4817" i="6" s="1"/>
  <c r="L4817" i="6" s="1"/>
  <c r="J4817" i="6"/>
  <c r="A4818" i="6"/>
  <c r="B4818" i="6"/>
  <c r="C4818" i="6"/>
  <c r="F4818" i="6"/>
  <c r="G4818" i="6"/>
  <c r="H4818" i="6"/>
  <c r="I4818" i="6"/>
  <c r="E4818" i="6" s="1"/>
  <c r="J4818" i="6"/>
  <c r="A4819" i="6"/>
  <c r="B4819" i="6"/>
  <c r="C4819" i="6"/>
  <c r="F4819" i="6"/>
  <c r="G4819" i="6"/>
  <c r="H4819" i="6"/>
  <c r="I4819" i="6"/>
  <c r="E4819" i="6" s="1"/>
  <c r="J4819" i="6"/>
  <c r="A4820" i="6"/>
  <c r="B4820" i="6"/>
  <c r="C4820" i="6"/>
  <c r="F4820" i="6"/>
  <c r="G4820" i="6"/>
  <c r="H4820" i="6"/>
  <c r="I4820" i="6"/>
  <c r="E4820" i="6" s="1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E4829" i="6" s="1"/>
  <c r="L4829" i="6" s="1"/>
  <c r="J4829" i="6"/>
  <c r="A4830" i="6"/>
  <c r="B4830" i="6"/>
  <c r="C4830" i="6"/>
  <c r="F4830" i="6"/>
  <c r="G4830" i="6"/>
  <c r="H4830" i="6"/>
  <c r="I4830" i="6"/>
  <c r="E4830" i="6" s="1"/>
  <c r="J4830" i="6"/>
  <c r="A4831" i="6"/>
  <c r="B4831" i="6"/>
  <c r="C4831" i="6"/>
  <c r="F4831" i="6"/>
  <c r="G4831" i="6"/>
  <c r="H4831" i="6"/>
  <c r="I4831" i="6"/>
  <c r="E4831" i="6" s="1"/>
  <c r="J4831" i="6"/>
  <c r="A4832" i="6"/>
  <c r="B4832" i="6"/>
  <c r="C4832" i="6"/>
  <c r="F4832" i="6"/>
  <c r="G4832" i="6"/>
  <c r="H4832" i="6"/>
  <c r="I4832" i="6"/>
  <c r="E4832" i="6" s="1"/>
  <c r="J4832" i="6"/>
  <c r="A4833" i="6"/>
  <c r="B4833" i="6"/>
  <c r="C4833" i="6"/>
  <c r="F4833" i="6"/>
  <c r="G4833" i="6"/>
  <c r="H4833" i="6"/>
  <c r="I4833" i="6"/>
  <c r="E4833" i="6" s="1"/>
  <c r="L4833" i="6" s="1"/>
  <c r="J4833" i="6"/>
  <c r="A4834" i="6"/>
  <c r="B4834" i="6"/>
  <c r="C4834" i="6"/>
  <c r="F4834" i="6"/>
  <c r="G4834" i="6"/>
  <c r="H4834" i="6"/>
  <c r="I4834" i="6"/>
  <c r="E4834" i="6" s="1"/>
  <c r="J4834" i="6"/>
  <c r="A4835" i="6"/>
  <c r="B4835" i="6"/>
  <c r="C4835" i="6"/>
  <c r="F4835" i="6"/>
  <c r="G4835" i="6"/>
  <c r="H4835" i="6"/>
  <c r="I4835" i="6"/>
  <c r="E4835" i="6" s="1"/>
  <c r="J4835" i="6"/>
  <c r="A4836" i="6"/>
  <c r="B4836" i="6"/>
  <c r="C4836" i="6"/>
  <c r="F4836" i="6"/>
  <c r="G4836" i="6"/>
  <c r="H4836" i="6"/>
  <c r="I4836" i="6"/>
  <c r="E4836" i="6" s="1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F4840" i="6"/>
  <c r="G4840" i="6"/>
  <c r="H4840" i="6"/>
  <c r="I4840" i="6"/>
  <c r="E4840" i="6" s="1"/>
  <c r="L4840" i="6" s="1"/>
  <c r="J4840" i="6"/>
  <c r="A4841" i="6"/>
  <c r="B4841" i="6"/>
  <c r="C4841" i="6"/>
  <c r="F4841" i="6"/>
  <c r="G4841" i="6"/>
  <c r="H4841" i="6"/>
  <c r="I4841" i="6"/>
  <c r="E4841" i="6" s="1"/>
  <c r="J4841" i="6"/>
  <c r="A4842" i="6"/>
  <c r="B4842" i="6"/>
  <c r="C4842" i="6"/>
  <c r="F4842" i="6"/>
  <c r="G4842" i="6"/>
  <c r="H4842" i="6"/>
  <c r="I4842" i="6"/>
  <c r="E4842" i="6" s="1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E4852" i="6" s="1"/>
  <c r="L4852" i="6" s="1"/>
  <c r="J4852" i="6"/>
  <c r="A4853" i="6"/>
  <c r="B4853" i="6"/>
  <c r="C4853" i="6"/>
  <c r="F4853" i="6"/>
  <c r="G4853" i="6"/>
  <c r="H4853" i="6"/>
  <c r="I4853" i="6"/>
  <c r="E4853" i="6" s="1"/>
  <c r="J4853" i="6"/>
  <c r="A4854" i="6"/>
  <c r="B4854" i="6"/>
  <c r="C4854" i="6"/>
  <c r="F4854" i="6"/>
  <c r="G4854" i="6"/>
  <c r="H4854" i="6"/>
  <c r="I4854" i="6"/>
  <c r="E4854" i="6" s="1"/>
  <c r="J4854" i="6"/>
  <c r="A4855" i="6"/>
  <c r="B4855" i="6"/>
  <c r="C4855" i="6"/>
  <c r="F4855" i="6"/>
  <c r="G4855" i="6"/>
  <c r="H4855" i="6"/>
  <c r="I4855" i="6"/>
  <c r="E4855" i="6" s="1"/>
  <c r="J4855" i="6"/>
  <c r="A4856" i="6"/>
  <c r="B4856" i="6"/>
  <c r="C4856" i="6"/>
  <c r="F4856" i="6"/>
  <c r="G4856" i="6"/>
  <c r="H4856" i="6"/>
  <c r="I4856" i="6"/>
  <c r="E4856" i="6" s="1"/>
  <c r="J4856" i="6"/>
  <c r="A4857" i="6"/>
  <c r="B4857" i="6"/>
  <c r="C4857" i="6"/>
  <c r="F4857" i="6"/>
  <c r="G4857" i="6"/>
  <c r="H4857" i="6"/>
  <c r="I4857" i="6"/>
  <c r="E4857" i="6" s="1"/>
  <c r="J4857" i="6"/>
  <c r="A4858" i="6"/>
  <c r="B4858" i="6"/>
  <c r="C4858" i="6"/>
  <c r="F4858" i="6"/>
  <c r="G4858" i="6"/>
  <c r="H4858" i="6"/>
  <c r="I4858" i="6"/>
  <c r="E4858" i="6" s="1"/>
  <c r="J4858" i="6"/>
  <c r="A4859" i="6"/>
  <c r="B4859" i="6"/>
  <c r="C4859" i="6"/>
  <c r="F4859" i="6"/>
  <c r="G4859" i="6"/>
  <c r="H4859" i="6"/>
  <c r="I4859" i="6"/>
  <c r="E4859" i="6" s="1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E4867" i="6" s="1"/>
  <c r="L4867" i="6" s="1"/>
  <c r="J4867" i="6"/>
  <c r="A4868" i="6"/>
  <c r="B4868" i="6"/>
  <c r="C4868" i="6"/>
  <c r="F4868" i="6"/>
  <c r="G4868" i="6"/>
  <c r="H4868" i="6"/>
  <c r="I4868" i="6"/>
  <c r="E4868" i="6" s="1"/>
  <c r="J4868" i="6"/>
  <c r="A4869" i="6"/>
  <c r="B4869" i="6"/>
  <c r="C4869" i="6"/>
  <c r="F4869" i="6"/>
  <c r="G4869" i="6"/>
  <c r="H4869" i="6"/>
  <c r="I4869" i="6"/>
  <c r="E4869" i="6" s="1"/>
  <c r="J4869" i="6"/>
  <c r="A4870" i="6"/>
  <c r="B4870" i="6"/>
  <c r="C4870" i="6"/>
  <c r="F4870" i="6"/>
  <c r="G4870" i="6"/>
  <c r="H4870" i="6"/>
  <c r="I4870" i="6"/>
  <c r="E4870" i="6" s="1"/>
  <c r="J4870" i="6"/>
  <c r="A4871" i="6"/>
  <c r="B4871" i="6"/>
  <c r="C4871" i="6"/>
  <c r="F4871" i="6"/>
  <c r="G4871" i="6"/>
  <c r="H4871" i="6"/>
  <c r="I4871" i="6"/>
  <c r="E4871" i="6" s="1"/>
  <c r="J4871" i="6"/>
  <c r="A4872" i="6"/>
  <c r="B4872" i="6"/>
  <c r="C4872" i="6"/>
  <c r="F4872" i="6"/>
  <c r="G4872" i="6"/>
  <c r="H4872" i="6"/>
  <c r="I4872" i="6"/>
  <c r="E4872" i="6" s="1"/>
  <c r="L4872" i="6" s="1"/>
  <c r="J4872" i="6"/>
  <c r="A4873" i="6"/>
  <c r="B4873" i="6"/>
  <c r="C4873" i="6"/>
  <c r="F4873" i="6"/>
  <c r="G4873" i="6"/>
  <c r="H4873" i="6"/>
  <c r="I4873" i="6"/>
  <c r="E4873" i="6" s="1"/>
  <c r="J4873" i="6"/>
  <c r="A4874" i="6"/>
  <c r="B4874" i="6"/>
  <c r="C4874" i="6"/>
  <c r="F4874" i="6"/>
  <c r="G4874" i="6"/>
  <c r="H4874" i="6"/>
  <c r="I4874" i="6"/>
  <c r="E4874" i="6" s="1"/>
  <c r="J4874" i="6"/>
  <c r="A4875" i="6"/>
  <c r="B4875" i="6"/>
  <c r="C4875" i="6"/>
  <c r="F4875" i="6"/>
  <c r="G4875" i="6"/>
  <c r="H4875" i="6"/>
  <c r="I4875" i="6"/>
  <c r="E4875" i="6" s="1"/>
  <c r="J4875" i="6"/>
  <c r="A4876" i="6"/>
  <c r="B4876" i="6"/>
  <c r="C4876" i="6"/>
  <c r="F4876" i="6"/>
  <c r="G4876" i="6"/>
  <c r="H4876" i="6"/>
  <c r="I4876" i="6"/>
  <c r="E4876" i="6" s="1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E4884" i="6" s="1"/>
  <c r="L4884" i="6" s="1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E4888" i="6" s="1"/>
  <c r="L4888" i="6" s="1"/>
  <c r="J4888" i="6"/>
  <c r="A4889" i="6"/>
  <c r="B4889" i="6"/>
  <c r="C4889" i="6"/>
  <c r="F4889" i="6"/>
  <c r="G4889" i="6"/>
  <c r="H4889" i="6"/>
  <c r="I4889" i="6"/>
  <c r="E4889" i="6" s="1"/>
  <c r="J4889" i="6"/>
  <c r="A4890" i="6"/>
  <c r="B4890" i="6"/>
  <c r="C4890" i="6"/>
  <c r="F4890" i="6"/>
  <c r="G4890" i="6"/>
  <c r="H4890" i="6"/>
  <c r="I4890" i="6"/>
  <c r="E4890" i="6" s="1"/>
  <c r="J4890" i="6"/>
  <c r="A4891" i="6"/>
  <c r="B4891" i="6"/>
  <c r="C4891" i="6"/>
  <c r="F4891" i="6"/>
  <c r="G4891" i="6"/>
  <c r="H4891" i="6"/>
  <c r="I4891" i="6"/>
  <c r="E4891" i="6" s="1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E4895" i="6" s="1"/>
  <c r="L4895" i="6" s="1"/>
  <c r="J4895" i="6"/>
  <c r="A4896" i="6"/>
  <c r="B4896" i="6"/>
  <c r="C4896" i="6"/>
  <c r="F4896" i="6"/>
  <c r="G4896" i="6"/>
  <c r="H4896" i="6"/>
  <c r="I4896" i="6"/>
  <c r="E4896" i="6" s="1"/>
  <c r="J4896" i="6"/>
  <c r="A4897" i="6"/>
  <c r="B4897" i="6"/>
  <c r="C4897" i="6"/>
  <c r="F4897" i="6"/>
  <c r="G4897" i="6"/>
  <c r="H4897" i="6"/>
  <c r="I4897" i="6"/>
  <c r="E4897" i="6" s="1"/>
  <c r="L4897" i="6" s="1"/>
  <c r="J4897" i="6"/>
  <c r="A4898" i="6"/>
  <c r="B4898" i="6"/>
  <c r="C4898" i="6"/>
  <c r="F4898" i="6"/>
  <c r="G4898" i="6"/>
  <c r="H4898" i="6"/>
  <c r="I4898" i="6"/>
  <c r="E4898" i="6" s="1"/>
  <c r="J4898" i="6"/>
  <c r="A4899" i="6"/>
  <c r="B4899" i="6"/>
  <c r="C4899" i="6"/>
  <c r="F4899" i="6"/>
  <c r="G4899" i="6"/>
  <c r="H4899" i="6"/>
  <c r="I4899" i="6"/>
  <c r="E4899" i="6" s="1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E4904" i="6" s="1"/>
  <c r="L4904" i="6" s="1"/>
  <c r="J4904" i="6"/>
  <c r="A4905" i="6"/>
  <c r="B4905" i="6"/>
  <c r="C4905" i="6"/>
  <c r="F4905" i="6"/>
  <c r="G4905" i="6"/>
  <c r="H4905" i="6"/>
  <c r="I4905" i="6"/>
  <c r="E4905" i="6" s="1"/>
  <c r="J4905" i="6"/>
  <c r="A4906" i="6"/>
  <c r="B4906" i="6"/>
  <c r="C4906" i="6"/>
  <c r="F4906" i="6"/>
  <c r="G4906" i="6"/>
  <c r="H4906" i="6"/>
  <c r="I4906" i="6"/>
  <c r="E4906" i="6" s="1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E4911" i="6" s="1"/>
  <c r="L4911" i="6" s="1"/>
  <c r="J4911" i="6"/>
  <c r="A4912" i="6"/>
  <c r="B4912" i="6"/>
  <c r="C4912" i="6"/>
  <c r="F4912" i="6"/>
  <c r="G4912" i="6"/>
  <c r="H4912" i="6"/>
  <c r="I4912" i="6"/>
  <c r="E4912" i="6" s="1"/>
  <c r="J4912" i="6"/>
  <c r="A4913" i="6"/>
  <c r="B4913" i="6"/>
  <c r="C4913" i="6"/>
  <c r="F4913" i="6"/>
  <c r="G4913" i="6"/>
  <c r="H4913" i="6"/>
  <c r="I4913" i="6"/>
  <c r="E4913" i="6" s="1"/>
  <c r="J4913" i="6"/>
  <c r="A4914" i="6"/>
  <c r="B4914" i="6"/>
  <c r="C4914" i="6"/>
  <c r="F4914" i="6"/>
  <c r="G4914" i="6"/>
  <c r="H4914" i="6"/>
  <c r="I4914" i="6"/>
  <c r="E4914" i="6" s="1"/>
  <c r="J4914" i="6"/>
  <c r="A4915" i="6"/>
  <c r="B4915" i="6"/>
  <c r="C4915" i="6"/>
  <c r="F4915" i="6"/>
  <c r="G4915" i="6"/>
  <c r="H4915" i="6"/>
  <c r="I4915" i="6"/>
  <c r="E4915" i="6" s="1"/>
  <c r="J4915" i="6"/>
  <c r="A4916" i="6"/>
  <c r="B4916" i="6"/>
  <c r="C4916" i="6"/>
  <c r="F4916" i="6"/>
  <c r="G4916" i="6"/>
  <c r="H4916" i="6"/>
  <c r="I4916" i="6"/>
  <c r="E4916" i="6" s="1"/>
  <c r="J4916" i="6"/>
  <c r="A4917" i="6"/>
  <c r="B4917" i="6"/>
  <c r="C4917" i="6"/>
  <c r="F4917" i="6"/>
  <c r="G4917" i="6"/>
  <c r="H4917" i="6"/>
  <c r="I4917" i="6"/>
  <c r="E4917" i="6" s="1"/>
  <c r="J4917" i="6"/>
  <c r="A4918" i="6"/>
  <c r="B4918" i="6"/>
  <c r="C4918" i="6"/>
  <c r="F4918" i="6"/>
  <c r="G4918" i="6"/>
  <c r="H4918" i="6"/>
  <c r="I4918" i="6"/>
  <c r="E4918" i="6" s="1"/>
  <c r="J4918" i="6"/>
  <c r="A4919" i="6"/>
  <c r="B4919" i="6"/>
  <c r="C4919" i="6"/>
  <c r="F4919" i="6"/>
  <c r="G4919" i="6"/>
  <c r="H4919" i="6"/>
  <c r="I4919" i="6"/>
  <c r="E4919" i="6" s="1"/>
  <c r="J4919" i="6"/>
  <c r="A4920" i="6"/>
  <c r="B4920" i="6"/>
  <c r="C4920" i="6"/>
  <c r="F4920" i="6"/>
  <c r="G4920" i="6"/>
  <c r="H4920" i="6"/>
  <c r="I4920" i="6"/>
  <c r="E4920" i="6" s="1"/>
  <c r="J4920" i="6"/>
  <c r="A4921" i="6"/>
  <c r="B4921" i="6"/>
  <c r="C4921" i="6"/>
  <c r="F4921" i="6"/>
  <c r="G4921" i="6"/>
  <c r="H4921" i="6"/>
  <c r="I4921" i="6"/>
  <c r="E4921" i="6" s="1"/>
  <c r="J4921" i="6"/>
  <c r="A4922" i="6"/>
  <c r="B4922" i="6"/>
  <c r="C4922" i="6"/>
  <c r="F4922" i="6"/>
  <c r="G4922" i="6"/>
  <c r="H4922" i="6"/>
  <c r="I4922" i="6"/>
  <c r="E4922" i="6" s="1"/>
  <c r="J4922" i="6"/>
  <c r="A4923" i="6"/>
  <c r="B4923" i="6"/>
  <c r="C4923" i="6"/>
  <c r="F4923" i="6"/>
  <c r="G4923" i="6"/>
  <c r="H4923" i="6"/>
  <c r="I4923" i="6"/>
  <c r="E4923" i="6" s="1"/>
  <c r="L4923" i="6" s="1"/>
  <c r="J4923" i="6"/>
  <c r="A4924" i="6"/>
  <c r="B4924" i="6"/>
  <c r="C4924" i="6"/>
  <c r="F4924" i="6"/>
  <c r="G4924" i="6"/>
  <c r="H4924" i="6"/>
  <c r="I4924" i="6"/>
  <c r="E4924" i="6" s="1"/>
  <c r="J4924" i="6"/>
  <c r="A4925" i="6"/>
  <c r="B4925" i="6"/>
  <c r="C4925" i="6"/>
  <c r="F4925" i="6"/>
  <c r="G4925" i="6"/>
  <c r="H4925" i="6"/>
  <c r="I4925" i="6"/>
  <c r="E4925" i="6" s="1"/>
  <c r="J4925" i="6"/>
  <c r="A4926" i="6"/>
  <c r="B4926" i="6"/>
  <c r="C4926" i="6"/>
  <c r="F4926" i="6"/>
  <c r="G4926" i="6"/>
  <c r="H4926" i="6"/>
  <c r="I4926" i="6"/>
  <c r="E4926" i="6" s="1"/>
  <c r="J4926" i="6"/>
  <c r="A4927" i="6"/>
  <c r="B4927" i="6"/>
  <c r="C4927" i="6"/>
  <c r="F4927" i="6"/>
  <c r="G4927" i="6"/>
  <c r="H4927" i="6"/>
  <c r="I4927" i="6"/>
  <c r="E4927" i="6" s="1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F4936" i="6"/>
  <c r="G4936" i="6"/>
  <c r="H4936" i="6"/>
  <c r="I4936" i="6"/>
  <c r="E4936" i="6" s="1"/>
  <c r="L4936" i="6" s="1"/>
  <c r="J4936" i="6"/>
  <c r="A4937" i="6"/>
  <c r="B4937" i="6"/>
  <c r="C4937" i="6"/>
  <c r="F4937" i="6"/>
  <c r="G4937" i="6"/>
  <c r="H4937" i="6"/>
  <c r="I4937" i="6"/>
  <c r="E4937" i="6" s="1"/>
  <c r="J4937" i="6"/>
  <c r="A4938" i="6"/>
  <c r="B4938" i="6"/>
  <c r="C4938" i="6"/>
  <c r="F4938" i="6"/>
  <c r="G4938" i="6"/>
  <c r="H4938" i="6"/>
  <c r="I4938" i="6"/>
  <c r="E4938" i="6" s="1"/>
  <c r="J4938" i="6"/>
  <c r="A4939" i="6"/>
  <c r="B4939" i="6"/>
  <c r="C4939" i="6"/>
  <c r="F4939" i="6"/>
  <c r="G4939" i="6"/>
  <c r="H4939" i="6"/>
  <c r="I4939" i="6"/>
  <c r="E4939" i="6" s="1"/>
  <c r="J4939" i="6"/>
  <c r="A4940" i="6"/>
  <c r="B4940" i="6"/>
  <c r="C4940" i="6"/>
  <c r="F4940" i="6"/>
  <c r="G4940" i="6"/>
  <c r="H4940" i="6"/>
  <c r="I4940" i="6"/>
  <c r="E4940" i="6" s="1"/>
  <c r="J4940" i="6"/>
  <c r="A4941" i="6"/>
  <c r="B4941" i="6"/>
  <c r="C4941" i="6"/>
  <c r="F4941" i="6"/>
  <c r="G4941" i="6"/>
  <c r="H4941" i="6"/>
  <c r="I4941" i="6"/>
  <c r="E4941" i="6" s="1"/>
  <c r="J4941" i="6"/>
  <c r="A4942" i="6"/>
  <c r="B4942" i="6"/>
  <c r="C4942" i="6"/>
  <c r="F4942" i="6"/>
  <c r="G4942" i="6"/>
  <c r="H4942" i="6"/>
  <c r="I4942" i="6"/>
  <c r="E4942" i="6" s="1"/>
  <c r="J4942" i="6"/>
  <c r="A4943" i="6"/>
  <c r="B4943" i="6"/>
  <c r="C4943" i="6"/>
  <c r="F4943" i="6"/>
  <c r="G4943" i="6"/>
  <c r="H4943" i="6"/>
  <c r="I4943" i="6"/>
  <c r="E4943" i="6" s="1"/>
  <c r="J4943" i="6"/>
  <c r="A4944" i="6"/>
  <c r="B4944" i="6"/>
  <c r="C4944" i="6"/>
  <c r="F4944" i="6"/>
  <c r="G4944" i="6"/>
  <c r="H4944" i="6"/>
  <c r="I4944" i="6"/>
  <c r="E4944" i="6" s="1"/>
  <c r="L4944" i="6" s="1"/>
  <c r="J4944" i="6"/>
  <c r="A4945" i="6"/>
  <c r="B4945" i="6"/>
  <c r="C4945" i="6"/>
  <c r="F4945" i="6"/>
  <c r="G4945" i="6"/>
  <c r="H4945" i="6"/>
  <c r="I4945" i="6"/>
  <c r="E4945" i="6" s="1"/>
  <c r="J4945" i="6"/>
  <c r="A4946" i="6"/>
  <c r="B4946" i="6"/>
  <c r="C4946" i="6"/>
  <c r="F4946" i="6"/>
  <c r="G4946" i="6"/>
  <c r="H4946" i="6"/>
  <c r="I4946" i="6"/>
  <c r="E4946" i="6" s="1"/>
  <c r="J4946" i="6"/>
  <c r="A4947" i="6"/>
  <c r="B4947" i="6"/>
  <c r="C4947" i="6"/>
  <c r="F4947" i="6"/>
  <c r="G4947" i="6"/>
  <c r="H4947" i="6"/>
  <c r="I4947" i="6"/>
  <c r="E4947" i="6" s="1"/>
  <c r="J4947" i="6"/>
  <c r="A4948" i="6"/>
  <c r="B4948" i="6"/>
  <c r="C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E4960" i="6" s="1"/>
  <c r="L4960" i="6" s="1"/>
  <c r="J4960" i="6"/>
  <c r="A4961" i="6"/>
  <c r="B4961" i="6"/>
  <c r="C4961" i="6"/>
  <c r="F4961" i="6"/>
  <c r="G4961" i="6"/>
  <c r="H4961" i="6"/>
  <c r="I4961" i="6"/>
  <c r="E4961" i="6" s="1"/>
  <c r="J4961" i="6"/>
  <c r="A4962" i="6"/>
  <c r="B4962" i="6"/>
  <c r="C4962" i="6"/>
  <c r="F4962" i="6"/>
  <c r="G4962" i="6"/>
  <c r="H4962" i="6"/>
  <c r="I4962" i="6"/>
  <c r="E4962" i="6" s="1"/>
  <c r="J4962" i="6"/>
  <c r="A4963" i="6"/>
  <c r="B4963" i="6"/>
  <c r="C4963" i="6"/>
  <c r="F4963" i="6"/>
  <c r="G4963" i="6"/>
  <c r="H4963" i="6"/>
  <c r="I4963" i="6"/>
  <c r="E4963" i="6" s="1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E4968" i="6" s="1"/>
  <c r="L4968" i="6" s="1"/>
  <c r="J4968" i="6"/>
  <c r="A4969" i="6"/>
  <c r="B4969" i="6"/>
  <c r="C4969" i="6"/>
  <c r="F4969" i="6"/>
  <c r="G4969" i="6"/>
  <c r="H4969" i="6"/>
  <c r="I4969" i="6"/>
  <c r="E4969" i="6" s="1"/>
  <c r="J4969" i="6"/>
  <c r="A4970" i="6"/>
  <c r="B4970" i="6"/>
  <c r="C4970" i="6"/>
  <c r="F4970" i="6"/>
  <c r="G4970" i="6"/>
  <c r="H4970" i="6"/>
  <c r="I4970" i="6"/>
  <c r="E4970" i="6" s="1"/>
  <c r="J4970" i="6"/>
  <c r="A4971" i="6"/>
  <c r="B4971" i="6"/>
  <c r="C4971" i="6"/>
  <c r="F4971" i="6"/>
  <c r="G4971" i="6"/>
  <c r="H4971" i="6"/>
  <c r="I4971" i="6"/>
  <c r="E4971" i="6" s="1"/>
  <c r="J4971" i="6"/>
  <c r="A4972" i="6"/>
  <c r="B4972" i="6"/>
  <c r="C4972" i="6"/>
  <c r="F4972" i="6"/>
  <c r="G4972" i="6"/>
  <c r="H4972" i="6"/>
  <c r="I4972" i="6"/>
  <c r="E4972" i="6" s="1"/>
  <c r="J4972" i="6"/>
  <c r="A4973" i="6"/>
  <c r="B4973" i="6"/>
  <c r="C4973" i="6"/>
  <c r="F4973" i="6"/>
  <c r="G4973" i="6"/>
  <c r="H4973" i="6"/>
  <c r="I4973" i="6"/>
  <c r="E4973" i="6" s="1"/>
  <c r="J4973" i="6"/>
  <c r="A4974" i="6"/>
  <c r="B4974" i="6"/>
  <c r="C4974" i="6"/>
  <c r="F4974" i="6"/>
  <c r="G4974" i="6"/>
  <c r="H4974" i="6"/>
  <c r="I4974" i="6"/>
  <c r="E4974" i="6" s="1"/>
  <c r="J4974" i="6"/>
  <c r="A4975" i="6"/>
  <c r="B4975" i="6"/>
  <c r="C4975" i="6"/>
  <c r="F4975" i="6"/>
  <c r="G4975" i="6"/>
  <c r="H4975" i="6"/>
  <c r="I4975" i="6"/>
  <c r="E4975" i="6" s="1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E4987" i="6" s="1"/>
  <c r="L4987" i="6" s="1"/>
  <c r="J4987" i="6"/>
  <c r="A4988" i="6"/>
  <c r="B4988" i="6"/>
  <c r="C4988" i="6"/>
  <c r="F4988" i="6"/>
  <c r="G4988" i="6"/>
  <c r="H4988" i="6"/>
  <c r="I4988" i="6"/>
  <c r="E4988" i="6" s="1"/>
  <c r="J4988" i="6"/>
  <c r="A4989" i="6"/>
  <c r="B4989" i="6"/>
  <c r="C4989" i="6"/>
  <c r="F4989" i="6"/>
  <c r="G4989" i="6"/>
  <c r="H4989" i="6"/>
  <c r="I4989" i="6"/>
  <c r="E4989" i="6" s="1"/>
  <c r="J4989" i="6"/>
  <c r="A4990" i="6"/>
  <c r="B4990" i="6"/>
  <c r="C4990" i="6"/>
  <c r="F4990" i="6"/>
  <c r="G4990" i="6"/>
  <c r="H4990" i="6"/>
  <c r="I4990" i="6"/>
  <c r="E4990" i="6" s="1"/>
  <c r="J4990" i="6"/>
  <c r="A4991" i="6"/>
  <c r="B4991" i="6"/>
  <c r="C4991" i="6"/>
  <c r="F4991" i="6"/>
  <c r="G4991" i="6"/>
  <c r="H4991" i="6"/>
  <c r="I4991" i="6"/>
  <c r="E4991" i="6" s="1"/>
  <c r="J4991" i="6"/>
  <c r="A4992" i="6"/>
  <c r="B4992" i="6"/>
  <c r="C4992" i="6"/>
  <c r="F4992" i="6"/>
  <c r="G4992" i="6"/>
  <c r="H4992" i="6"/>
  <c r="I4992" i="6"/>
  <c r="E4992" i="6" s="1"/>
  <c r="L4992" i="6" s="1"/>
  <c r="J4992" i="6"/>
  <c r="A4993" i="6"/>
  <c r="B4993" i="6"/>
  <c r="C4993" i="6"/>
  <c r="F4993" i="6"/>
  <c r="G4993" i="6"/>
  <c r="H4993" i="6"/>
  <c r="I4993" i="6"/>
  <c r="E4993" i="6" s="1"/>
  <c r="J4993" i="6"/>
  <c r="A4994" i="6"/>
  <c r="B4994" i="6"/>
  <c r="C4994" i="6"/>
  <c r="F4994" i="6"/>
  <c r="G4994" i="6"/>
  <c r="H4994" i="6"/>
  <c r="I4994" i="6"/>
  <c r="E4994" i="6" s="1"/>
  <c r="J4994" i="6"/>
  <c r="A4995" i="6"/>
  <c r="B4995" i="6"/>
  <c r="C4995" i="6"/>
  <c r="F4995" i="6"/>
  <c r="G4995" i="6"/>
  <c r="H4995" i="6"/>
  <c r="I4995" i="6"/>
  <c r="E4995" i="6" s="1"/>
  <c r="L4995" i="6" s="1"/>
  <c r="J4995" i="6"/>
  <c r="A4996" i="6"/>
  <c r="B4996" i="6"/>
  <c r="C4996" i="6"/>
  <c r="F4996" i="6"/>
  <c r="G4996" i="6"/>
  <c r="H4996" i="6"/>
  <c r="I4996" i="6"/>
  <c r="E4996" i="6" s="1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E5001" i="6" s="1"/>
  <c r="L5001" i="6" s="1"/>
  <c r="J5001" i="6"/>
  <c r="A5002" i="6"/>
  <c r="B5002" i="6"/>
  <c r="C5002" i="6"/>
  <c r="F5002" i="6"/>
  <c r="G5002" i="6"/>
  <c r="H5002" i="6"/>
  <c r="I5002" i="6"/>
  <c r="E5002" i="6" s="1"/>
  <c r="J5002" i="6"/>
  <c r="A5003" i="6"/>
  <c r="B5003" i="6"/>
  <c r="C5003" i="6"/>
  <c r="F5003" i="6"/>
  <c r="G5003" i="6"/>
  <c r="H5003" i="6"/>
  <c r="I5003" i="6"/>
  <c r="E5003" i="6" s="1"/>
  <c r="L5003" i="6" s="1"/>
  <c r="J5003" i="6"/>
  <c r="A5004" i="6"/>
  <c r="B5004" i="6"/>
  <c r="C5004" i="6"/>
  <c r="F5004" i="6"/>
  <c r="G5004" i="6"/>
  <c r="H5004" i="6"/>
  <c r="I5004" i="6"/>
  <c r="E5004" i="6" s="1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E5009" i="6" s="1"/>
  <c r="L5009" i="6" s="1"/>
  <c r="J5009" i="6"/>
  <c r="A5010" i="6"/>
  <c r="B5010" i="6"/>
  <c r="C5010" i="6"/>
  <c r="F5010" i="6"/>
  <c r="G5010" i="6"/>
  <c r="H5010" i="6"/>
  <c r="I5010" i="6"/>
  <c r="E5010" i="6" s="1"/>
  <c r="J5010" i="6"/>
  <c r="A5011" i="6"/>
  <c r="B5011" i="6"/>
  <c r="C5011" i="6"/>
  <c r="F5011" i="6"/>
  <c r="G5011" i="6"/>
  <c r="H5011" i="6"/>
  <c r="I5011" i="6"/>
  <c r="E5011" i="6" s="1"/>
  <c r="J5011" i="6"/>
  <c r="A5012" i="6"/>
  <c r="B5012" i="6"/>
  <c r="C5012" i="6"/>
  <c r="F5012" i="6"/>
  <c r="G5012" i="6"/>
  <c r="H5012" i="6"/>
  <c r="I5012" i="6"/>
  <c r="E5012" i="6" s="1"/>
  <c r="J5012" i="6"/>
  <c r="A5013" i="6"/>
  <c r="B5013" i="6"/>
  <c r="C5013" i="6"/>
  <c r="F5013" i="6"/>
  <c r="G5013" i="6"/>
  <c r="H5013" i="6"/>
  <c r="I5013" i="6"/>
  <c r="E5013" i="6" s="1"/>
  <c r="J5013" i="6"/>
  <c r="A5014" i="6"/>
  <c r="B5014" i="6"/>
  <c r="C5014" i="6"/>
  <c r="F5014" i="6"/>
  <c r="G5014" i="6"/>
  <c r="H5014" i="6"/>
  <c r="I5014" i="6"/>
  <c r="E5014" i="6" s="1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E5031" i="6" s="1"/>
  <c r="L5031" i="6" s="1"/>
  <c r="J5031" i="6"/>
  <c r="A5032" i="6"/>
  <c r="B5032" i="6"/>
  <c r="C5032" i="6"/>
  <c r="F5032" i="6"/>
  <c r="G5032" i="6"/>
  <c r="H5032" i="6"/>
  <c r="I5032" i="6"/>
  <c r="E5032" i="6" s="1"/>
  <c r="J5032" i="6"/>
  <c r="A5033" i="6"/>
  <c r="B5033" i="6"/>
  <c r="C5033" i="6"/>
  <c r="F5033" i="6"/>
  <c r="G5033" i="6"/>
  <c r="H5033" i="6"/>
  <c r="I5033" i="6"/>
  <c r="E5033" i="6" s="1"/>
  <c r="J5033" i="6"/>
  <c r="A5034" i="6"/>
  <c r="B5034" i="6"/>
  <c r="C5034" i="6"/>
  <c r="F5034" i="6"/>
  <c r="G5034" i="6"/>
  <c r="H5034" i="6"/>
  <c r="I5034" i="6"/>
  <c r="E5034" i="6" s="1"/>
  <c r="J5034" i="6"/>
  <c r="A5035" i="6"/>
  <c r="B5035" i="6"/>
  <c r="C5035" i="6"/>
  <c r="F5035" i="6"/>
  <c r="G5035" i="6"/>
  <c r="H5035" i="6"/>
  <c r="I5035" i="6"/>
  <c r="E5035" i="6" s="1"/>
  <c r="L5035" i="6" s="1"/>
  <c r="J5035" i="6"/>
  <c r="A5036" i="6"/>
  <c r="B5036" i="6"/>
  <c r="C5036" i="6"/>
  <c r="F5036" i="6"/>
  <c r="G5036" i="6"/>
  <c r="H5036" i="6"/>
  <c r="I5036" i="6"/>
  <c r="E5036" i="6" s="1"/>
  <c r="J5036" i="6"/>
  <c r="A5037" i="6"/>
  <c r="B5037" i="6"/>
  <c r="C5037" i="6"/>
  <c r="F5037" i="6"/>
  <c r="G5037" i="6"/>
  <c r="H5037" i="6"/>
  <c r="I5037" i="6"/>
  <c r="E5037" i="6" s="1"/>
  <c r="J5037" i="6"/>
  <c r="A5038" i="6"/>
  <c r="B5038" i="6"/>
  <c r="C5038" i="6"/>
  <c r="F5038" i="6"/>
  <c r="G5038" i="6"/>
  <c r="H5038" i="6"/>
  <c r="I5038" i="6"/>
  <c r="E5038" i="6" s="1"/>
  <c r="J5038" i="6"/>
  <c r="A5039" i="6"/>
  <c r="B5039" i="6"/>
  <c r="C5039" i="6"/>
  <c r="F5039" i="6"/>
  <c r="G5039" i="6"/>
  <c r="H5039" i="6"/>
  <c r="I5039" i="6"/>
  <c r="E5039" i="6" s="1"/>
  <c r="L5039" i="6" s="1"/>
  <c r="J5039" i="6"/>
  <c r="A5040" i="6"/>
  <c r="B5040" i="6"/>
  <c r="C5040" i="6"/>
  <c r="F5040" i="6"/>
  <c r="G5040" i="6"/>
  <c r="H5040" i="6"/>
  <c r="I5040" i="6"/>
  <c r="E5040" i="6" s="1"/>
  <c r="J5040" i="6"/>
  <c r="A5041" i="6"/>
  <c r="B5041" i="6"/>
  <c r="C5041" i="6"/>
  <c r="F5041" i="6"/>
  <c r="G5041" i="6"/>
  <c r="H5041" i="6"/>
  <c r="I5041" i="6"/>
  <c r="E5041" i="6" s="1"/>
  <c r="J5041" i="6"/>
  <c r="A5042" i="6"/>
  <c r="B5042" i="6"/>
  <c r="C5042" i="6"/>
  <c r="F5042" i="6"/>
  <c r="G5042" i="6"/>
  <c r="H5042" i="6"/>
  <c r="I5042" i="6"/>
  <c r="E5042" i="6" s="1"/>
  <c r="J5042" i="6"/>
  <c r="A5043" i="6"/>
  <c r="B5043" i="6"/>
  <c r="C5043" i="6"/>
  <c r="F5043" i="6"/>
  <c r="G5043" i="6"/>
  <c r="H5043" i="6"/>
  <c r="I5043" i="6"/>
  <c r="E5043" i="6" s="1"/>
  <c r="L5043" i="6" s="1"/>
  <c r="J5043" i="6"/>
  <c r="A5044" i="6"/>
  <c r="B5044" i="6"/>
  <c r="C5044" i="6"/>
  <c r="F5044" i="6"/>
  <c r="G5044" i="6"/>
  <c r="H5044" i="6"/>
  <c r="I5044" i="6"/>
  <c r="E5044" i="6" s="1"/>
  <c r="J5044" i="6"/>
  <c r="A5045" i="6"/>
  <c r="B5045" i="6"/>
  <c r="C5045" i="6"/>
  <c r="F5045" i="6"/>
  <c r="G5045" i="6"/>
  <c r="H5045" i="6"/>
  <c r="I5045" i="6"/>
  <c r="E5045" i="6" s="1"/>
  <c r="J5045" i="6"/>
  <c r="A5046" i="6"/>
  <c r="B5046" i="6"/>
  <c r="C5046" i="6"/>
  <c r="F5046" i="6"/>
  <c r="G5046" i="6"/>
  <c r="H5046" i="6"/>
  <c r="I5046" i="6"/>
  <c r="E5046" i="6" s="1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E5053" i="6" s="1"/>
  <c r="L5053" i="6" s="1"/>
  <c r="J5053" i="6"/>
  <c r="A5054" i="6"/>
  <c r="B5054" i="6"/>
  <c r="C5054" i="6"/>
  <c r="F5054" i="6"/>
  <c r="G5054" i="6"/>
  <c r="H5054" i="6"/>
  <c r="I5054" i="6"/>
  <c r="E5054" i="6" s="1"/>
  <c r="J5054" i="6"/>
  <c r="A5055" i="6"/>
  <c r="B5055" i="6"/>
  <c r="C5055" i="6"/>
  <c r="F5055" i="6"/>
  <c r="G5055" i="6"/>
  <c r="H5055" i="6"/>
  <c r="I5055" i="6"/>
  <c r="E5055" i="6" s="1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E5060" i="6" s="1"/>
  <c r="L5060" i="6" s="1"/>
  <c r="J5060" i="6"/>
  <c r="A5061" i="6"/>
  <c r="B5061" i="6"/>
  <c r="C5061" i="6"/>
  <c r="F5061" i="6"/>
  <c r="G5061" i="6"/>
  <c r="H5061" i="6"/>
  <c r="I5061" i="6"/>
  <c r="E5061" i="6" s="1"/>
  <c r="J5061" i="6"/>
  <c r="A5062" i="6"/>
  <c r="B5062" i="6"/>
  <c r="C5062" i="6"/>
  <c r="F5062" i="6"/>
  <c r="G5062" i="6"/>
  <c r="H5062" i="6"/>
  <c r="I5062" i="6"/>
  <c r="E5062" i="6" s="1"/>
  <c r="J5062" i="6"/>
  <c r="A5063" i="6"/>
  <c r="B5063" i="6"/>
  <c r="C5063" i="6"/>
  <c r="F5063" i="6"/>
  <c r="G5063" i="6"/>
  <c r="H5063" i="6"/>
  <c r="I5063" i="6"/>
  <c r="E5063" i="6" s="1"/>
  <c r="J5063" i="6"/>
  <c r="A5064" i="6"/>
  <c r="B5064" i="6"/>
  <c r="C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E5080" i="6" s="1"/>
  <c r="L5080" i="6" s="1"/>
  <c r="J5080" i="6"/>
  <c r="A5081" i="6"/>
  <c r="B5081" i="6"/>
  <c r="C5081" i="6"/>
  <c r="F5081" i="6"/>
  <c r="G5081" i="6"/>
  <c r="H5081" i="6"/>
  <c r="I5081" i="6"/>
  <c r="E5081" i="6" s="1"/>
  <c r="J5081" i="6"/>
  <c r="A5082" i="6"/>
  <c r="B5082" i="6"/>
  <c r="C5082" i="6"/>
  <c r="F5082" i="6"/>
  <c r="G5082" i="6"/>
  <c r="H5082" i="6"/>
  <c r="I5082" i="6"/>
  <c r="E5082" i="6" s="1"/>
  <c r="J5082" i="6"/>
  <c r="A5083" i="6"/>
  <c r="B5083" i="6"/>
  <c r="C5083" i="6"/>
  <c r="F5083" i="6"/>
  <c r="G5083" i="6"/>
  <c r="H5083" i="6"/>
  <c r="I5083" i="6"/>
  <c r="E5083" i="6" s="1"/>
  <c r="J5083" i="6"/>
  <c r="A5084" i="6"/>
  <c r="B5084" i="6"/>
  <c r="C5084" i="6"/>
  <c r="F5084" i="6"/>
  <c r="G5084" i="6"/>
  <c r="H5084" i="6"/>
  <c r="I5084" i="6"/>
  <c r="E5084" i="6" s="1"/>
  <c r="L5084" i="6" s="1"/>
  <c r="J5084" i="6"/>
  <c r="A5085" i="6"/>
  <c r="B5085" i="6"/>
  <c r="C5085" i="6"/>
  <c r="F5085" i="6"/>
  <c r="G5085" i="6"/>
  <c r="H5085" i="6"/>
  <c r="I5085" i="6"/>
  <c r="E5085" i="6" s="1"/>
  <c r="J5085" i="6"/>
  <c r="A5086" i="6"/>
  <c r="B5086" i="6"/>
  <c r="C5086" i="6"/>
  <c r="F5086" i="6"/>
  <c r="G5086" i="6"/>
  <c r="H5086" i="6"/>
  <c r="I5086" i="6"/>
  <c r="E5086" i="6" s="1"/>
  <c r="J5086" i="6"/>
  <c r="A5087" i="6"/>
  <c r="B5087" i="6"/>
  <c r="C5087" i="6"/>
  <c r="F5087" i="6"/>
  <c r="G5087" i="6"/>
  <c r="H5087" i="6"/>
  <c r="I5087" i="6"/>
  <c r="E5087" i="6" s="1"/>
  <c r="J5087" i="6"/>
  <c r="A5088" i="6"/>
  <c r="B5088" i="6"/>
  <c r="C5088" i="6"/>
  <c r="F5088" i="6"/>
  <c r="G5088" i="6"/>
  <c r="H5088" i="6"/>
  <c r="I5088" i="6"/>
  <c r="E5088" i="6" s="1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E5092" i="6" s="1"/>
  <c r="L5092" i="6" s="1"/>
  <c r="J5092" i="6"/>
  <c r="A5093" i="6"/>
  <c r="B5093" i="6"/>
  <c r="C5093" i="6"/>
  <c r="F5093" i="6"/>
  <c r="G5093" i="6"/>
  <c r="H5093" i="6"/>
  <c r="I5093" i="6"/>
  <c r="E5093" i="6" s="1"/>
  <c r="J5093" i="6"/>
  <c r="A5094" i="6"/>
  <c r="B5094" i="6"/>
  <c r="C5094" i="6"/>
  <c r="F5094" i="6"/>
  <c r="G5094" i="6"/>
  <c r="H5094" i="6"/>
  <c r="I5094" i="6"/>
  <c r="E5094" i="6" s="1"/>
  <c r="J5094" i="6"/>
  <c r="A5095" i="6"/>
  <c r="B5095" i="6"/>
  <c r="C5095" i="6"/>
  <c r="F5095" i="6"/>
  <c r="G5095" i="6"/>
  <c r="H5095" i="6"/>
  <c r="I5095" i="6"/>
  <c r="E5095" i="6" s="1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E5097" i="6" s="1"/>
  <c r="L5097" i="6" s="1"/>
  <c r="J5097" i="6"/>
  <c r="A5098" i="6"/>
  <c r="B5098" i="6"/>
  <c r="C5098" i="6"/>
  <c r="F5098" i="6"/>
  <c r="G5098" i="6"/>
  <c r="H5098" i="6"/>
  <c r="I5098" i="6"/>
  <c r="E5098" i="6" s="1"/>
  <c r="J5098" i="6"/>
  <c r="A5099" i="6"/>
  <c r="B5099" i="6"/>
  <c r="C5099" i="6"/>
  <c r="F5099" i="6"/>
  <c r="G5099" i="6"/>
  <c r="H5099" i="6"/>
  <c r="I5099" i="6"/>
  <c r="E5099" i="6" s="1"/>
  <c r="J5099" i="6"/>
  <c r="A5100" i="6"/>
  <c r="B5100" i="6"/>
  <c r="C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F5124" i="6"/>
  <c r="G5124" i="6"/>
  <c r="H5124" i="6"/>
  <c r="I5124" i="6"/>
  <c r="E5124" i="6" s="1"/>
  <c r="L5124" i="6" s="1"/>
  <c r="J5124" i="6"/>
  <c r="A5125" i="6"/>
  <c r="B5125" i="6"/>
  <c r="C5125" i="6"/>
  <c r="F5125" i="6"/>
  <c r="G5125" i="6"/>
  <c r="H5125" i="6"/>
  <c r="I5125" i="6"/>
  <c r="E5125" i="6" s="1"/>
  <c r="J5125" i="6"/>
  <c r="A5126" i="6"/>
  <c r="B5126" i="6"/>
  <c r="C5126" i="6"/>
  <c r="F5126" i="6"/>
  <c r="G5126" i="6"/>
  <c r="H5126" i="6"/>
  <c r="I5126" i="6"/>
  <c r="E5126" i="6" s="1"/>
  <c r="J5126" i="6"/>
  <c r="A5127" i="6"/>
  <c r="B5127" i="6"/>
  <c r="C5127" i="6"/>
  <c r="F5127" i="6"/>
  <c r="G5127" i="6"/>
  <c r="H5127" i="6"/>
  <c r="I5127" i="6"/>
  <c r="E5127" i="6" s="1"/>
  <c r="L5127" i="6" s="1"/>
  <c r="J5127" i="6"/>
  <c r="A5128" i="6"/>
  <c r="B5128" i="6"/>
  <c r="C5128" i="6"/>
  <c r="F5128" i="6"/>
  <c r="G5128" i="6"/>
  <c r="H5128" i="6"/>
  <c r="I5128" i="6"/>
  <c r="E5128" i="6" s="1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E5135" i="6" s="1"/>
  <c r="L5135" i="6" s="1"/>
  <c r="J5135" i="6"/>
  <c r="A5136" i="6"/>
  <c r="B5136" i="6"/>
  <c r="C5136" i="6"/>
  <c r="F5136" i="6"/>
  <c r="G5136" i="6"/>
  <c r="H5136" i="6"/>
  <c r="I5136" i="6"/>
  <c r="E5136" i="6" s="1"/>
  <c r="J5136" i="6"/>
  <c r="A5137" i="6"/>
  <c r="B5137" i="6"/>
  <c r="C5137" i="6"/>
  <c r="F5137" i="6"/>
  <c r="G5137" i="6"/>
  <c r="H5137" i="6"/>
  <c r="I5137" i="6"/>
  <c r="E5137" i="6" s="1"/>
  <c r="J5137" i="6"/>
  <c r="A5138" i="6"/>
  <c r="B5138" i="6"/>
  <c r="C5138" i="6"/>
  <c r="F5138" i="6"/>
  <c r="G5138" i="6"/>
  <c r="H5138" i="6"/>
  <c r="I5138" i="6"/>
  <c r="E5138" i="6" s="1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E5145" i="6" s="1"/>
  <c r="L5145" i="6" s="1"/>
  <c r="J5145" i="6"/>
  <c r="A5146" i="6"/>
  <c r="B5146" i="6"/>
  <c r="C5146" i="6"/>
  <c r="F5146" i="6"/>
  <c r="G5146" i="6"/>
  <c r="H5146" i="6"/>
  <c r="I5146" i="6"/>
  <c r="E5146" i="6" s="1"/>
  <c r="J5146" i="6"/>
  <c r="A5147" i="6"/>
  <c r="B5147" i="6"/>
  <c r="C5147" i="6"/>
  <c r="F5147" i="6"/>
  <c r="G5147" i="6"/>
  <c r="H5147" i="6"/>
  <c r="I5147" i="6"/>
  <c r="E5147" i="6" s="1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E5157" i="6" s="1"/>
  <c r="L5157" i="6" s="1"/>
  <c r="J5157" i="6"/>
  <c r="A5158" i="6"/>
  <c r="B5158" i="6"/>
  <c r="C5158" i="6"/>
  <c r="F5158" i="6"/>
  <c r="G5158" i="6"/>
  <c r="H5158" i="6"/>
  <c r="I5158" i="6"/>
  <c r="E5158" i="6" s="1"/>
  <c r="J5158" i="6"/>
  <c r="A5159" i="6"/>
  <c r="B5159" i="6"/>
  <c r="C5159" i="6"/>
  <c r="F5159" i="6"/>
  <c r="G5159" i="6"/>
  <c r="H5159" i="6"/>
  <c r="I5159" i="6"/>
  <c r="E5159" i="6" s="1"/>
  <c r="L5159" i="6" s="1"/>
  <c r="J5159" i="6"/>
  <c r="A5160" i="6"/>
  <c r="B5160" i="6"/>
  <c r="C5160" i="6"/>
  <c r="F5160" i="6"/>
  <c r="G5160" i="6"/>
  <c r="H5160" i="6"/>
  <c r="I5160" i="6"/>
  <c r="E5160" i="6" s="1"/>
  <c r="J5160" i="6"/>
  <c r="A5161" i="6"/>
  <c r="B5161" i="6"/>
  <c r="C5161" i="6"/>
  <c r="F5161" i="6"/>
  <c r="G5161" i="6"/>
  <c r="H5161" i="6"/>
  <c r="I5161" i="6"/>
  <c r="E5161" i="6" s="1"/>
  <c r="L5161" i="6" s="1"/>
  <c r="J5161" i="6"/>
  <c r="A5162" i="6"/>
  <c r="B5162" i="6"/>
  <c r="C5162" i="6"/>
  <c r="F5162" i="6"/>
  <c r="G5162" i="6"/>
  <c r="H5162" i="6"/>
  <c r="I5162" i="6"/>
  <c r="E5162" i="6" s="1"/>
  <c r="J5162" i="6"/>
  <c r="A5163" i="6"/>
  <c r="B5163" i="6"/>
  <c r="C5163" i="6"/>
  <c r="F5163" i="6"/>
  <c r="G5163" i="6"/>
  <c r="H5163" i="6"/>
  <c r="I5163" i="6"/>
  <c r="E5163" i="6" s="1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E5199" i="6" s="1"/>
  <c r="L5199" i="6" s="1"/>
  <c r="J5199" i="6"/>
  <c r="A5200" i="6"/>
  <c r="B5200" i="6"/>
  <c r="C5200" i="6"/>
  <c r="F5200" i="6"/>
  <c r="G5200" i="6"/>
  <c r="H5200" i="6"/>
  <c r="I5200" i="6"/>
  <c r="E5200" i="6" s="1"/>
  <c r="J5200" i="6"/>
  <c r="A5201" i="6"/>
  <c r="B5201" i="6"/>
  <c r="C5201" i="6"/>
  <c r="F5201" i="6"/>
  <c r="G5201" i="6"/>
  <c r="H5201" i="6"/>
  <c r="I5201" i="6"/>
  <c r="E5201" i="6" s="1"/>
  <c r="J5201" i="6"/>
  <c r="A5202" i="6"/>
  <c r="B5202" i="6"/>
  <c r="C5202" i="6"/>
  <c r="F5202" i="6"/>
  <c r="G5202" i="6"/>
  <c r="H5202" i="6"/>
  <c r="I5202" i="6"/>
  <c r="E5202" i="6" s="1"/>
  <c r="J5202" i="6"/>
  <c r="A5203" i="6"/>
  <c r="B5203" i="6"/>
  <c r="C5203" i="6"/>
  <c r="F5203" i="6"/>
  <c r="G5203" i="6"/>
  <c r="H5203" i="6"/>
  <c r="I5203" i="6"/>
  <c r="E5203" i="6" s="1"/>
  <c r="J5203" i="6"/>
  <c r="A5204" i="6"/>
  <c r="B5204" i="6"/>
  <c r="C5204" i="6"/>
  <c r="F5204" i="6"/>
  <c r="G5204" i="6"/>
  <c r="H5204" i="6"/>
  <c r="I5204" i="6"/>
  <c r="E5204" i="6" s="1"/>
  <c r="J5204" i="6"/>
  <c r="A5205" i="6"/>
  <c r="B5205" i="6"/>
  <c r="C5205" i="6"/>
  <c r="F5205" i="6"/>
  <c r="G5205" i="6"/>
  <c r="H5205" i="6"/>
  <c r="I5205" i="6"/>
  <c r="E5205" i="6" s="1"/>
  <c r="J5205" i="6"/>
  <c r="A5206" i="6"/>
  <c r="B5206" i="6"/>
  <c r="C5206" i="6"/>
  <c r="F5206" i="6"/>
  <c r="G5206" i="6"/>
  <c r="H5206" i="6"/>
  <c r="I5206" i="6"/>
  <c r="E5206" i="6" s="1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E5221" i="6" s="1"/>
  <c r="L5221" i="6" s="1"/>
  <c r="J5221" i="6"/>
  <c r="A5222" i="6"/>
  <c r="B5222" i="6"/>
  <c r="C5222" i="6"/>
  <c r="F5222" i="6"/>
  <c r="G5222" i="6"/>
  <c r="H5222" i="6"/>
  <c r="I5222" i="6"/>
  <c r="E5222" i="6" s="1"/>
  <c r="J5222" i="6"/>
  <c r="A5223" i="6"/>
  <c r="B5223" i="6"/>
  <c r="C5223" i="6"/>
  <c r="F5223" i="6"/>
  <c r="G5223" i="6"/>
  <c r="H5223" i="6"/>
  <c r="I5223" i="6"/>
  <c r="E5223" i="6" s="1"/>
  <c r="J5223" i="6"/>
  <c r="A5224" i="6"/>
  <c r="B5224" i="6"/>
  <c r="C5224" i="6"/>
  <c r="F5224" i="6"/>
  <c r="G5224" i="6"/>
  <c r="H5224" i="6"/>
  <c r="I5224" i="6"/>
  <c r="E5224" i="6" s="1"/>
  <c r="J5224" i="6"/>
  <c r="A5225" i="6"/>
  <c r="B5225" i="6"/>
  <c r="C5225" i="6"/>
  <c r="F5225" i="6"/>
  <c r="G5225" i="6"/>
  <c r="H5225" i="6"/>
  <c r="I5225" i="6"/>
  <c r="E5225" i="6" s="1"/>
  <c r="J5225" i="6"/>
  <c r="A5226" i="6"/>
  <c r="B5226" i="6"/>
  <c r="C5226" i="6"/>
  <c r="F5226" i="6"/>
  <c r="G5226" i="6"/>
  <c r="H5226" i="6"/>
  <c r="I5226" i="6"/>
  <c r="E5226" i="6" s="1"/>
  <c r="J5226" i="6"/>
  <c r="A5227" i="6"/>
  <c r="B5227" i="6"/>
  <c r="C5227" i="6"/>
  <c r="F5227" i="6"/>
  <c r="G5227" i="6"/>
  <c r="H5227" i="6"/>
  <c r="I5227" i="6"/>
  <c r="E5227" i="6" s="1"/>
  <c r="J5227" i="6"/>
  <c r="A5228" i="6"/>
  <c r="B5228" i="6"/>
  <c r="C5228" i="6"/>
  <c r="F5228" i="6"/>
  <c r="G5228" i="6"/>
  <c r="H5228" i="6"/>
  <c r="I5228" i="6"/>
  <c r="E5228" i="6" s="1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E5235" i="6" s="1"/>
  <c r="L5235" i="6" s="1"/>
  <c r="J5235" i="6"/>
  <c r="A5236" i="6"/>
  <c r="B5236" i="6"/>
  <c r="C5236" i="6"/>
  <c r="F5236" i="6"/>
  <c r="G5236" i="6"/>
  <c r="H5236" i="6"/>
  <c r="I5236" i="6"/>
  <c r="E5236" i="6" s="1"/>
  <c r="J5236" i="6"/>
  <c r="A5237" i="6"/>
  <c r="B5237" i="6"/>
  <c r="C5237" i="6"/>
  <c r="F5237" i="6"/>
  <c r="G5237" i="6"/>
  <c r="H5237" i="6"/>
  <c r="I5237" i="6"/>
  <c r="E5237" i="6" s="1"/>
  <c r="L5237" i="6" s="1"/>
  <c r="J5237" i="6"/>
  <c r="A5238" i="6"/>
  <c r="B5238" i="6"/>
  <c r="C5238" i="6"/>
  <c r="F5238" i="6"/>
  <c r="G5238" i="6"/>
  <c r="H5238" i="6"/>
  <c r="I5238" i="6"/>
  <c r="E5238" i="6" s="1"/>
  <c r="J5238" i="6"/>
  <c r="A5239" i="6"/>
  <c r="B5239" i="6"/>
  <c r="C5239" i="6"/>
  <c r="F5239" i="6"/>
  <c r="G5239" i="6"/>
  <c r="H5239" i="6"/>
  <c r="I5239" i="6"/>
  <c r="E5239" i="6" s="1"/>
  <c r="J5239" i="6"/>
  <c r="A5240" i="6"/>
  <c r="B5240" i="6"/>
  <c r="C5240" i="6"/>
  <c r="F5240" i="6"/>
  <c r="G5240" i="6"/>
  <c r="H5240" i="6"/>
  <c r="I5240" i="6"/>
  <c r="E5240" i="6" s="1"/>
  <c r="J5240" i="6"/>
  <c r="A5241" i="6"/>
  <c r="B5241" i="6"/>
  <c r="C5241" i="6"/>
  <c r="F5241" i="6"/>
  <c r="G5241" i="6"/>
  <c r="H5241" i="6"/>
  <c r="I5241" i="6"/>
  <c r="E5241" i="6" s="1"/>
  <c r="J5241" i="6"/>
  <c r="A5242" i="6"/>
  <c r="B5242" i="6"/>
  <c r="C5242" i="6"/>
  <c r="F5242" i="6"/>
  <c r="G5242" i="6"/>
  <c r="H5242" i="6"/>
  <c r="I5242" i="6"/>
  <c r="E5242" i="6" s="1"/>
  <c r="J5242" i="6"/>
  <c r="A5243" i="6"/>
  <c r="B5243" i="6"/>
  <c r="C5243" i="6"/>
  <c r="F5243" i="6"/>
  <c r="G5243" i="6"/>
  <c r="H5243" i="6"/>
  <c r="I5243" i="6"/>
  <c r="E5243" i="6" s="1"/>
  <c r="J5243" i="6"/>
  <c r="A5244" i="6"/>
  <c r="B5244" i="6"/>
  <c r="C5244" i="6"/>
  <c r="F5244" i="6"/>
  <c r="G5244" i="6"/>
  <c r="H5244" i="6"/>
  <c r="I5244" i="6"/>
  <c r="E5244" i="6" s="1"/>
  <c r="J5244" i="6"/>
  <c r="A5245" i="6"/>
  <c r="B5245" i="6"/>
  <c r="C5245" i="6"/>
  <c r="F5245" i="6"/>
  <c r="G5245" i="6"/>
  <c r="H5245" i="6"/>
  <c r="I5245" i="6"/>
  <c r="E5245" i="6" s="1"/>
  <c r="J5245" i="6"/>
  <c r="A5246" i="6"/>
  <c r="B5246" i="6"/>
  <c r="C5246" i="6"/>
  <c r="F5246" i="6"/>
  <c r="G5246" i="6"/>
  <c r="H5246" i="6"/>
  <c r="I5246" i="6"/>
  <c r="E5246" i="6" s="1"/>
  <c r="J5246" i="6"/>
  <c r="A5247" i="6"/>
  <c r="B5247" i="6"/>
  <c r="C5247" i="6"/>
  <c r="F5247" i="6"/>
  <c r="G5247" i="6"/>
  <c r="H5247" i="6"/>
  <c r="I5247" i="6"/>
  <c r="E5247" i="6" s="1"/>
  <c r="L5247" i="6" s="1"/>
  <c r="J5247" i="6"/>
  <c r="A5248" i="6"/>
  <c r="B5248" i="6"/>
  <c r="C5248" i="6"/>
  <c r="F5248" i="6"/>
  <c r="G5248" i="6"/>
  <c r="H5248" i="6"/>
  <c r="I5248" i="6"/>
  <c r="E5248" i="6" s="1"/>
  <c r="J5248" i="6"/>
  <c r="A5249" i="6"/>
  <c r="B5249" i="6"/>
  <c r="C5249" i="6"/>
  <c r="F5249" i="6"/>
  <c r="G5249" i="6"/>
  <c r="H5249" i="6"/>
  <c r="I5249" i="6"/>
  <c r="E5249" i="6" s="1"/>
  <c r="J5249" i="6"/>
  <c r="A5250" i="6"/>
  <c r="B5250" i="6"/>
  <c r="C5250" i="6"/>
  <c r="F5250" i="6"/>
  <c r="G5250" i="6"/>
  <c r="H5250" i="6"/>
  <c r="I5250" i="6"/>
  <c r="E5250" i="6" s="1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E5255" i="6" s="1"/>
  <c r="L5255" i="6" s="1"/>
  <c r="J5255" i="6"/>
  <c r="A5256" i="6"/>
  <c r="B5256" i="6"/>
  <c r="C5256" i="6"/>
  <c r="F5256" i="6"/>
  <c r="G5256" i="6"/>
  <c r="H5256" i="6"/>
  <c r="I5256" i="6"/>
  <c r="E5256" i="6" s="1"/>
  <c r="J5256" i="6"/>
  <c r="A5257" i="6"/>
  <c r="B5257" i="6"/>
  <c r="C5257" i="6"/>
  <c r="F5257" i="6"/>
  <c r="G5257" i="6"/>
  <c r="H5257" i="6"/>
  <c r="I5257" i="6"/>
  <c r="E5257" i="6" s="1"/>
  <c r="J5257" i="6"/>
  <c r="A5258" i="6"/>
  <c r="B5258" i="6"/>
  <c r="C5258" i="6"/>
  <c r="F5258" i="6"/>
  <c r="G5258" i="6"/>
  <c r="H5258" i="6"/>
  <c r="I5258" i="6"/>
  <c r="E5258" i="6" s="1"/>
  <c r="J5258" i="6"/>
  <c r="A5259" i="6"/>
  <c r="B5259" i="6"/>
  <c r="C5259" i="6"/>
  <c r="F5259" i="6"/>
  <c r="G5259" i="6"/>
  <c r="H5259" i="6"/>
  <c r="I5259" i="6"/>
  <c r="E5259" i="6" s="1"/>
  <c r="L5259" i="6" s="1"/>
  <c r="J5259" i="6"/>
  <c r="A5260" i="6"/>
  <c r="B5260" i="6"/>
  <c r="C5260" i="6"/>
  <c r="F5260" i="6"/>
  <c r="G5260" i="6"/>
  <c r="H5260" i="6"/>
  <c r="I5260" i="6"/>
  <c r="E5260" i="6" s="1"/>
  <c r="J5260" i="6"/>
  <c r="A5261" i="6"/>
  <c r="B5261" i="6"/>
  <c r="C5261" i="6"/>
  <c r="F5261" i="6"/>
  <c r="G5261" i="6"/>
  <c r="H5261" i="6"/>
  <c r="I5261" i="6"/>
  <c r="E5261" i="6" s="1"/>
  <c r="J5261" i="6"/>
  <c r="A5262" i="6"/>
  <c r="B5262" i="6"/>
  <c r="C5262" i="6"/>
  <c r="F5262" i="6"/>
  <c r="G5262" i="6"/>
  <c r="H5262" i="6"/>
  <c r="I5262" i="6"/>
  <c r="E5262" i="6" s="1"/>
  <c r="J5262" i="6"/>
  <c r="A5263" i="6"/>
  <c r="B5263" i="6"/>
  <c r="C5263" i="6"/>
  <c r="F5263" i="6"/>
  <c r="G5263" i="6"/>
  <c r="H5263" i="6"/>
  <c r="I5263" i="6"/>
  <c r="E5263" i="6" s="1"/>
  <c r="L5263" i="6" s="1"/>
  <c r="J5263" i="6"/>
  <c r="A5264" i="6"/>
  <c r="B5264" i="6"/>
  <c r="C5264" i="6"/>
  <c r="F5264" i="6"/>
  <c r="G5264" i="6"/>
  <c r="H5264" i="6"/>
  <c r="I5264" i="6"/>
  <c r="E5264" i="6" s="1"/>
  <c r="J5264" i="6"/>
  <c r="A5265" i="6"/>
  <c r="B5265" i="6"/>
  <c r="C5265" i="6"/>
  <c r="F5265" i="6"/>
  <c r="G5265" i="6"/>
  <c r="H5265" i="6"/>
  <c r="I5265" i="6"/>
  <c r="E5265" i="6" s="1"/>
  <c r="J5265" i="6"/>
  <c r="A5266" i="6"/>
  <c r="B5266" i="6"/>
  <c r="C5266" i="6"/>
  <c r="F5266" i="6"/>
  <c r="G5266" i="6"/>
  <c r="H5266" i="6"/>
  <c r="I5266" i="6"/>
  <c r="E5266" i="6" s="1"/>
  <c r="J5266" i="6"/>
  <c r="A5267" i="6"/>
  <c r="B5267" i="6"/>
  <c r="C5267" i="6"/>
  <c r="F5267" i="6"/>
  <c r="G5267" i="6"/>
  <c r="H5267" i="6"/>
  <c r="I5267" i="6"/>
  <c r="E5267" i="6" s="1"/>
  <c r="J5267" i="6"/>
  <c r="A5268" i="6"/>
  <c r="B5268" i="6"/>
  <c r="C5268" i="6"/>
  <c r="F5268" i="6"/>
  <c r="G5268" i="6"/>
  <c r="H5268" i="6"/>
  <c r="I5268" i="6"/>
  <c r="E5268" i="6" s="1"/>
  <c r="J5268" i="6"/>
  <c r="A5269" i="6"/>
  <c r="B5269" i="6"/>
  <c r="C5269" i="6"/>
  <c r="F5269" i="6"/>
  <c r="G5269" i="6"/>
  <c r="H5269" i="6"/>
  <c r="I5269" i="6"/>
  <c r="E5269" i="6" s="1"/>
  <c r="J5269" i="6"/>
  <c r="A5270" i="6"/>
  <c r="B5270" i="6"/>
  <c r="C5270" i="6"/>
  <c r="F5270" i="6"/>
  <c r="G5270" i="6"/>
  <c r="H5270" i="6"/>
  <c r="I5270" i="6"/>
  <c r="E5270" i="6" s="1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E5273" i="6" s="1"/>
  <c r="L5273" i="6" s="1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E5287" i="6" s="1"/>
  <c r="L5287" i="6" s="1"/>
  <c r="J5287" i="6"/>
  <c r="A5288" i="6"/>
  <c r="B5288" i="6"/>
  <c r="C5288" i="6"/>
  <c r="F5288" i="6"/>
  <c r="G5288" i="6"/>
  <c r="H5288" i="6"/>
  <c r="I5288" i="6"/>
  <c r="E5288" i="6" s="1"/>
  <c r="J5288" i="6"/>
  <c r="A5289" i="6"/>
  <c r="B5289" i="6"/>
  <c r="C5289" i="6"/>
  <c r="F5289" i="6"/>
  <c r="G5289" i="6"/>
  <c r="H5289" i="6"/>
  <c r="I5289" i="6"/>
  <c r="E5289" i="6" s="1"/>
  <c r="J5289" i="6"/>
  <c r="A5290" i="6"/>
  <c r="B5290" i="6"/>
  <c r="C5290" i="6"/>
  <c r="F5290" i="6"/>
  <c r="G5290" i="6"/>
  <c r="H5290" i="6"/>
  <c r="I5290" i="6"/>
  <c r="E5290" i="6" s="1"/>
  <c r="J5290" i="6"/>
  <c r="A5291" i="6"/>
  <c r="B5291" i="6"/>
  <c r="C5291" i="6"/>
  <c r="F5291" i="6"/>
  <c r="G5291" i="6"/>
  <c r="H5291" i="6"/>
  <c r="I5291" i="6"/>
  <c r="E5291" i="6" s="1"/>
  <c r="L5291" i="6" s="1"/>
  <c r="J5291" i="6"/>
  <c r="A5292" i="6"/>
  <c r="B5292" i="6"/>
  <c r="C5292" i="6"/>
  <c r="F5292" i="6"/>
  <c r="G5292" i="6"/>
  <c r="H5292" i="6"/>
  <c r="I5292" i="6"/>
  <c r="E5292" i="6" s="1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E5296" i="6" s="1"/>
  <c r="L5296" i="6" s="1"/>
  <c r="J5296" i="6"/>
  <c r="A5297" i="6"/>
  <c r="B5297" i="6"/>
  <c r="C5297" i="6"/>
  <c r="F5297" i="6"/>
  <c r="G5297" i="6"/>
  <c r="H5297" i="6"/>
  <c r="I5297" i="6"/>
  <c r="E5297" i="6" s="1"/>
  <c r="J5297" i="6"/>
  <c r="A5298" i="6"/>
  <c r="B5298" i="6"/>
  <c r="C5298" i="6"/>
  <c r="F5298" i="6"/>
  <c r="G5298" i="6"/>
  <c r="H5298" i="6"/>
  <c r="I5298" i="6"/>
  <c r="E5298" i="6" s="1"/>
  <c r="J5298" i="6"/>
  <c r="A5299" i="6"/>
  <c r="B5299" i="6"/>
  <c r="C5299" i="6"/>
  <c r="F5299" i="6"/>
  <c r="G5299" i="6"/>
  <c r="H5299" i="6"/>
  <c r="I5299" i="6"/>
  <c r="E5299" i="6" s="1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E5303" i="6" s="1"/>
  <c r="L5303" i="6" s="1"/>
  <c r="J5303" i="6"/>
  <c r="A5304" i="6"/>
  <c r="B5304" i="6"/>
  <c r="C5304" i="6"/>
  <c r="F5304" i="6"/>
  <c r="G5304" i="6"/>
  <c r="H5304" i="6"/>
  <c r="I5304" i="6"/>
  <c r="E5304" i="6" s="1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E5319" i="6" s="1"/>
  <c r="L5319" i="6" s="1"/>
  <c r="J5319" i="6"/>
  <c r="A5320" i="6"/>
  <c r="B5320" i="6"/>
  <c r="C5320" i="6"/>
  <c r="F5320" i="6"/>
  <c r="G5320" i="6"/>
  <c r="H5320" i="6"/>
  <c r="I5320" i="6"/>
  <c r="E5320" i="6" s="1"/>
  <c r="J5320" i="6"/>
  <c r="A5321" i="6"/>
  <c r="B5321" i="6"/>
  <c r="C5321" i="6"/>
  <c r="F5321" i="6"/>
  <c r="G5321" i="6"/>
  <c r="H5321" i="6"/>
  <c r="I5321" i="6"/>
  <c r="E5321" i="6" s="1"/>
  <c r="J5321" i="6"/>
  <c r="A5322" i="6"/>
  <c r="B5322" i="6"/>
  <c r="C5322" i="6"/>
  <c r="F5322" i="6"/>
  <c r="G5322" i="6"/>
  <c r="H5322" i="6"/>
  <c r="I5322" i="6"/>
  <c r="E5322" i="6" s="1"/>
  <c r="J5322" i="6"/>
  <c r="A5323" i="6"/>
  <c r="B5323" i="6"/>
  <c r="C5323" i="6"/>
  <c r="F5323" i="6"/>
  <c r="G5323" i="6"/>
  <c r="H5323" i="6"/>
  <c r="I5323" i="6"/>
  <c r="E5323" i="6" s="1"/>
  <c r="J5323" i="6"/>
  <c r="A5324" i="6"/>
  <c r="B5324" i="6"/>
  <c r="C5324" i="6"/>
  <c r="F5324" i="6"/>
  <c r="G5324" i="6"/>
  <c r="H5324" i="6"/>
  <c r="I5324" i="6"/>
  <c r="E5324" i="6" s="1"/>
  <c r="J5324" i="6"/>
  <c r="A5325" i="6"/>
  <c r="B5325" i="6"/>
  <c r="C5325" i="6"/>
  <c r="F5325" i="6"/>
  <c r="G5325" i="6"/>
  <c r="H5325" i="6"/>
  <c r="I5325" i="6"/>
  <c r="E5325" i="6" s="1"/>
  <c r="L5325" i="6" s="1"/>
  <c r="J5325" i="6"/>
  <c r="A5326" i="6"/>
  <c r="B5326" i="6"/>
  <c r="C5326" i="6"/>
  <c r="F5326" i="6"/>
  <c r="G5326" i="6"/>
  <c r="H5326" i="6"/>
  <c r="I5326" i="6"/>
  <c r="E5326" i="6" s="1"/>
  <c r="J5326" i="6"/>
  <c r="A5327" i="6"/>
  <c r="B5327" i="6"/>
  <c r="C5327" i="6"/>
  <c r="F5327" i="6"/>
  <c r="G5327" i="6"/>
  <c r="H5327" i="6"/>
  <c r="I5327" i="6"/>
  <c r="E5327" i="6" s="1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E5332" i="6" s="1"/>
  <c r="L5332" i="6" s="1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E5336" i="6" s="1"/>
  <c r="L5336" i="6" s="1"/>
  <c r="J5336" i="6"/>
  <c r="A5337" i="6"/>
  <c r="B5337" i="6"/>
  <c r="C5337" i="6"/>
  <c r="F5337" i="6"/>
  <c r="G5337" i="6"/>
  <c r="H5337" i="6"/>
  <c r="I5337" i="6"/>
  <c r="E5337" i="6" s="1"/>
  <c r="J5337" i="6"/>
  <c r="A5338" i="6"/>
  <c r="B5338" i="6"/>
  <c r="C5338" i="6"/>
  <c r="F5338" i="6"/>
  <c r="G5338" i="6"/>
  <c r="H5338" i="6"/>
  <c r="I5338" i="6"/>
  <c r="E5338" i="6" s="1"/>
  <c r="J5338" i="6"/>
  <c r="A5339" i="6"/>
  <c r="B5339" i="6"/>
  <c r="C5339" i="6"/>
  <c r="F5339" i="6"/>
  <c r="G5339" i="6"/>
  <c r="H5339" i="6"/>
  <c r="I5339" i="6"/>
  <c r="E5339" i="6" s="1"/>
  <c r="J5339" i="6"/>
  <c r="A5340" i="6"/>
  <c r="B5340" i="6"/>
  <c r="C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E5352" i="6" s="1"/>
  <c r="L5352" i="6" s="1"/>
  <c r="J5352" i="6"/>
  <c r="A5353" i="6"/>
  <c r="B5353" i="6"/>
  <c r="C5353" i="6"/>
  <c r="F5353" i="6"/>
  <c r="G5353" i="6"/>
  <c r="H5353" i="6"/>
  <c r="I5353" i="6"/>
  <c r="E5353" i="6" s="1"/>
  <c r="J5353" i="6"/>
  <c r="A5354" i="6"/>
  <c r="B5354" i="6"/>
  <c r="C5354" i="6"/>
  <c r="F5354" i="6"/>
  <c r="G5354" i="6"/>
  <c r="H5354" i="6"/>
  <c r="I5354" i="6"/>
  <c r="E5354" i="6" s="1"/>
  <c r="J5354" i="6"/>
  <c r="A5355" i="6"/>
  <c r="B5355" i="6"/>
  <c r="C5355" i="6"/>
  <c r="F5355" i="6"/>
  <c r="G5355" i="6"/>
  <c r="H5355" i="6"/>
  <c r="I5355" i="6"/>
  <c r="E5355" i="6" s="1"/>
  <c r="J5355" i="6"/>
  <c r="A5356" i="6"/>
  <c r="B5356" i="6"/>
  <c r="C5356" i="6"/>
  <c r="F5356" i="6"/>
  <c r="G5356" i="6"/>
  <c r="H5356" i="6"/>
  <c r="I5356" i="6"/>
  <c r="E5356" i="6" s="1"/>
  <c r="J5356" i="6"/>
  <c r="A5357" i="6"/>
  <c r="B5357" i="6"/>
  <c r="C5357" i="6"/>
  <c r="F5357" i="6"/>
  <c r="G5357" i="6"/>
  <c r="H5357" i="6"/>
  <c r="I5357" i="6"/>
  <c r="E5357" i="6" s="1"/>
  <c r="J5357" i="6"/>
  <c r="A5358" i="6"/>
  <c r="B5358" i="6"/>
  <c r="C5358" i="6"/>
  <c r="F5358" i="6"/>
  <c r="G5358" i="6"/>
  <c r="H5358" i="6"/>
  <c r="I5358" i="6"/>
  <c r="E5358" i="6" s="1"/>
  <c r="J5358" i="6"/>
  <c r="A5359" i="6"/>
  <c r="B5359" i="6"/>
  <c r="C5359" i="6"/>
  <c r="F5359" i="6"/>
  <c r="G5359" i="6"/>
  <c r="H5359" i="6"/>
  <c r="I5359" i="6"/>
  <c r="E5359" i="6" s="1"/>
  <c r="J5359" i="6"/>
  <c r="A5360" i="6"/>
  <c r="B5360" i="6"/>
  <c r="C5360" i="6"/>
  <c r="F5360" i="6"/>
  <c r="G5360" i="6"/>
  <c r="H5360" i="6"/>
  <c r="I5360" i="6"/>
  <c r="E5360" i="6" s="1"/>
  <c r="L5360" i="6" s="1"/>
  <c r="J5360" i="6"/>
  <c r="A5361" i="6"/>
  <c r="B5361" i="6"/>
  <c r="C5361" i="6"/>
  <c r="F5361" i="6"/>
  <c r="G5361" i="6"/>
  <c r="H5361" i="6"/>
  <c r="I5361" i="6"/>
  <c r="E5361" i="6" s="1"/>
  <c r="J5361" i="6"/>
  <c r="A5362" i="6"/>
  <c r="B5362" i="6"/>
  <c r="C5362" i="6"/>
  <c r="F5362" i="6"/>
  <c r="G5362" i="6"/>
  <c r="H5362" i="6"/>
  <c r="I5362" i="6"/>
  <c r="E5362" i="6" s="1"/>
  <c r="J5362" i="6"/>
  <c r="A5363" i="6"/>
  <c r="B5363" i="6"/>
  <c r="C5363" i="6"/>
  <c r="F5363" i="6"/>
  <c r="G5363" i="6"/>
  <c r="H5363" i="6"/>
  <c r="I5363" i="6"/>
  <c r="E5363" i="6" s="1"/>
  <c r="J5363" i="6"/>
  <c r="A5364" i="6"/>
  <c r="B5364" i="6"/>
  <c r="C5364" i="6"/>
  <c r="F5364" i="6"/>
  <c r="G5364" i="6"/>
  <c r="H5364" i="6"/>
  <c r="I5364" i="6"/>
  <c r="E5364" i="6" s="1"/>
  <c r="J5364" i="6"/>
  <c r="A5365" i="6"/>
  <c r="B5365" i="6"/>
  <c r="C5365" i="6"/>
  <c r="F5365" i="6"/>
  <c r="G5365" i="6"/>
  <c r="H5365" i="6"/>
  <c r="I5365" i="6"/>
  <c r="E5365" i="6" s="1"/>
  <c r="J5365" i="6"/>
  <c r="A5366" i="6"/>
  <c r="B5366" i="6"/>
  <c r="C5366" i="6"/>
  <c r="F5366" i="6"/>
  <c r="G5366" i="6"/>
  <c r="H5366" i="6"/>
  <c r="I5366" i="6"/>
  <c r="E5366" i="6" s="1"/>
  <c r="J5366" i="6"/>
  <c r="A5367" i="6"/>
  <c r="B5367" i="6"/>
  <c r="C5367" i="6"/>
  <c r="F5367" i="6"/>
  <c r="G5367" i="6"/>
  <c r="H5367" i="6"/>
  <c r="I5367" i="6"/>
  <c r="E5367" i="6" s="1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E5380" i="6" s="1"/>
  <c r="L5380" i="6" s="1"/>
  <c r="J5380" i="6"/>
  <c r="A5381" i="6"/>
  <c r="B5381" i="6"/>
  <c r="C5381" i="6"/>
  <c r="F5381" i="6"/>
  <c r="G5381" i="6"/>
  <c r="H5381" i="6"/>
  <c r="I5381" i="6"/>
  <c r="E5381" i="6" s="1"/>
  <c r="J5381" i="6"/>
  <c r="A5382" i="6"/>
  <c r="B5382" i="6"/>
  <c r="C5382" i="6"/>
  <c r="F5382" i="6"/>
  <c r="G5382" i="6"/>
  <c r="H5382" i="6"/>
  <c r="I5382" i="6"/>
  <c r="E5382" i="6" s="1"/>
  <c r="J5382" i="6"/>
  <c r="A5383" i="6"/>
  <c r="B5383" i="6"/>
  <c r="C5383" i="6"/>
  <c r="F5383" i="6"/>
  <c r="G5383" i="6"/>
  <c r="H5383" i="6"/>
  <c r="I5383" i="6"/>
  <c r="E5383" i="6" s="1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E5395" i="6" s="1"/>
  <c r="L5395" i="6" s="1"/>
  <c r="J5395" i="6"/>
  <c r="A5396" i="6"/>
  <c r="B5396" i="6"/>
  <c r="C5396" i="6"/>
  <c r="F5396" i="6"/>
  <c r="G5396" i="6"/>
  <c r="H5396" i="6"/>
  <c r="I5396" i="6"/>
  <c r="E5396" i="6" s="1"/>
  <c r="J5396" i="6"/>
  <c r="A5397" i="6"/>
  <c r="B5397" i="6"/>
  <c r="C5397" i="6"/>
  <c r="F5397" i="6"/>
  <c r="G5397" i="6"/>
  <c r="H5397" i="6"/>
  <c r="I5397" i="6"/>
  <c r="E5397" i="6" s="1"/>
  <c r="J5397" i="6"/>
  <c r="A5398" i="6"/>
  <c r="B5398" i="6"/>
  <c r="C5398" i="6"/>
  <c r="F5398" i="6"/>
  <c r="G5398" i="6"/>
  <c r="H5398" i="6"/>
  <c r="I5398" i="6"/>
  <c r="E5398" i="6" s="1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E5415" i="6" s="1"/>
  <c r="L5415" i="6" s="1"/>
  <c r="J5415" i="6"/>
  <c r="A5416" i="6"/>
  <c r="B5416" i="6"/>
  <c r="C5416" i="6"/>
  <c r="F5416" i="6"/>
  <c r="G5416" i="6"/>
  <c r="H5416" i="6"/>
  <c r="I5416" i="6"/>
  <c r="E5416" i="6" s="1"/>
  <c r="J5416" i="6"/>
  <c r="A5417" i="6"/>
  <c r="B5417" i="6"/>
  <c r="C5417" i="6"/>
  <c r="F5417" i="6"/>
  <c r="G5417" i="6"/>
  <c r="H5417" i="6"/>
  <c r="I5417" i="6"/>
  <c r="E5417" i="6" s="1"/>
  <c r="J5417" i="6"/>
  <c r="A5418" i="6"/>
  <c r="B5418" i="6"/>
  <c r="C5418" i="6"/>
  <c r="F5418" i="6"/>
  <c r="G5418" i="6"/>
  <c r="H5418" i="6"/>
  <c r="I5418" i="6"/>
  <c r="E5418" i="6" s="1"/>
  <c r="J5418" i="6"/>
  <c r="A5419" i="6"/>
  <c r="B5419" i="6"/>
  <c r="C5419" i="6"/>
  <c r="F5419" i="6"/>
  <c r="G5419" i="6"/>
  <c r="H5419" i="6"/>
  <c r="I5419" i="6"/>
  <c r="E5419" i="6" s="1"/>
  <c r="L5419" i="6" s="1"/>
  <c r="J5419" i="6"/>
  <c r="A5420" i="6"/>
  <c r="B5420" i="6"/>
  <c r="C5420" i="6"/>
  <c r="F5420" i="6"/>
  <c r="G5420" i="6"/>
  <c r="H5420" i="6"/>
  <c r="I5420" i="6"/>
  <c r="E5420" i="6" s="1"/>
  <c r="J5420" i="6"/>
  <c r="A5421" i="6"/>
  <c r="B5421" i="6"/>
  <c r="C5421" i="6"/>
  <c r="F5421" i="6"/>
  <c r="G5421" i="6"/>
  <c r="H5421" i="6"/>
  <c r="I5421" i="6"/>
  <c r="E5421" i="6" s="1"/>
  <c r="J5421" i="6"/>
  <c r="A5422" i="6"/>
  <c r="B5422" i="6"/>
  <c r="C5422" i="6"/>
  <c r="F5422" i="6"/>
  <c r="G5422" i="6"/>
  <c r="H5422" i="6"/>
  <c r="I5422" i="6"/>
  <c r="E5422" i="6" s="1"/>
  <c r="J5422" i="6"/>
  <c r="A5423" i="6"/>
  <c r="B5423" i="6"/>
  <c r="C5423" i="6"/>
  <c r="F5423" i="6"/>
  <c r="G5423" i="6"/>
  <c r="H5423" i="6"/>
  <c r="I5423" i="6"/>
  <c r="E5423" i="6" s="1"/>
  <c r="L5423" i="6" s="1"/>
  <c r="J5423" i="6"/>
  <c r="A5424" i="6"/>
  <c r="B5424" i="6"/>
  <c r="C5424" i="6"/>
  <c r="F5424" i="6"/>
  <c r="G5424" i="6"/>
  <c r="H5424" i="6"/>
  <c r="I5424" i="6"/>
  <c r="E5424" i="6" s="1"/>
  <c r="J5424" i="6"/>
  <c r="A5425" i="6"/>
  <c r="B5425" i="6"/>
  <c r="C5425" i="6"/>
  <c r="F5425" i="6"/>
  <c r="G5425" i="6"/>
  <c r="H5425" i="6"/>
  <c r="I5425" i="6"/>
  <c r="E5425" i="6" s="1"/>
  <c r="J5425" i="6"/>
  <c r="A5426" i="6"/>
  <c r="B5426" i="6"/>
  <c r="C5426" i="6"/>
  <c r="F5426" i="6"/>
  <c r="G5426" i="6"/>
  <c r="H5426" i="6"/>
  <c r="I5426" i="6"/>
  <c r="E5426" i="6" s="1"/>
  <c r="J5426" i="6"/>
  <c r="A5427" i="6"/>
  <c r="B5427" i="6"/>
  <c r="C5427" i="6"/>
  <c r="F5427" i="6"/>
  <c r="G5427" i="6"/>
  <c r="H5427" i="6"/>
  <c r="I5427" i="6"/>
  <c r="E5427" i="6" s="1"/>
  <c r="L5427" i="6" s="1"/>
  <c r="J5427" i="6"/>
  <c r="A5428" i="6"/>
  <c r="B5428" i="6"/>
  <c r="C5428" i="6"/>
  <c r="F5428" i="6"/>
  <c r="G5428" i="6"/>
  <c r="H5428" i="6"/>
  <c r="I5428" i="6"/>
  <c r="E5428" i="6" s="1"/>
  <c r="J5428" i="6"/>
  <c r="A5429" i="6"/>
  <c r="B5429" i="6"/>
  <c r="C5429" i="6"/>
  <c r="F5429" i="6"/>
  <c r="G5429" i="6"/>
  <c r="H5429" i="6"/>
  <c r="I5429" i="6"/>
  <c r="E5429" i="6" s="1"/>
  <c r="J5429" i="6"/>
  <c r="A5430" i="6"/>
  <c r="B5430" i="6"/>
  <c r="C5430" i="6"/>
  <c r="F5430" i="6"/>
  <c r="G5430" i="6"/>
  <c r="H5430" i="6"/>
  <c r="I5430" i="6"/>
  <c r="E5430" i="6" s="1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E5443" i="6" s="1"/>
  <c r="L5443" i="6" s="1"/>
  <c r="J5443" i="6"/>
  <c r="A5444" i="6"/>
  <c r="B5444" i="6"/>
  <c r="C5444" i="6"/>
  <c r="F5444" i="6"/>
  <c r="G5444" i="6"/>
  <c r="H5444" i="6"/>
  <c r="I5444" i="6"/>
  <c r="E5444" i="6" s="1"/>
  <c r="J5444" i="6"/>
  <c r="A5445" i="6"/>
  <c r="B5445" i="6"/>
  <c r="C5445" i="6"/>
  <c r="F5445" i="6"/>
  <c r="G5445" i="6"/>
  <c r="H5445" i="6"/>
  <c r="I5445" i="6"/>
  <c r="E5445" i="6" s="1"/>
  <c r="J5445" i="6"/>
  <c r="A5446" i="6"/>
  <c r="B5446" i="6"/>
  <c r="C5446" i="6"/>
  <c r="F5446" i="6"/>
  <c r="G5446" i="6"/>
  <c r="H5446" i="6"/>
  <c r="I5446" i="6"/>
  <c r="E5446" i="6" s="1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E5456" i="6" s="1"/>
  <c r="L5456" i="6" s="1"/>
  <c r="J5456" i="6"/>
  <c r="A5457" i="6"/>
  <c r="B5457" i="6"/>
  <c r="C5457" i="6"/>
  <c r="F5457" i="6"/>
  <c r="G5457" i="6"/>
  <c r="H5457" i="6"/>
  <c r="I5457" i="6"/>
  <c r="E5457" i="6" s="1"/>
  <c r="J5457" i="6"/>
  <c r="A5458" i="6"/>
  <c r="B5458" i="6"/>
  <c r="C5458" i="6"/>
  <c r="F5458" i="6"/>
  <c r="G5458" i="6"/>
  <c r="H5458" i="6"/>
  <c r="I5458" i="6"/>
  <c r="E5458" i="6" s="1"/>
  <c r="J5458" i="6"/>
  <c r="A5459" i="6"/>
  <c r="B5459" i="6"/>
  <c r="C5459" i="6"/>
  <c r="F5459" i="6"/>
  <c r="G5459" i="6"/>
  <c r="H5459" i="6"/>
  <c r="I5459" i="6"/>
  <c r="E5459" i="6" s="1"/>
  <c r="L5459" i="6" s="1"/>
  <c r="J5459" i="6"/>
  <c r="A5460" i="6"/>
  <c r="B5460" i="6"/>
  <c r="C5460" i="6"/>
  <c r="F5460" i="6"/>
  <c r="G5460" i="6"/>
  <c r="H5460" i="6"/>
  <c r="I5460" i="6"/>
  <c r="E5460" i="6" s="1"/>
  <c r="J5460" i="6"/>
  <c r="A5461" i="6"/>
  <c r="B5461" i="6"/>
  <c r="C5461" i="6"/>
  <c r="F5461" i="6"/>
  <c r="G5461" i="6"/>
  <c r="H5461" i="6"/>
  <c r="I5461" i="6"/>
  <c r="E5461" i="6" s="1"/>
  <c r="J5461" i="6"/>
  <c r="A5462" i="6"/>
  <c r="B5462" i="6"/>
  <c r="C5462" i="6"/>
  <c r="F5462" i="6"/>
  <c r="G5462" i="6"/>
  <c r="H5462" i="6"/>
  <c r="I5462" i="6"/>
  <c r="E5462" i="6" s="1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F5468" i="6"/>
  <c r="G5468" i="6"/>
  <c r="H5468" i="6"/>
  <c r="I5468" i="6"/>
  <c r="E5468" i="6" s="1"/>
  <c r="L5468" i="6" s="1"/>
  <c r="J5468" i="6"/>
  <c r="A5469" i="6"/>
  <c r="B5469" i="6"/>
  <c r="C5469" i="6"/>
  <c r="F5469" i="6"/>
  <c r="G5469" i="6"/>
  <c r="H5469" i="6"/>
  <c r="I5469" i="6"/>
  <c r="E5469" i="6" s="1"/>
  <c r="J5469" i="6"/>
  <c r="A5470" i="6"/>
  <c r="B5470" i="6"/>
  <c r="C5470" i="6"/>
  <c r="F5470" i="6"/>
  <c r="G5470" i="6"/>
  <c r="H5470" i="6"/>
  <c r="I5470" i="6"/>
  <c r="E5470" i="6" s="1"/>
  <c r="J5470" i="6"/>
  <c r="A5471" i="6"/>
  <c r="B5471" i="6"/>
  <c r="C5471" i="6"/>
  <c r="F5471" i="6"/>
  <c r="G5471" i="6"/>
  <c r="H5471" i="6"/>
  <c r="I5471" i="6"/>
  <c r="E5471" i="6" s="1"/>
  <c r="J5471" i="6"/>
  <c r="A5472" i="6"/>
  <c r="B5472" i="6"/>
  <c r="C5472" i="6"/>
  <c r="F5472" i="6"/>
  <c r="G5472" i="6"/>
  <c r="H5472" i="6"/>
  <c r="I5472" i="6"/>
  <c r="E5472" i="6" s="1"/>
  <c r="L5472" i="6" s="1"/>
  <c r="J5472" i="6"/>
  <c r="A5473" i="6"/>
  <c r="B5473" i="6"/>
  <c r="C5473" i="6"/>
  <c r="F5473" i="6"/>
  <c r="G5473" i="6"/>
  <c r="H5473" i="6"/>
  <c r="I5473" i="6"/>
  <c r="E5473" i="6" s="1"/>
  <c r="J5473" i="6"/>
  <c r="A5474" i="6"/>
  <c r="B5474" i="6"/>
  <c r="C5474" i="6"/>
  <c r="F5474" i="6"/>
  <c r="G5474" i="6"/>
  <c r="H5474" i="6"/>
  <c r="I5474" i="6"/>
  <c r="E5474" i="6" s="1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E5479" i="6" s="1"/>
  <c r="L5479" i="6" s="1"/>
  <c r="J5479" i="6"/>
  <c r="A5480" i="6"/>
  <c r="B5480" i="6"/>
  <c r="C5480" i="6"/>
  <c r="F5480" i="6"/>
  <c r="G5480" i="6"/>
  <c r="H5480" i="6"/>
  <c r="I5480" i="6"/>
  <c r="E5480" i="6" s="1"/>
  <c r="J5480" i="6"/>
  <c r="A5481" i="6"/>
  <c r="B5481" i="6"/>
  <c r="C5481" i="6"/>
  <c r="F5481" i="6"/>
  <c r="G5481" i="6"/>
  <c r="H5481" i="6"/>
  <c r="I5481" i="6"/>
  <c r="E5481" i="6" s="1"/>
  <c r="J5481" i="6"/>
  <c r="A5482" i="6"/>
  <c r="B5482" i="6"/>
  <c r="C5482" i="6"/>
  <c r="F5482" i="6"/>
  <c r="G5482" i="6"/>
  <c r="H5482" i="6"/>
  <c r="I5482" i="6"/>
  <c r="E5482" i="6" s="1"/>
  <c r="J5482" i="6"/>
  <c r="A5483" i="6"/>
  <c r="B5483" i="6"/>
  <c r="C5483" i="6"/>
  <c r="F5483" i="6"/>
  <c r="G5483" i="6"/>
  <c r="H5483" i="6"/>
  <c r="I5483" i="6"/>
  <c r="E5483" i="6" s="1"/>
  <c r="J5483" i="6"/>
  <c r="A5484" i="6"/>
  <c r="B5484" i="6"/>
  <c r="C5484" i="6"/>
  <c r="F5484" i="6"/>
  <c r="G5484" i="6"/>
  <c r="H5484" i="6"/>
  <c r="I5484" i="6"/>
  <c r="E5484" i="6" s="1"/>
  <c r="J5484" i="6"/>
  <c r="A5485" i="6"/>
  <c r="B5485" i="6"/>
  <c r="C5485" i="6"/>
  <c r="F5485" i="6"/>
  <c r="G5485" i="6"/>
  <c r="H5485" i="6"/>
  <c r="I5485" i="6"/>
  <c r="E5485" i="6" s="1"/>
  <c r="J5485" i="6"/>
  <c r="A5486" i="6"/>
  <c r="B5486" i="6"/>
  <c r="C5486" i="6"/>
  <c r="F5486" i="6"/>
  <c r="G5486" i="6"/>
  <c r="H5486" i="6"/>
  <c r="I5486" i="6"/>
  <c r="E5486" i="6" s="1"/>
  <c r="J5486" i="6"/>
  <c r="A5487" i="6"/>
  <c r="B5487" i="6"/>
  <c r="C5487" i="6"/>
  <c r="F5487" i="6"/>
  <c r="G5487" i="6"/>
  <c r="H5487" i="6"/>
  <c r="I5487" i="6"/>
  <c r="E5487" i="6" s="1"/>
  <c r="J5487" i="6"/>
  <c r="A5488" i="6"/>
  <c r="B5488" i="6"/>
  <c r="C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E5496" i="6" s="1"/>
  <c r="L5496" i="6" s="1"/>
  <c r="J5496" i="6"/>
  <c r="A5497" i="6"/>
  <c r="B5497" i="6"/>
  <c r="C5497" i="6"/>
  <c r="F5497" i="6"/>
  <c r="G5497" i="6"/>
  <c r="H5497" i="6"/>
  <c r="I5497" i="6"/>
  <c r="E5497" i="6" s="1"/>
  <c r="J5497" i="6"/>
  <c r="A5498" i="6"/>
  <c r="B5498" i="6"/>
  <c r="C5498" i="6"/>
  <c r="F5498" i="6"/>
  <c r="G5498" i="6"/>
  <c r="H5498" i="6"/>
  <c r="I5498" i="6"/>
  <c r="E5498" i="6" s="1"/>
  <c r="J5498" i="6"/>
  <c r="A5499" i="6"/>
  <c r="B5499" i="6"/>
  <c r="C5499" i="6"/>
  <c r="F5499" i="6"/>
  <c r="G5499" i="6"/>
  <c r="H5499" i="6"/>
  <c r="I5499" i="6"/>
  <c r="E5499" i="6" s="1"/>
  <c r="J5499" i="6"/>
  <c r="A5500" i="6"/>
  <c r="B5500" i="6"/>
  <c r="C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E5503" i="6" s="1"/>
  <c r="J5503" i="6"/>
  <c r="A5504" i="6"/>
  <c r="B5504" i="6"/>
  <c r="C5504" i="6"/>
  <c r="F5504" i="6"/>
  <c r="G5504" i="6"/>
  <c r="H5504" i="6"/>
  <c r="I5504" i="6"/>
  <c r="E5504" i="6" s="1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E5512" i="6" s="1"/>
  <c r="L5512" i="6" s="1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E5515" i="6" s="1"/>
  <c r="L5515" i="6" s="1"/>
  <c r="J5515" i="6"/>
  <c r="A5516" i="6"/>
  <c r="B5516" i="6"/>
  <c r="C5516" i="6"/>
  <c r="F5516" i="6"/>
  <c r="G5516" i="6"/>
  <c r="H5516" i="6"/>
  <c r="I5516" i="6"/>
  <c r="E5516" i="6" s="1"/>
  <c r="J5516" i="6"/>
  <c r="A5517" i="6"/>
  <c r="B5517" i="6"/>
  <c r="C5517" i="6"/>
  <c r="F5517" i="6"/>
  <c r="G5517" i="6"/>
  <c r="H5517" i="6"/>
  <c r="I5517" i="6"/>
  <c r="E5517" i="6" s="1"/>
  <c r="J5517" i="6"/>
  <c r="A5518" i="6"/>
  <c r="B5518" i="6"/>
  <c r="C5518" i="6"/>
  <c r="F5518" i="6"/>
  <c r="G5518" i="6"/>
  <c r="H5518" i="6"/>
  <c r="I5518" i="6"/>
  <c r="E5518" i="6" s="1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E5521" i="6" s="1"/>
  <c r="L5521" i="6" s="1"/>
  <c r="J5521" i="6"/>
  <c r="A5522" i="6"/>
  <c r="B5522" i="6"/>
  <c r="C5522" i="6"/>
  <c r="F5522" i="6"/>
  <c r="G5522" i="6"/>
  <c r="H5522" i="6"/>
  <c r="I5522" i="6"/>
  <c r="E5522" i="6" s="1"/>
  <c r="J5522" i="6"/>
  <c r="A5523" i="6"/>
  <c r="B5523" i="6"/>
  <c r="C5523" i="6"/>
  <c r="F5523" i="6"/>
  <c r="G5523" i="6"/>
  <c r="H5523" i="6"/>
  <c r="I5523" i="6"/>
  <c r="E5523" i="6" s="1"/>
  <c r="L5523" i="6" s="1"/>
  <c r="J5523" i="6"/>
  <c r="A5524" i="6"/>
  <c r="B5524" i="6"/>
  <c r="C5524" i="6"/>
  <c r="F5524" i="6"/>
  <c r="G5524" i="6"/>
  <c r="H5524" i="6"/>
  <c r="I5524" i="6"/>
  <c r="E5524" i="6" s="1"/>
  <c r="J5524" i="6"/>
  <c r="A5525" i="6"/>
  <c r="B5525" i="6"/>
  <c r="C5525" i="6"/>
  <c r="F5525" i="6"/>
  <c r="G5525" i="6"/>
  <c r="H5525" i="6"/>
  <c r="I5525" i="6"/>
  <c r="E5525" i="6" s="1"/>
  <c r="J5525" i="6"/>
  <c r="A5526" i="6"/>
  <c r="B5526" i="6"/>
  <c r="C5526" i="6"/>
  <c r="F5526" i="6"/>
  <c r="G5526" i="6"/>
  <c r="H5526" i="6"/>
  <c r="I5526" i="6"/>
  <c r="E5526" i="6" s="1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E5531" i="6" s="1"/>
  <c r="L5531" i="6" s="1"/>
  <c r="J5531" i="6"/>
  <c r="A5532" i="6"/>
  <c r="B5532" i="6"/>
  <c r="C5532" i="6"/>
  <c r="F5532" i="6"/>
  <c r="G5532" i="6"/>
  <c r="H5532" i="6"/>
  <c r="I5532" i="6"/>
  <c r="E5532" i="6" s="1"/>
  <c r="J5532" i="6"/>
  <c r="A5533" i="6"/>
  <c r="B5533" i="6"/>
  <c r="C5533" i="6"/>
  <c r="F5533" i="6"/>
  <c r="G5533" i="6"/>
  <c r="H5533" i="6"/>
  <c r="I5533" i="6"/>
  <c r="E5533" i="6" s="1"/>
  <c r="J5533" i="6"/>
  <c r="A5534" i="6"/>
  <c r="B5534" i="6"/>
  <c r="C5534" i="6"/>
  <c r="F5534" i="6"/>
  <c r="G5534" i="6"/>
  <c r="H5534" i="6"/>
  <c r="I5534" i="6"/>
  <c r="E5534" i="6" s="1"/>
  <c r="J5534" i="6"/>
  <c r="A5535" i="6"/>
  <c r="B5535" i="6"/>
  <c r="C5535" i="6"/>
  <c r="F5535" i="6"/>
  <c r="G5535" i="6"/>
  <c r="H5535" i="6"/>
  <c r="I5535" i="6"/>
  <c r="E5535" i="6" s="1"/>
  <c r="L5535" i="6" s="1"/>
  <c r="J5535" i="6"/>
  <c r="A5536" i="6"/>
  <c r="B5536" i="6"/>
  <c r="C5536" i="6"/>
  <c r="F5536" i="6"/>
  <c r="G5536" i="6"/>
  <c r="H5536" i="6"/>
  <c r="I5536" i="6"/>
  <c r="E5536" i="6" s="1"/>
  <c r="J5536" i="6"/>
  <c r="A5537" i="6"/>
  <c r="B5537" i="6"/>
  <c r="C5537" i="6"/>
  <c r="F5537" i="6"/>
  <c r="G5537" i="6"/>
  <c r="H5537" i="6"/>
  <c r="I5537" i="6"/>
  <c r="E5537" i="6" s="1"/>
  <c r="J5537" i="6"/>
  <c r="A5538" i="6"/>
  <c r="B5538" i="6"/>
  <c r="C5538" i="6"/>
  <c r="F5538" i="6"/>
  <c r="G5538" i="6"/>
  <c r="H5538" i="6"/>
  <c r="I5538" i="6"/>
  <c r="E5538" i="6" s="1"/>
  <c r="J5538" i="6"/>
  <c r="A5539" i="6"/>
  <c r="B5539" i="6"/>
  <c r="C5539" i="6"/>
  <c r="F5539" i="6"/>
  <c r="G5539" i="6"/>
  <c r="H5539" i="6"/>
  <c r="I5539" i="6"/>
  <c r="E5539" i="6" s="1"/>
  <c r="L5539" i="6" s="1"/>
  <c r="J5539" i="6"/>
  <c r="A5540" i="6"/>
  <c r="B5540" i="6"/>
  <c r="C5540" i="6"/>
  <c r="F5540" i="6"/>
  <c r="G5540" i="6"/>
  <c r="H5540" i="6"/>
  <c r="I5540" i="6"/>
  <c r="E5540" i="6" s="1"/>
  <c r="J5540" i="6"/>
  <c r="A5541" i="6"/>
  <c r="B5541" i="6"/>
  <c r="C5541" i="6"/>
  <c r="F5541" i="6"/>
  <c r="G5541" i="6"/>
  <c r="H5541" i="6"/>
  <c r="I5541" i="6"/>
  <c r="E5541" i="6" s="1"/>
  <c r="J5541" i="6"/>
  <c r="A5542" i="6"/>
  <c r="B5542" i="6"/>
  <c r="C5542" i="6"/>
  <c r="F5542" i="6"/>
  <c r="G5542" i="6"/>
  <c r="H5542" i="6"/>
  <c r="I5542" i="6"/>
  <c r="E5542" i="6" s="1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E5547" i="6" s="1"/>
  <c r="L5547" i="6" s="1"/>
  <c r="J5547" i="6"/>
  <c r="A5548" i="6"/>
  <c r="B5548" i="6"/>
  <c r="C5548" i="6"/>
  <c r="F5548" i="6"/>
  <c r="G5548" i="6"/>
  <c r="H5548" i="6"/>
  <c r="I5548" i="6"/>
  <c r="E5548" i="6" s="1"/>
  <c r="J5548" i="6"/>
  <c r="A5549" i="6"/>
  <c r="B5549" i="6"/>
  <c r="C5549" i="6"/>
  <c r="F5549" i="6"/>
  <c r="G5549" i="6"/>
  <c r="H5549" i="6"/>
  <c r="I5549" i="6"/>
  <c r="E5549" i="6" s="1"/>
  <c r="J5549" i="6"/>
  <c r="A5550" i="6"/>
  <c r="B5550" i="6"/>
  <c r="C5550" i="6"/>
  <c r="F5550" i="6"/>
  <c r="G5550" i="6"/>
  <c r="H5550" i="6"/>
  <c r="I5550" i="6"/>
  <c r="E5550" i="6" s="1"/>
  <c r="J5550" i="6"/>
  <c r="A5551" i="6"/>
  <c r="B5551" i="6"/>
  <c r="C5551" i="6"/>
  <c r="F5551" i="6"/>
  <c r="G5551" i="6"/>
  <c r="H5551" i="6"/>
  <c r="I5551" i="6"/>
  <c r="E5551" i="6" s="1"/>
  <c r="L5551" i="6" s="1"/>
  <c r="J5551" i="6"/>
  <c r="A5552" i="6"/>
  <c r="B5552" i="6"/>
  <c r="C5552" i="6"/>
  <c r="F5552" i="6"/>
  <c r="G5552" i="6"/>
  <c r="H5552" i="6"/>
  <c r="I5552" i="6"/>
  <c r="E5552" i="6" s="1"/>
  <c r="J5552" i="6"/>
  <c r="A5553" i="6"/>
  <c r="B5553" i="6"/>
  <c r="C5553" i="6"/>
  <c r="F5553" i="6"/>
  <c r="G5553" i="6"/>
  <c r="H5553" i="6"/>
  <c r="I5553" i="6"/>
  <c r="E5553" i="6" s="1"/>
  <c r="J5553" i="6"/>
  <c r="A5554" i="6"/>
  <c r="B5554" i="6"/>
  <c r="C5554" i="6"/>
  <c r="F5554" i="6"/>
  <c r="G5554" i="6"/>
  <c r="H5554" i="6"/>
  <c r="I5554" i="6"/>
  <c r="E5554" i="6" s="1"/>
  <c r="J5554" i="6"/>
  <c r="A5555" i="6"/>
  <c r="B5555" i="6"/>
  <c r="C5555" i="6"/>
  <c r="F5555" i="6"/>
  <c r="G5555" i="6"/>
  <c r="H5555" i="6"/>
  <c r="I5555" i="6"/>
  <c r="E5555" i="6" s="1"/>
  <c r="L5555" i="6" s="1"/>
  <c r="J5555" i="6"/>
  <c r="A5556" i="6"/>
  <c r="B5556" i="6"/>
  <c r="C5556" i="6"/>
  <c r="F5556" i="6"/>
  <c r="G5556" i="6"/>
  <c r="H5556" i="6"/>
  <c r="I5556" i="6"/>
  <c r="E5556" i="6" s="1"/>
  <c r="J5556" i="6"/>
  <c r="A5557" i="6"/>
  <c r="B5557" i="6"/>
  <c r="C5557" i="6"/>
  <c r="F5557" i="6"/>
  <c r="G5557" i="6"/>
  <c r="H5557" i="6"/>
  <c r="I5557" i="6"/>
  <c r="E5557" i="6" s="1"/>
  <c r="J5557" i="6"/>
  <c r="A5558" i="6"/>
  <c r="B5558" i="6"/>
  <c r="C5558" i="6"/>
  <c r="F5558" i="6"/>
  <c r="G5558" i="6"/>
  <c r="H5558" i="6"/>
  <c r="I5558" i="6"/>
  <c r="E5558" i="6" s="1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E5563" i="6" s="1"/>
  <c r="L5563" i="6" s="1"/>
  <c r="J5563" i="6"/>
  <c r="A5564" i="6"/>
  <c r="B5564" i="6"/>
  <c r="C5564" i="6"/>
  <c r="F5564" i="6"/>
  <c r="G5564" i="6"/>
  <c r="H5564" i="6"/>
  <c r="I5564" i="6"/>
  <c r="E5564" i="6" s="1"/>
  <c r="J5564" i="6"/>
  <c r="A5565" i="6"/>
  <c r="B5565" i="6"/>
  <c r="C5565" i="6"/>
  <c r="F5565" i="6"/>
  <c r="G5565" i="6"/>
  <c r="H5565" i="6"/>
  <c r="I5565" i="6"/>
  <c r="E5565" i="6" s="1"/>
  <c r="J5565" i="6"/>
  <c r="A5566" i="6"/>
  <c r="B5566" i="6"/>
  <c r="C5566" i="6"/>
  <c r="F5566" i="6"/>
  <c r="G5566" i="6"/>
  <c r="H5566" i="6"/>
  <c r="I5566" i="6"/>
  <c r="E5566" i="6" s="1"/>
  <c r="J5566" i="6"/>
  <c r="A5567" i="6"/>
  <c r="B5567" i="6"/>
  <c r="C5567" i="6"/>
  <c r="F5567" i="6"/>
  <c r="G5567" i="6"/>
  <c r="H5567" i="6"/>
  <c r="I5567" i="6"/>
  <c r="E5567" i="6" s="1"/>
  <c r="L5567" i="6" s="1"/>
  <c r="J5567" i="6"/>
  <c r="A5568" i="6"/>
  <c r="B5568" i="6"/>
  <c r="C5568" i="6"/>
  <c r="F5568" i="6"/>
  <c r="G5568" i="6"/>
  <c r="H5568" i="6"/>
  <c r="I5568" i="6"/>
  <c r="E5568" i="6" s="1"/>
  <c r="J5568" i="6"/>
  <c r="A5569" i="6"/>
  <c r="B5569" i="6"/>
  <c r="C5569" i="6"/>
  <c r="F5569" i="6"/>
  <c r="G5569" i="6"/>
  <c r="H5569" i="6"/>
  <c r="I5569" i="6"/>
  <c r="E5569" i="6" s="1"/>
  <c r="J5569" i="6"/>
  <c r="A5570" i="6"/>
  <c r="B5570" i="6"/>
  <c r="C5570" i="6"/>
  <c r="F5570" i="6"/>
  <c r="G5570" i="6"/>
  <c r="H5570" i="6"/>
  <c r="I5570" i="6"/>
  <c r="E5570" i="6" s="1"/>
  <c r="J5570" i="6"/>
  <c r="A5571" i="6"/>
  <c r="B5571" i="6"/>
  <c r="C5571" i="6"/>
  <c r="F5571" i="6"/>
  <c r="G5571" i="6"/>
  <c r="H5571" i="6"/>
  <c r="I5571" i="6"/>
  <c r="E5571" i="6" s="1"/>
  <c r="L5571" i="6" s="1"/>
  <c r="J5571" i="6"/>
  <c r="A5572" i="6"/>
  <c r="B5572" i="6"/>
  <c r="C5572" i="6"/>
  <c r="F5572" i="6"/>
  <c r="G5572" i="6"/>
  <c r="H5572" i="6"/>
  <c r="I5572" i="6"/>
  <c r="E5572" i="6" s="1"/>
  <c r="J5572" i="6"/>
  <c r="A5573" i="6"/>
  <c r="B5573" i="6"/>
  <c r="C5573" i="6"/>
  <c r="F5573" i="6"/>
  <c r="G5573" i="6"/>
  <c r="H5573" i="6"/>
  <c r="I5573" i="6"/>
  <c r="E5573" i="6" s="1"/>
  <c r="J5573" i="6"/>
  <c r="A5574" i="6"/>
  <c r="B5574" i="6"/>
  <c r="C5574" i="6"/>
  <c r="F5574" i="6"/>
  <c r="G5574" i="6"/>
  <c r="H5574" i="6"/>
  <c r="I5574" i="6"/>
  <c r="E5574" i="6" s="1"/>
  <c r="J5574" i="6"/>
  <c r="A5575" i="6"/>
  <c r="B5575" i="6"/>
  <c r="C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E5579" i="6" s="1"/>
  <c r="L5579" i="6" s="1"/>
  <c r="J5579" i="6"/>
  <c r="A5580" i="6"/>
  <c r="B5580" i="6"/>
  <c r="C5580" i="6"/>
  <c r="F5580" i="6"/>
  <c r="G5580" i="6"/>
  <c r="H5580" i="6"/>
  <c r="I5580" i="6"/>
  <c r="E5580" i="6" s="1"/>
  <c r="J5580" i="6"/>
  <c r="A5581" i="6"/>
  <c r="B5581" i="6"/>
  <c r="C5581" i="6"/>
  <c r="F5581" i="6"/>
  <c r="G5581" i="6"/>
  <c r="H5581" i="6"/>
  <c r="I5581" i="6"/>
  <c r="E5581" i="6" s="1"/>
  <c r="J5581" i="6"/>
  <c r="A5582" i="6"/>
  <c r="B5582" i="6"/>
  <c r="C5582" i="6"/>
  <c r="F5582" i="6"/>
  <c r="G5582" i="6"/>
  <c r="H5582" i="6"/>
  <c r="I5582" i="6"/>
  <c r="E5582" i="6" s="1"/>
  <c r="J5582" i="6"/>
  <c r="A5583" i="6"/>
  <c r="B5583" i="6"/>
  <c r="C5583" i="6"/>
  <c r="F5583" i="6"/>
  <c r="G5583" i="6"/>
  <c r="H5583" i="6"/>
  <c r="I5583" i="6"/>
  <c r="E5583" i="6" s="1"/>
  <c r="L5583" i="6" s="1"/>
  <c r="J5583" i="6"/>
  <c r="A5584" i="6"/>
  <c r="B5584" i="6"/>
  <c r="C5584" i="6"/>
  <c r="F5584" i="6"/>
  <c r="G5584" i="6"/>
  <c r="H5584" i="6"/>
  <c r="I5584" i="6"/>
  <c r="E5584" i="6" s="1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E5587" i="6" s="1"/>
  <c r="L5587" i="6" s="1"/>
  <c r="J5587" i="6"/>
  <c r="A5588" i="6"/>
  <c r="B5588" i="6"/>
  <c r="C5588" i="6"/>
  <c r="F5588" i="6"/>
  <c r="G5588" i="6"/>
  <c r="H5588" i="6"/>
  <c r="I5588" i="6"/>
  <c r="E5588" i="6" s="1"/>
  <c r="J5588" i="6"/>
  <c r="A5589" i="6"/>
  <c r="B5589" i="6"/>
  <c r="C5589" i="6"/>
  <c r="F5589" i="6"/>
  <c r="G5589" i="6"/>
  <c r="H5589" i="6"/>
  <c r="I5589" i="6"/>
  <c r="E5589" i="6" s="1"/>
  <c r="J5589" i="6"/>
  <c r="A5590" i="6"/>
  <c r="B5590" i="6"/>
  <c r="C5590" i="6"/>
  <c r="F5590" i="6"/>
  <c r="G5590" i="6"/>
  <c r="H5590" i="6"/>
  <c r="I5590" i="6"/>
  <c r="E5590" i="6" s="1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E5603" i="6" s="1"/>
  <c r="L5603" i="6" s="1"/>
  <c r="J5603" i="6"/>
  <c r="A5604" i="6"/>
  <c r="B5604" i="6"/>
  <c r="C5604" i="6"/>
  <c r="F5604" i="6"/>
  <c r="G5604" i="6"/>
  <c r="H5604" i="6"/>
  <c r="I5604" i="6"/>
  <c r="E5604" i="6" s="1"/>
  <c r="J5604" i="6"/>
  <c r="A5605" i="6"/>
  <c r="B5605" i="6"/>
  <c r="C5605" i="6"/>
  <c r="F5605" i="6"/>
  <c r="G5605" i="6"/>
  <c r="H5605" i="6"/>
  <c r="I5605" i="6"/>
  <c r="E5605" i="6" s="1"/>
  <c r="J5605" i="6"/>
  <c r="A5606" i="6"/>
  <c r="B5606" i="6"/>
  <c r="C5606" i="6"/>
  <c r="F5606" i="6"/>
  <c r="G5606" i="6"/>
  <c r="H5606" i="6"/>
  <c r="I5606" i="6"/>
  <c r="E5606" i="6" s="1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E5612" i="6" s="1"/>
  <c r="L5612" i="6" s="1"/>
  <c r="J5612" i="6"/>
  <c r="A5613" i="6"/>
  <c r="B5613" i="6"/>
  <c r="C5613" i="6"/>
  <c r="F5613" i="6"/>
  <c r="G5613" i="6"/>
  <c r="H5613" i="6"/>
  <c r="I5613" i="6"/>
  <c r="E5613" i="6" s="1"/>
  <c r="J5613" i="6"/>
  <c r="A5614" i="6"/>
  <c r="B5614" i="6"/>
  <c r="C5614" i="6"/>
  <c r="F5614" i="6"/>
  <c r="G5614" i="6"/>
  <c r="H5614" i="6"/>
  <c r="I5614" i="6"/>
  <c r="E5614" i="6" s="1"/>
  <c r="J5614" i="6"/>
  <c r="A5615" i="6"/>
  <c r="B5615" i="6"/>
  <c r="C5615" i="6"/>
  <c r="F5615" i="6"/>
  <c r="G5615" i="6"/>
  <c r="H5615" i="6"/>
  <c r="I5615" i="6"/>
  <c r="E5615" i="6" s="1"/>
  <c r="L5615" i="6" s="1"/>
  <c r="J5615" i="6"/>
  <c r="A5616" i="6"/>
  <c r="B5616" i="6"/>
  <c r="C5616" i="6"/>
  <c r="F5616" i="6"/>
  <c r="G5616" i="6"/>
  <c r="H5616" i="6"/>
  <c r="I5616" i="6"/>
  <c r="E5616" i="6" s="1"/>
  <c r="J5616" i="6"/>
  <c r="A5617" i="6"/>
  <c r="B5617" i="6"/>
  <c r="C5617" i="6"/>
  <c r="F5617" i="6"/>
  <c r="G5617" i="6"/>
  <c r="H5617" i="6"/>
  <c r="I5617" i="6"/>
  <c r="E5617" i="6" s="1"/>
  <c r="J5617" i="6"/>
  <c r="A5618" i="6"/>
  <c r="B5618" i="6"/>
  <c r="C5618" i="6"/>
  <c r="F5618" i="6"/>
  <c r="G5618" i="6"/>
  <c r="H5618" i="6"/>
  <c r="I5618" i="6"/>
  <c r="E5618" i="6" s="1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E5621" i="6" s="1"/>
  <c r="L5621" i="6" s="1"/>
  <c r="J5621" i="6"/>
  <c r="A5622" i="6"/>
  <c r="B5622" i="6"/>
  <c r="C5622" i="6"/>
  <c r="F5622" i="6"/>
  <c r="G5622" i="6"/>
  <c r="H5622" i="6"/>
  <c r="I5622" i="6"/>
  <c r="E5622" i="6" s="1"/>
  <c r="J5622" i="6"/>
  <c r="A5623" i="6"/>
  <c r="B5623" i="6"/>
  <c r="C5623" i="6"/>
  <c r="F5623" i="6"/>
  <c r="G5623" i="6"/>
  <c r="H5623" i="6"/>
  <c r="I5623" i="6"/>
  <c r="E5623" i="6" s="1"/>
  <c r="J5623" i="6"/>
  <c r="A5624" i="6"/>
  <c r="B5624" i="6"/>
  <c r="C5624" i="6"/>
  <c r="F5624" i="6"/>
  <c r="G5624" i="6"/>
  <c r="H5624" i="6"/>
  <c r="I5624" i="6"/>
  <c r="E5624" i="6" s="1"/>
  <c r="J5624" i="6"/>
  <c r="A5625" i="6"/>
  <c r="B5625" i="6"/>
  <c r="C5625" i="6"/>
  <c r="F5625" i="6"/>
  <c r="G5625" i="6"/>
  <c r="H5625" i="6"/>
  <c r="I5625" i="6"/>
  <c r="E5625" i="6" s="1"/>
  <c r="J5625" i="6"/>
  <c r="A5626" i="6"/>
  <c r="B5626" i="6"/>
  <c r="C5626" i="6"/>
  <c r="F5626" i="6"/>
  <c r="G5626" i="6"/>
  <c r="H5626" i="6"/>
  <c r="I5626" i="6"/>
  <c r="E5626" i="6" s="1"/>
  <c r="J5626" i="6"/>
  <c r="A5627" i="6"/>
  <c r="B5627" i="6"/>
  <c r="C5627" i="6"/>
  <c r="F5627" i="6"/>
  <c r="G5627" i="6"/>
  <c r="H5627" i="6"/>
  <c r="I5627" i="6"/>
  <c r="E5627" i="6" s="1"/>
  <c r="J5627" i="6"/>
  <c r="A5628" i="6"/>
  <c r="B5628" i="6"/>
  <c r="C5628" i="6"/>
  <c r="F5628" i="6"/>
  <c r="G5628" i="6"/>
  <c r="H5628" i="6"/>
  <c r="I5628" i="6"/>
  <c r="E5628" i="6" s="1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E5636" i="6" s="1"/>
  <c r="L5636" i="6" s="1"/>
  <c r="J5636" i="6"/>
  <c r="A5637" i="6"/>
  <c r="B5637" i="6"/>
  <c r="C5637" i="6"/>
  <c r="F5637" i="6"/>
  <c r="G5637" i="6"/>
  <c r="H5637" i="6"/>
  <c r="I5637" i="6"/>
  <c r="E5637" i="6" s="1"/>
  <c r="J5637" i="6"/>
  <c r="A5638" i="6"/>
  <c r="B5638" i="6"/>
  <c r="C5638" i="6"/>
  <c r="F5638" i="6"/>
  <c r="G5638" i="6"/>
  <c r="H5638" i="6"/>
  <c r="I5638" i="6"/>
  <c r="E5638" i="6" s="1"/>
  <c r="J5638" i="6"/>
  <c r="A5639" i="6"/>
  <c r="B5639" i="6"/>
  <c r="C5639" i="6"/>
  <c r="F5639" i="6"/>
  <c r="G5639" i="6"/>
  <c r="H5639" i="6"/>
  <c r="I5639" i="6"/>
  <c r="E5639" i="6" s="1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E5643" i="6" s="1"/>
  <c r="L5643" i="6" s="1"/>
  <c r="J5643" i="6"/>
  <c r="A5644" i="6"/>
  <c r="B5644" i="6"/>
  <c r="C5644" i="6"/>
  <c r="F5644" i="6"/>
  <c r="G5644" i="6"/>
  <c r="H5644" i="6"/>
  <c r="I5644" i="6"/>
  <c r="E5644" i="6" s="1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F5650" i="6"/>
  <c r="G5650" i="6"/>
  <c r="H5650" i="6"/>
  <c r="I5650" i="6"/>
  <c r="E5650" i="6" s="1"/>
  <c r="L5650" i="6" s="1"/>
  <c r="J5650" i="6"/>
  <c r="A5651" i="6"/>
  <c r="B5651" i="6"/>
  <c r="C5651" i="6"/>
  <c r="F5651" i="6"/>
  <c r="G5651" i="6"/>
  <c r="H5651" i="6"/>
  <c r="I5651" i="6"/>
  <c r="E5651" i="6" s="1"/>
  <c r="J5651" i="6"/>
  <c r="A5652" i="6"/>
  <c r="B5652" i="6"/>
  <c r="C5652" i="6"/>
  <c r="F5652" i="6"/>
  <c r="G5652" i="6"/>
  <c r="H5652" i="6"/>
  <c r="I5652" i="6"/>
  <c r="E5652" i="6" s="1"/>
  <c r="J5652" i="6"/>
  <c r="A5653" i="6"/>
  <c r="B5653" i="6"/>
  <c r="C5653" i="6"/>
  <c r="F5653" i="6"/>
  <c r="G5653" i="6"/>
  <c r="H5653" i="6"/>
  <c r="I5653" i="6"/>
  <c r="E5653" i="6" s="1"/>
  <c r="J5653" i="6"/>
  <c r="A5654" i="6"/>
  <c r="B5654" i="6"/>
  <c r="C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E5657" i="6" s="1"/>
  <c r="L5657" i="6" s="1"/>
  <c r="J5657" i="6"/>
  <c r="A5658" i="6"/>
  <c r="B5658" i="6"/>
  <c r="C5658" i="6"/>
  <c r="F5658" i="6"/>
  <c r="G5658" i="6"/>
  <c r="H5658" i="6"/>
  <c r="I5658" i="6"/>
  <c r="E5658" i="6" s="1"/>
  <c r="J5658" i="6"/>
  <c r="A5659" i="6"/>
  <c r="B5659" i="6"/>
  <c r="C5659" i="6"/>
  <c r="F5659" i="6"/>
  <c r="G5659" i="6"/>
  <c r="H5659" i="6"/>
  <c r="I5659" i="6"/>
  <c r="E5659" i="6" s="1"/>
  <c r="J5659" i="6"/>
  <c r="A5660" i="6"/>
  <c r="B5660" i="6"/>
  <c r="C5660" i="6"/>
  <c r="F5660" i="6"/>
  <c r="G5660" i="6"/>
  <c r="H5660" i="6"/>
  <c r="I5660" i="6"/>
  <c r="E5660" i="6" s="1"/>
  <c r="J5660" i="6"/>
  <c r="A5661" i="6"/>
  <c r="B5661" i="6"/>
  <c r="C5661" i="6"/>
  <c r="F5661" i="6"/>
  <c r="G5661" i="6"/>
  <c r="H5661" i="6"/>
  <c r="I5661" i="6"/>
  <c r="E5661" i="6" s="1"/>
  <c r="J5661" i="6"/>
  <c r="A5662" i="6"/>
  <c r="B5662" i="6"/>
  <c r="C5662" i="6"/>
  <c r="F5662" i="6"/>
  <c r="G5662" i="6"/>
  <c r="H5662" i="6"/>
  <c r="I5662" i="6"/>
  <c r="E5662" i="6" s="1"/>
  <c r="J5662" i="6"/>
  <c r="A5663" i="6"/>
  <c r="B5663" i="6"/>
  <c r="C5663" i="6"/>
  <c r="F5663" i="6"/>
  <c r="G5663" i="6"/>
  <c r="H5663" i="6"/>
  <c r="I5663" i="6"/>
  <c r="E5663" i="6" s="1"/>
  <c r="L5663" i="6" s="1"/>
  <c r="J5663" i="6"/>
  <c r="A5664" i="6"/>
  <c r="B5664" i="6"/>
  <c r="C5664" i="6"/>
  <c r="F5664" i="6"/>
  <c r="G5664" i="6"/>
  <c r="H5664" i="6"/>
  <c r="I5664" i="6"/>
  <c r="E5664" i="6" s="1"/>
  <c r="J5664" i="6"/>
  <c r="A5665" i="6"/>
  <c r="B5665" i="6"/>
  <c r="C5665" i="6"/>
  <c r="F5665" i="6"/>
  <c r="G5665" i="6"/>
  <c r="H5665" i="6"/>
  <c r="I5665" i="6"/>
  <c r="E5665" i="6" s="1"/>
  <c r="J5665" i="6"/>
  <c r="A5666" i="6"/>
  <c r="B5666" i="6"/>
  <c r="C5666" i="6"/>
  <c r="F5666" i="6"/>
  <c r="G5666" i="6"/>
  <c r="H5666" i="6"/>
  <c r="I5666" i="6"/>
  <c r="E5666" i="6" s="1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E5668" i="6" s="1"/>
  <c r="L5668" i="6" s="1"/>
  <c r="J5668" i="6"/>
  <c r="A5669" i="6"/>
  <c r="B5669" i="6"/>
  <c r="C5669" i="6"/>
  <c r="F5669" i="6"/>
  <c r="G5669" i="6"/>
  <c r="H5669" i="6"/>
  <c r="I5669" i="6"/>
  <c r="E5669" i="6" s="1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E5678" i="6" s="1"/>
  <c r="L5678" i="6" s="1"/>
  <c r="J5678" i="6"/>
  <c r="A5679" i="6"/>
  <c r="B5679" i="6"/>
  <c r="C5679" i="6"/>
  <c r="F5679" i="6"/>
  <c r="G5679" i="6"/>
  <c r="H5679" i="6"/>
  <c r="I5679" i="6"/>
  <c r="E5679" i="6" s="1"/>
  <c r="J5679" i="6"/>
  <c r="A5680" i="6"/>
  <c r="B5680" i="6"/>
  <c r="C5680" i="6"/>
  <c r="F5680" i="6"/>
  <c r="G5680" i="6"/>
  <c r="H5680" i="6"/>
  <c r="I5680" i="6"/>
  <c r="E5680" i="6" s="1"/>
  <c r="J5680" i="6"/>
  <c r="A5681" i="6"/>
  <c r="B5681" i="6"/>
  <c r="C5681" i="6"/>
  <c r="F5681" i="6"/>
  <c r="G5681" i="6"/>
  <c r="H5681" i="6"/>
  <c r="I5681" i="6"/>
  <c r="E5681" i="6" s="1"/>
  <c r="J5681" i="6"/>
  <c r="A5682" i="6"/>
  <c r="B5682" i="6"/>
  <c r="C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F5694" i="6"/>
  <c r="G5694" i="6"/>
  <c r="H5694" i="6"/>
  <c r="I5694" i="6"/>
  <c r="E5694" i="6" s="1"/>
  <c r="L5694" i="6" s="1"/>
  <c r="J5694" i="6"/>
  <c r="A5695" i="6"/>
  <c r="B5695" i="6"/>
  <c r="C5695" i="6"/>
  <c r="F5695" i="6"/>
  <c r="G5695" i="6"/>
  <c r="H5695" i="6"/>
  <c r="I5695" i="6"/>
  <c r="E5695" i="6" s="1"/>
  <c r="J5695" i="6"/>
  <c r="A5696" i="6"/>
  <c r="B5696" i="6"/>
  <c r="C5696" i="6"/>
  <c r="F5696" i="6"/>
  <c r="G5696" i="6"/>
  <c r="H5696" i="6"/>
  <c r="I5696" i="6"/>
  <c r="E5696" i="6" s="1"/>
  <c r="J5696" i="6"/>
  <c r="A5697" i="6"/>
  <c r="B5697" i="6"/>
  <c r="C5697" i="6"/>
  <c r="F5697" i="6"/>
  <c r="G5697" i="6"/>
  <c r="H5697" i="6"/>
  <c r="I5697" i="6"/>
  <c r="E5697" i="6" s="1"/>
  <c r="J5697" i="6"/>
  <c r="A5698" i="6"/>
  <c r="B5698" i="6"/>
  <c r="C5698" i="6"/>
  <c r="F5698" i="6"/>
  <c r="G5698" i="6"/>
  <c r="H5698" i="6"/>
  <c r="I5698" i="6"/>
  <c r="E5698" i="6" s="1"/>
  <c r="J5698" i="6"/>
  <c r="A5699" i="6"/>
  <c r="B5699" i="6"/>
  <c r="C5699" i="6"/>
  <c r="F5699" i="6"/>
  <c r="G5699" i="6"/>
  <c r="H5699" i="6"/>
  <c r="I5699" i="6"/>
  <c r="E5699" i="6" s="1"/>
  <c r="L5699" i="6" s="1"/>
  <c r="J5699" i="6"/>
  <c r="A5700" i="6"/>
  <c r="B5700" i="6"/>
  <c r="C5700" i="6"/>
  <c r="F5700" i="6"/>
  <c r="G5700" i="6"/>
  <c r="H5700" i="6"/>
  <c r="I5700" i="6"/>
  <c r="E5700" i="6" s="1"/>
  <c r="J5700" i="6"/>
  <c r="A5701" i="6"/>
  <c r="B5701" i="6"/>
  <c r="C5701" i="6"/>
  <c r="F5701" i="6"/>
  <c r="G5701" i="6"/>
  <c r="H5701" i="6"/>
  <c r="I5701" i="6"/>
  <c r="E5701" i="6" s="1"/>
  <c r="J5701" i="6"/>
  <c r="A5702" i="6"/>
  <c r="B5702" i="6"/>
  <c r="C5702" i="6"/>
  <c r="F5702" i="6"/>
  <c r="G5702" i="6"/>
  <c r="H5702" i="6"/>
  <c r="I5702" i="6"/>
  <c r="E5702" i="6" s="1"/>
  <c r="J5702" i="6"/>
  <c r="A5703" i="6"/>
  <c r="B5703" i="6"/>
  <c r="C5703" i="6"/>
  <c r="F5703" i="6"/>
  <c r="G5703" i="6"/>
  <c r="H5703" i="6"/>
  <c r="I5703" i="6"/>
  <c r="E5703" i="6" s="1"/>
  <c r="J5703" i="6"/>
  <c r="A5704" i="6"/>
  <c r="B5704" i="6"/>
  <c r="C5704" i="6"/>
  <c r="F5704" i="6"/>
  <c r="G5704" i="6"/>
  <c r="H5704" i="6"/>
  <c r="I5704" i="6"/>
  <c r="E5704" i="6" s="1"/>
  <c r="J5704" i="6"/>
  <c r="A5705" i="6"/>
  <c r="B5705" i="6"/>
  <c r="C5705" i="6"/>
  <c r="F5705" i="6"/>
  <c r="G5705" i="6"/>
  <c r="H5705" i="6"/>
  <c r="I5705" i="6"/>
  <c r="E5705" i="6" s="1"/>
  <c r="J5705" i="6"/>
  <c r="A5706" i="6"/>
  <c r="B5706" i="6"/>
  <c r="C5706" i="6"/>
  <c r="F5706" i="6"/>
  <c r="G5706" i="6"/>
  <c r="H5706" i="6"/>
  <c r="I5706" i="6"/>
  <c r="E5706" i="6" s="1"/>
  <c r="J5706" i="6"/>
  <c r="A5707" i="6"/>
  <c r="B5707" i="6"/>
  <c r="C5707" i="6"/>
  <c r="F5707" i="6"/>
  <c r="G5707" i="6"/>
  <c r="H5707" i="6"/>
  <c r="I5707" i="6"/>
  <c r="E5707" i="6" s="1"/>
  <c r="J5707" i="6"/>
  <c r="A5708" i="6"/>
  <c r="B5708" i="6"/>
  <c r="C5708" i="6"/>
  <c r="F5708" i="6"/>
  <c r="G5708" i="6"/>
  <c r="H5708" i="6"/>
  <c r="I5708" i="6"/>
  <c r="E5708" i="6" s="1"/>
  <c r="J5708" i="6"/>
  <c r="A5709" i="6"/>
  <c r="B5709" i="6"/>
  <c r="C5709" i="6"/>
  <c r="F5709" i="6"/>
  <c r="G5709" i="6"/>
  <c r="H5709" i="6"/>
  <c r="I5709" i="6"/>
  <c r="E5709" i="6" s="1"/>
  <c r="J5709" i="6"/>
  <c r="A5710" i="6"/>
  <c r="B5710" i="6"/>
  <c r="C5710" i="6"/>
  <c r="F5710" i="6"/>
  <c r="G5710" i="6"/>
  <c r="H5710" i="6"/>
  <c r="I5710" i="6"/>
  <c r="E5710" i="6" s="1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E5721" i="6" s="1"/>
  <c r="L5721" i="6" s="1"/>
  <c r="J5721" i="6"/>
  <c r="A5722" i="6"/>
  <c r="B5722" i="6"/>
  <c r="C5722" i="6"/>
  <c r="F5722" i="6"/>
  <c r="G5722" i="6"/>
  <c r="H5722" i="6"/>
  <c r="I5722" i="6"/>
  <c r="E5722" i="6" s="1"/>
  <c r="J5722" i="6"/>
  <c r="A5723" i="6"/>
  <c r="B5723" i="6"/>
  <c r="C5723" i="6"/>
  <c r="F5723" i="6"/>
  <c r="G5723" i="6"/>
  <c r="H5723" i="6"/>
  <c r="I5723" i="6"/>
  <c r="E5723" i="6" s="1"/>
  <c r="L5723" i="6" s="1"/>
  <c r="J5723" i="6"/>
  <c r="A5724" i="6"/>
  <c r="B5724" i="6"/>
  <c r="C5724" i="6"/>
  <c r="F5724" i="6"/>
  <c r="G5724" i="6"/>
  <c r="H5724" i="6"/>
  <c r="I5724" i="6"/>
  <c r="E5724" i="6" s="1"/>
  <c r="J5724" i="6"/>
  <c r="A5725" i="6"/>
  <c r="B5725" i="6"/>
  <c r="C5725" i="6"/>
  <c r="F5725" i="6"/>
  <c r="G5725" i="6"/>
  <c r="H5725" i="6"/>
  <c r="I5725" i="6"/>
  <c r="E5725" i="6" s="1"/>
  <c r="J5725" i="6"/>
  <c r="A5726" i="6"/>
  <c r="B5726" i="6"/>
  <c r="C5726" i="6"/>
  <c r="F5726" i="6"/>
  <c r="G5726" i="6"/>
  <c r="H5726" i="6"/>
  <c r="I5726" i="6"/>
  <c r="E5726" i="6" s="1"/>
  <c r="J5726" i="6"/>
  <c r="A5727" i="6"/>
  <c r="B5727" i="6"/>
  <c r="C5727" i="6"/>
  <c r="F5727" i="6"/>
  <c r="G5727" i="6"/>
  <c r="H5727" i="6"/>
  <c r="I5727" i="6"/>
  <c r="E5727" i="6" s="1"/>
  <c r="J5727" i="6"/>
  <c r="A5728" i="6"/>
  <c r="B5728" i="6"/>
  <c r="C5728" i="6"/>
  <c r="F5728" i="6"/>
  <c r="G5728" i="6"/>
  <c r="H5728" i="6"/>
  <c r="I5728" i="6"/>
  <c r="E5728" i="6" s="1"/>
  <c r="J5728" i="6"/>
  <c r="A5729" i="6"/>
  <c r="B5729" i="6"/>
  <c r="C5729" i="6"/>
  <c r="F5729" i="6"/>
  <c r="G5729" i="6"/>
  <c r="H5729" i="6"/>
  <c r="I5729" i="6"/>
  <c r="E5729" i="6" s="1"/>
  <c r="J5729" i="6"/>
  <c r="A5730" i="6"/>
  <c r="B5730" i="6"/>
  <c r="C5730" i="6"/>
  <c r="F5730" i="6"/>
  <c r="G5730" i="6"/>
  <c r="H5730" i="6"/>
  <c r="I5730" i="6"/>
  <c r="E5730" i="6" s="1"/>
  <c r="J5730" i="6"/>
  <c r="A5731" i="6"/>
  <c r="B5731" i="6"/>
  <c r="C5731" i="6"/>
  <c r="F5731" i="6"/>
  <c r="G5731" i="6"/>
  <c r="H5731" i="6"/>
  <c r="I5731" i="6"/>
  <c r="E5731" i="6" s="1"/>
  <c r="L5731" i="6" s="1"/>
  <c r="J5731" i="6"/>
  <c r="A5732" i="6"/>
  <c r="B5732" i="6"/>
  <c r="C5732" i="6"/>
  <c r="F5732" i="6"/>
  <c r="G5732" i="6"/>
  <c r="H5732" i="6"/>
  <c r="I5732" i="6"/>
  <c r="E5732" i="6" s="1"/>
  <c r="J5732" i="6"/>
  <c r="A5733" i="6"/>
  <c r="B5733" i="6"/>
  <c r="C5733" i="6"/>
  <c r="F5733" i="6"/>
  <c r="G5733" i="6"/>
  <c r="H5733" i="6"/>
  <c r="I5733" i="6"/>
  <c r="E5733" i="6" s="1"/>
  <c r="J5733" i="6"/>
  <c r="A5734" i="6"/>
  <c r="B5734" i="6"/>
  <c r="C5734" i="6"/>
  <c r="F5734" i="6"/>
  <c r="G5734" i="6"/>
  <c r="H5734" i="6"/>
  <c r="I5734" i="6"/>
  <c r="E5734" i="6" s="1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E5738" i="6" s="1"/>
  <c r="L5738" i="6" s="1"/>
  <c r="J5738" i="6"/>
  <c r="A5739" i="6"/>
  <c r="B5739" i="6"/>
  <c r="C5739" i="6"/>
  <c r="F5739" i="6"/>
  <c r="G5739" i="6"/>
  <c r="H5739" i="6"/>
  <c r="I5739" i="6"/>
  <c r="E5739" i="6" s="1"/>
  <c r="J5739" i="6"/>
  <c r="A5740" i="6"/>
  <c r="B5740" i="6"/>
  <c r="C5740" i="6"/>
  <c r="F5740" i="6"/>
  <c r="G5740" i="6"/>
  <c r="H5740" i="6"/>
  <c r="I5740" i="6"/>
  <c r="E5740" i="6" s="1"/>
  <c r="J5740" i="6"/>
  <c r="A5741" i="6"/>
  <c r="B5741" i="6"/>
  <c r="C5741" i="6"/>
  <c r="F5741" i="6"/>
  <c r="G5741" i="6"/>
  <c r="H5741" i="6"/>
  <c r="I5741" i="6"/>
  <c r="E5741" i="6" s="1"/>
  <c r="J5741" i="6"/>
  <c r="A5742" i="6"/>
  <c r="B5742" i="6"/>
  <c r="C5742" i="6"/>
  <c r="F5742" i="6"/>
  <c r="G5742" i="6"/>
  <c r="H5742" i="6"/>
  <c r="I5742" i="6"/>
  <c r="E5742" i="6" s="1"/>
  <c r="J5742" i="6"/>
  <c r="A5743" i="6"/>
  <c r="B5743" i="6"/>
  <c r="C5743" i="6"/>
  <c r="F5743" i="6"/>
  <c r="G5743" i="6"/>
  <c r="H5743" i="6"/>
  <c r="I5743" i="6"/>
  <c r="E5743" i="6" s="1"/>
  <c r="L5743" i="6" s="1"/>
  <c r="J5743" i="6"/>
  <c r="A5744" i="6"/>
  <c r="B5744" i="6"/>
  <c r="C5744" i="6"/>
  <c r="F5744" i="6"/>
  <c r="G5744" i="6"/>
  <c r="H5744" i="6"/>
  <c r="I5744" i="6"/>
  <c r="E5744" i="6" s="1"/>
  <c r="J5744" i="6"/>
  <c r="A5745" i="6"/>
  <c r="B5745" i="6"/>
  <c r="C5745" i="6"/>
  <c r="F5745" i="6"/>
  <c r="G5745" i="6"/>
  <c r="H5745" i="6"/>
  <c r="I5745" i="6"/>
  <c r="E5745" i="6" s="1"/>
  <c r="J5745" i="6"/>
  <c r="A5746" i="6"/>
  <c r="B5746" i="6"/>
  <c r="C5746" i="6"/>
  <c r="F5746" i="6"/>
  <c r="G5746" i="6"/>
  <c r="H5746" i="6"/>
  <c r="I5746" i="6"/>
  <c r="E5746" i="6" s="1"/>
  <c r="J5746" i="6"/>
  <c r="A5747" i="6"/>
  <c r="B5747" i="6"/>
  <c r="C5747" i="6"/>
  <c r="F5747" i="6"/>
  <c r="G5747" i="6"/>
  <c r="H5747" i="6"/>
  <c r="I5747" i="6"/>
  <c r="E5747" i="6" s="1"/>
  <c r="J5747" i="6"/>
  <c r="A5748" i="6"/>
  <c r="B5748" i="6"/>
  <c r="C5748" i="6"/>
  <c r="F5748" i="6"/>
  <c r="G5748" i="6"/>
  <c r="H5748" i="6"/>
  <c r="I5748" i="6"/>
  <c r="E5748" i="6" s="1"/>
  <c r="J5748" i="6"/>
  <c r="A5749" i="6"/>
  <c r="B5749" i="6"/>
  <c r="C5749" i="6"/>
  <c r="F5749" i="6"/>
  <c r="G5749" i="6"/>
  <c r="H5749" i="6"/>
  <c r="I5749" i="6"/>
  <c r="E5749" i="6" s="1"/>
  <c r="J5749" i="6"/>
  <c r="A5750" i="6"/>
  <c r="B5750" i="6"/>
  <c r="C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E5755" i="6" s="1"/>
  <c r="L5755" i="6" s="1"/>
  <c r="J5755" i="6"/>
  <c r="A5756" i="6"/>
  <c r="B5756" i="6"/>
  <c r="C5756" i="6"/>
  <c r="F5756" i="6"/>
  <c r="G5756" i="6"/>
  <c r="H5756" i="6"/>
  <c r="I5756" i="6"/>
  <c r="E5756" i="6" s="1"/>
  <c r="J5756" i="6"/>
  <c r="A5757" i="6"/>
  <c r="B5757" i="6"/>
  <c r="C5757" i="6"/>
  <c r="F5757" i="6"/>
  <c r="G5757" i="6"/>
  <c r="H5757" i="6"/>
  <c r="I5757" i="6"/>
  <c r="E5757" i="6" s="1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E5770" i="6" s="1"/>
  <c r="L5770" i="6" s="1"/>
  <c r="J5770" i="6"/>
  <c r="A5771" i="6"/>
  <c r="B5771" i="6"/>
  <c r="C5771" i="6"/>
  <c r="F5771" i="6"/>
  <c r="G5771" i="6"/>
  <c r="H5771" i="6"/>
  <c r="I5771" i="6"/>
  <c r="E5771" i="6" s="1"/>
  <c r="J5771" i="6"/>
  <c r="A5772" i="6"/>
  <c r="B5772" i="6"/>
  <c r="C5772" i="6"/>
  <c r="F5772" i="6"/>
  <c r="G5772" i="6"/>
  <c r="H5772" i="6"/>
  <c r="I5772" i="6"/>
  <c r="E5772" i="6" s="1"/>
  <c r="J5772" i="6"/>
  <c r="A5773" i="6"/>
  <c r="B5773" i="6"/>
  <c r="C5773" i="6"/>
  <c r="F5773" i="6"/>
  <c r="G5773" i="6"/>
  <c r="H5773" i="6"/>
  <c r="I5773" i="6"/>
  <c r="E5773" i="6" s="1"/>
  <c r="J5773" i="6"/>
  <c r="A5774" i="6"/>
  <c r="B5774" i="6"/>
  <c r="C5774" i="6"/>
  <c r="F5774" i="6"/>
  <c r="G5774" i="6"/>
  <c r="H5774" i="6"/>
  <c r="I5774" i="6"/>
  <c r="E5774" i="6" s="1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E5782" i="6" s="1"/>
  <c r="L5782" i="6" s="1"/>
  <c r="J5782" i="6"/>
  <c r="A5783" i="6"/>
  <c r="B5783" i="6"/>
  <c r="C5783" i="6"/>
  <c r="F5783" i="6"/>
  <c r="G5783" i="6"/>
  <c r="H5783" i="6"/>
  <c r="I5783" i="6"/>
  <c r="E5783" i="6" s="1"/>
  <c r="J5783" i="6"/>
  <c r="A5784" i="6"/>
  <c r="B5784" i="6"/>
  <c r="C5784" i="6"/>
  <c r="F5784" i="6"/>
  <c r="G5784" i="6"/>
  <c r="H5784" i="6"/>
  <c r="I5784" i="6"/>
  <c r="E5784" i="6" s="1"/>
  <c r="J5784" i="6"/>
  <c r="A5785" i="6"/>
  <c r="B5785" i="6"/>
  <c r="C5785" i="6"/>
  <c r="F5785" i="6"/>
  <c r="G5785" i="6"/>
  <c r="H5785" i="6"/>
  <c r="I5785" i="6"/>
  <c r="E5785" i="6" s="1"/>
  <c r="J5785" i="6"/>
  <c r="A5786" i="6"/>
  <c r="B5786" i="6"/>
  <c r="C5786" i="6"/>
  <c r="F5786" i="6"/>
  <c r="G5786" i="6"/>
  <c r="H5786" i="6"/>
  <c r="I5786" i="6"/>
  <c r="E5786" i="6" s="1"/>
  <c r="J5786" i="6"/>
  <c r="A5787" i="6"/>
  <c r="B5787" i="6"/>
  <c r="C5787" i="6"/>
  <c r="F5787" i="6"/>
  <c r="G5787" i="6"/>
  <c r="H5787" i="6"/>
  <c r="I5787" i="6"/>
  <c r="E5787" i="6" s="1"/>
  <c r="L5787" i="6" s="1"/>
  <c r="J5787" i="6"/>
  <c r="A5788" i="6"/>
  <c r="B5788" i="6"/>
  <c r="C5788" i="6"/>
  <c r="F5788" i="6"/>
  <c r="G5788" i="6"/>
  <c r="H5788" i="6"/>
  <c r="I5788" i="6"/>
  <c r="E5788" i="6" s="1"/>
  <c r="J5788" i="6"/>
  <c r="A5789" i="6"/>
  <c r="B5789" i="6"/>
  <c r="C5789" i="6"/>
  <c r="F5789" i="6"/>
  <c r="G5789" i="6"/>
  <c r="H5789" i="6"/>
  <c r="I5789" i="6"/>
  <c r="E5789" i="6" s="1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E5795" i="6" s="1"/>
  <c r="L5795" i="6" s="1"/>
  <c r="J5795" i="6"/>
  <c r="A5796" i="6"/>
  <c r="B5796" i="6"/>
  <c r="C5796" i="6"/>
  <c r="F5796" i="6"/>
  <c r="G5796" i="6"/>
  <c r="H5796" i="6"/>
  <c r="I5796" i="6"/>
  <c r="E5796" i="6" s="1"/>
  <c r="J5796" i="6"/>
  <c r="A5797" i="6"/>
  <c r="B5797" i="6"/>
  <c r="C5797" i="6"/>
  <c r="F5797" i="6"/>
  <c r="G5797" i="6"/>
  <c r="H5797" i="6"/>
  <c r="I5797" i="6"/>
  <c r="E5797" i="6" s="1"/>
  <c r="J5797" i="6"/>
  <c r="A5798" i="6"/>
  <c r="B5798" i="6"/>
  <c r="C5798" i="6"/>
  <c r="F5798" i="6"/>
  <c r="G5798" i="6"/>
  <c r="H5798" i="6"/>
  <c r="I5798" i="6"/>
  <c r="E5798" i="6" s="1"/>
  <c r="J5798" i="6"/>
  <c r="A5799" i="6"/>
  <c r="B5799" i="6"/>
  <c r="C5799" i="6"/>
  <c r="F5799" i="6"/>
  <c r="G5799" i="6"/>
  <c r="H5799" i="6"/>
  <c r="I5799" i="6"/>
  <c r="E5799" i="6" s="1"/>
  <c r="L5799" i="6" s="1"/>
  <c r="J5799" i="6"/>
  <c r="A5800" i="6"/>
  <c r="B5800" i="6"/>
  <c r="C5800" i="6"/>
  <c r="F5800" i="6"/>
  <c r="G5800" i="6"/>
  <c r="H5800" i="6"/>
  <c r="I5800" i="6"/>
  <c r="E5800" i="6" s="1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E5802" i="6" s="1"/>
  <c r="L5802" i="6" s="1"/>
  <c r="J5802" i="6"/>
  <c r="A5803" i="6"/>
  <c r="B5803" i="6"/>
  <c r="C5803" i="6"/>
  <c r="F5803" i="6"/>
  <c r="G5803" i="6"/>
  <c r="H5803" i="6"/>
  <c r="I5803" i="6"/>
  <c r="E5803" i="6" s="1"/>
  <c r="J5803" i="6"/>
  <c r="A5804" i="6"/>
  <c r="B5804" i="6"/>
  <c r="C5804" i="6"/>
  <c r="F5804" i="6"/>
  <c r="G5804" i="6"/>
  <c r="H5804" i="6"/>
  <c r="I5804" i="6"/>
  <c r="E5804" i="6" s="1"/>
  <c r="J5804" i="6"/>
  <c r="A5805" i="6"/>
  <c r="B5805" i="6"/>
  <c r="C5805" i="6"/>
  <c r="F5805" i="6"/>
  <c r="G5805" i="6"/>
  <c r="H5805" i="6"/>
  <c r="I5805" i="6"/>
  <c r="E5805" i="6" s="1"/>
  <c r="J5805" i="6"/>
  <c r="A5806" i="6"/>
  <c r="B5806" i="6"/>
  <c r="C5806" i="6"/>
  <c r="F5806" i="6"/>
  <c r="G5806" i="6"/>
  <c r="H5806" i="6"/>
  <c r="I5806" i="6"/>
  <c r="E5806" i="6" s="1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F5814" i="6"/>
  <c r="G5814" i="6"/>
  <c r="H5814" i="6"/>
  <c r="I5814" i="6"/>
  <c r="E5814" i="6" s="1"/>
  <c r="L5814" i="6" s="1"/>
  <c r="J5814" i="6"/>
  <c r="A5815" i="6"/>
  <c r="B5815" i="6"/>
  <c r="C5815" i="6"/>
  <c r="F5815" i="6"/>
  <c r="G5815" i="6"/>
  <c r="H5815" i="6"/>
  <c r="I5815" i="6"/>
  <c r="E5815" i="6" s="1"/>
  <c r="J5815" i="6"/>
  <c r="A5816" i="6"/>
  <c r="B5816" i="6"/>
  <c r="C5816" i="6"/>
  <c r="F5816" i="6"/>
  <c r="G5816" i="6"/>
  <c r="H5816" i="6"/>
  <c r="I5816" i="6"/>
  <c r="E5816" i="6" s="1"/>
  <c r="J5816" i="6"/>
  <c r="A5817" i="6"/>
  <c r="B5817" i="6"/>
  <c r="C5817" i="6"/>
  <c r="F5817" i="6"/>
  <c r="G5817" i="6"/>
  <c r="H5817" i="6"/>
  <c r="I5817" i="6"/>
  <c r="E5817" i="6" s="1"/>
  <c r="J5817" i="6"/>
  <c r="A5818" i="6"/>
  <c r="B5818" i="6"/>
  <c r="C5818" i="6"/>
  <c r="F5818" i="6"/>
  <c r="G5818" i="6"/>
  <c r="H5818" i="6"/>
  <c r="I5818" i="6"/>
  <c r="E5818" i="6" s="1"/>
  <c r="J5818" i="6"/>
  <c r="A5819" i="6"/>
  <c r="B5819" i="6"/>
  <c r="C5819" i="6"/>
  <c r="F5819" i="6"/>
  <c r="G5819" i="6"/>
  <c r="H5819" i="6"/>
  <c r="I5819" i="6"/>
  <c r="E5819" i="6" s="1"/>
  <c r="L5819" i="6" s="1"/>
  <c r="J5819" i="6"/>
  <c r="A5820" i="6"/>
  <c r="B5820" i="6"/>
  <c r="C5820" i="6"/>
  <c r="F5820" i="6"/>
  <c r="G5820" i="6"/>
  <c r="H5820" i="6"/>
  <c r="I5820" i="6"/>
  <c r="E5820" i="6" s="1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F5822" i="6"/>
  <c r="G5822" i="6"/>
  <c r="H5822" i="6"/>
  <c r="I5822" i="6"/>
  <c r="E5822" i="6" s="1"/>
  <c r="L5822" i="6" s="1"/>
  <c r="J5822" i="6"/>
  <c r="A5823" i="6"/>
  <c r="B5823" i="6"/>
  <c r="C5823" i="6"/>
  <c r="F5823" i="6"/>
  <c r="G5823" i="6"/>
  <c r="H5823" i="6"/>
  <c r="I5823" i="6"/>
  <c r="E5823" i="6" s="1"/>
  <c r="J5823" i="6"/>
  <c r="A5824" i="6"/>
  <c r="B5824" i="6"/>
  <c r="C5824" i="6"/>
  <c r="F5824" i="6"/>
  <c r="G5824" i="6"/>
  <c r="H5824" i="6"/>
  <c r="I5824" i="6"/>
  <c r="E5824" i="6" s="1"/>
  <c r="J5824" i="6"/>
  <c r="A5825" i="6"/>
  <c r="B5825" i="6"/>
  <c r="C5825" i="6"/>
  <c r="F5825" i="6"/>
  <c r="G5825" i="6"/>
  <c r="H5825" i="6"/>
  <c r="I5825" i="6"/>
  <c r="E5825" i="6" s="1"/>
  <c r="J5825" i="6"/>
  <c r="A5826" i="6"/>
  <c r="B5826" i="6"/>
  <c r="C5826" i="6"/>
  <c r="F5826" i="6"/>
  <c r="G5826" i="6"/>
  <c r="H5826" i="6"/>
  <c r="I5826" i="6"/>
  <c r="E5826" i="6" s="1"/>
  <c r="J5826" i="6"/>
  <c r="A5827" i="6"/>
  <c r="B5827" i="6"/>
  <c r="C5827" i="6"/>
  <c r="F5827" i="6"/>
  <c r="G5827" i="6"/>
  <c r="H5827" i="6"/>
  <c r="I5827" i="6"/>
  <c r="E5827" i="6" s="1"/>
  <c r="L5827" i="6" s="1"/>
  <c r="J5827" i="6"/>
  <c r="A5828" i="6"/>
  <c r="B5828" i="6"/>
  <c r="C5828" i="6"/>
  <c r="F5828" i="6"/>
  <c r="G5828" i="6"/>
  <c r="H5828" i="6"/>
  <c r="I5828" i="6"/>
  <c r="E5828" i="6" s="1"/>
  <c r="J5828" i="6"/>
  <c r="A5829" i="6"/>
  <c r="B5829" i="6"/>
  <c r="C5829" i="6"/>
  <c r="F5829" i="6"/>
  <c r="G5829" i="6"/>
  <c r="H5829" i="6"/>
  <c r="I5829" i="6"/>
  <c r="E5829" i="6" s="1"/>
  <c r="J5829" i="6"/>
  <c r="A5830" i="6"/>
  <c r="B5830" i="6"/>
  <c r="C5830" i="6"/>
  <c r="F5830" i="6"/>
  <c r="G5830" i="6"/>
  <c r="H5830" i="6"/>
  <c r="I5830" i="6"/>
  <c r="E5830" i="6" s="1"/>
  <c r="J5830" i="6"/>
  <c r="A5831" i="6"/>
  <c r="B5831" i="6"/>
  <c r="C5831" i="6"/>
  <c r="F5831" i="6"/>
  <c r="G5831" i="6"/>
  <c r="H5831" i="6"/>
  <c r="I5831" i="6"/>
  <c r="E5831" i="6" s="1"/>
  <c r="L5831" i="6" s="1"/>
  <c r="J5831" i="6"/>
  <c r="A5832" i="6"/>
  <c r="B5832" i="6"/>
  <c r="C5832" i="6"/>
  <c r="F5832" i="6"/>
  <c r="G5832" i="6"/>
  <c r="H5832" i="6"/>
  <c r="I5832" i="6"/>
  <c r="E5832" i="6" s="1"/>
  <c r="J5832" i="6"/>
  <c r="A5833" i="6"/>
  <c r="B5833" i="6"/>
  <c r="C5833" i="6"/>
  <c r="F5833" i="6"/>
  <c r="G5833" i="6"/>
  <c r="H5833" i="6"/>
  <c r="I5833" i="6"/>
  <c r="E5833" i="6" s="1"/>
  <c r="J5833" i="6"/>
  <c r="A5834" i="6"/>
  <c r="B5834" i="6"/>
  <c r="C5834" i="6"/>
  <c r="F5834" i="6"/>
  <c r="G5834" i="6"/>
  <c r="H5834" i="6"/>
  <c r="I5834" i="6"/>
  <c r="E5834" i="6" s="1"/>
  <c r="J5834" i="6"/>
  <c r="A5835" i="6"/>
  <c r="B5835" i="6"/>
  <c r="C5835" i="6"/>
  <c r="F5835" i="6"/>
  <c r="G5835" i="6"/>
  <c r="H5835" i="6"/>
  <c r="I5835" i="6"/>
  <c r="E5835" i="6" s="1"/>
  <c r="J5835" i="6"/>
  <c r="A5836" i="6"/>
  <c r="B5836" i="6"/>
  <c r="C5836" i="6"/>
  <c r="F5836" i="6"/>
  <c r="G5836" i="6"/>
  <c r="H5836" i="6"/>
  <c r="I5836" i="6"/>
  <c r="E5836" i="6" s="1"/>
  <c r="J5836" i="6"/>
  <c r="A5837" i="6"/>
  <c r="B5837" i="6"/>
  <c r="C5837" i="6"/>
  <c r="F5837" i="6"/>
  <c r="G5837" i="6"/>
  <c r="H5837" i="6"/>
  <c r="I5837" i="6"/>
  <c r="E5837" i="6" s="1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E5843" i="6" s="1"/>
  <c r="L5843" i="6" s="1"/>
  <c r="J5843" i="6"/>
  <c r="A5844" i="6"/>
  <c r="B5844" i="6"/>
  <c r="C5844" i="6"/>
  <c r="F5844" i="6"/>
  <c r="G5844" i="6"/>
  <c r="H5844" i="6"/>
  <c r="I5844" i="6"/>
  <c r="E5844" i="6" s="1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E5846" i="6" s="1"/>
  <c r="L5846" i="6" s="1"/>
  <c r="J5846" i="6"/>
  <c r="A5847" i="6"/>
  <c r="B5847" i="6"/>
  <c r="C5847" i="6"/>
  <c r="F5847" i="6"/>
  <c r="G5847" i="6"/>
  <c r="H5847" i="6"/>
  <c r="I5847" i="6"/>
  <c r="E5847" i="6" s="1"/>
  <c r="J5847" i="6"/>
  <c r="A5848" i="6"/>
  <c r="B5848" i="6"/>
  <c r="C5848" i="6"/>
  <c r="F5848" i="6"/>
  <c r="G5848" i="6"/>
  <c r="H5848" i="6"/>
  <c r="I5848" i="6"/>
  <c r="E5848" i="6" s="1"/>
  <c r="J5848" i="6"/>
  <c r="A5849" i="6"/>
  <c r="B5849" i="6"/>
  <c r="C5849" i="6"/>
  <c r="F5849" i="6"/>
  <c r="G5849" i="6"/>
  <c r="H5849" i="6"/>
  <c r="I5849" i="6"/>
  <c r="E5849" i="6" s="1"/>
  <c r="J5849" i="6"/>
  <c r="A5850" i="6"/>
  <c r="B5850" i="6"/>
  <c r="C5850" i="6"/>
  <c r="F5850" i="6"/>
  <c r="G5850" i="6"/>
  <c r="H5850" i="6"/>
  <c r="I5850" i="6"/>
  <c r="E5850" i="6" s="1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E5854" i="6" s="1"/>
  <c r="L5854" i="6" s="1"/>
  <c r="J5854" i="6"/>
  <c r="A5855" i="6"/>
  <c r="B5855" i="6"/>
  <c r="C5855" i="6"/>
  <c r="F5855" i="6"/>
  <c r="G5855" i="6"/>
  <c r="H5855" i="6"/>
  <c r="I5855" i="6"/>
  <c r="E5855" i="6" s="1"/>
  <c r="J5855" i="6"/>
  <c r="A5856" i="6"/>
  <c r="B5856" i="6"/>
  <c r="C5856" i="6"/>
  <c r="F5856" i="6"/>
  <c r="G5856" i="6"/>
  <c r="H5856" i="6"/>
  <c r="I5856" i="6"/>
  <c r="E5856" i="6" s="1"/>
  <c r="J5856" i="6"/>
  <c r="A5857" i="6"/>
  <c r="B5857" i="6"/>
  <c r="C5857" i="6"/>
  <c r="F5857" i="6"/>
  <c r="G5857" i="6"/>
  <c r="H5857" i="6"/>
  <c r="I5857" i="6"/>
  <c r="E5857" i="6" s="1"/>
  <c r="J5857" i="6"/>
  <c r="A5858" i="6"/>
  <c r="B5858" i="6"/>
  <c r="C5858" i="6"/>
  <c r="F5858" i="6"/>
  <c r="G5858" i="6"/>
  <c r="H5858" i="6"/>
  <c r="I5858" i="6"/>
  <c r="E5858" i="6" s="1"/>
  <c r="J5858" i="6"/>
  <c r="A5859" i="6"/>
  <c r="B5859" i="6"/>
  <c r="C5859" i="6"/>
  <c r="F5859" i="6"/>
  <c r="G5859" i="6"/>
  <c r="H5859" i="6"/>
  <c r="I5859" i="6"/>
  <c r="E5859" i="6" s="1"/>
  <c r="L5859" i="6" s="1"/>
  <c r="J5859" i="6"/>
  <c r="A5860" i="6"/>
  <c r="B5860" i="6"/>
  <c r="C5860" i="6"/>
  <c r="F5860" i="6"/>
  <c r="G5860" i="6"/>
  <c r="H5860" i="6"/>
  <c r="I5860" i="6"/>
  <c r="E5860" i="6" s="1"/>
  <c r="J5860" i="6"/>
  <c r="A5861" i="6"/>
  <c r="B5861" i="6"/>
  <c r="C5861" i="6"/>
  <c r="F5861" i="6"/>
  <c r="G5861" i="6"/>
  <c r="H5861" i="6"/>
  <c r="I5861" i="6"/>
  <c r="E5861" i="6" s="1"/>
  <c r="J5861" i="6"/>
  <c r="A5862" i="6"/>
  <c r="B5862" i="6"/>
  <c r="C5862" i="6"/>
  <c r="F5862" i="6"/>
  <c r="G5862" i="6"/>
  <c r="H5862" i="6"/>
  <c r="I5862" i="6"/>
  <c r="E5862" i="6" s="1"/>
  <c r="J5862" i="6"/>
  <c r="A5863" i="6"/>
  <c r="B5863" i="6"/>
  <c r="C5863" i="6"/>
  <c r="F5863" i="6"/>
  <c r="G5863" i="6"/>
  <c r="H5863" i="6"/>
  <c r="I5863" i="6"/>
  <c r="E5863" i="6" s="1"/>
  <c r="L5863" i="6" s="1"/>
  <c r="J5863" i="6"/>
  <c r="A5864" i="6"/>
  <c r="B5864" i="6"/>
  <c r="C5864" i="6"/>
  <c r="F5864" i="6"/>
  <c r="G5864" i="6"/>
  <c r="H5864" i="6"/>
  <c r="I5864" i="6"/>
  <c r="E5864" i="6" s="1"/>
  <c r="J5864" i="6"/>
  <c r="A5865" i="6"/>
  <c r="B5865" i="6"/>
  <c r="C5865" i="6"/>
  <c r="F5865" i="6"/>
  <c r="G5865" i="6"/>
  <c r="H5865" i="6"/>
  <c r="I5865" i="6"/>
  <c r="E5865" i="6" s="1"/>
  <c r="J5865" i="6"/>
  <c r="A5866" i="6"/>
  <c r="B5866" i="6"/>
  <c r="C5866" i="6"/>
  <c r="F5866" i="6"/>
  <c r="G5866" i="6"/>
  <c r="H5866" i="6"/>
  <c r="I5866" i="6"/>
  <c r="E5866" i="6" s="1"/>
  <c r="J5866" i="6"/>
  <c r="A5867" i="6"/>
  <c r="B5867" i="6"/>
  <c r="C5867" i="6"/>
  <c r="F5867" i="6"/>
  <c r="G5867" i="6"/>
  <c r="H5867" i="6"/>
  <c r="I5867" i="6"/>
  <c r="E5867" i="6" s="1"/>
  <c r="J5867" i="6"/>
  <c r="A5868" i="6"/>
  <c r="B5868" i="6"/>
  <c r="C5868" i="6"/>
  <c r="F5868" i="6"/>
  <c r="G5868" i="6"/>
  <c r="H5868" i="6"/>
  <c r="I5868" i="6"/>
  <c r="E5868" i="6" s="1"/>
  <c r="J5868" i="6"/>
  <c r="A5869" i="6"/>
  <c r="B5869" i="6"/>
  <c r="C5869" i="6"/>
  <c r="F5869" i="6"/>
  <c r="G5869" i="6"/>
  <c r="H5869" i="6"/>
  <c r="I5869" i="6"/>
  <c r="E5869" i="6" s="1"/>
  <c r="J5869" i="6"/>
  <c r="A5870" i="6"/>
  <c r="B5870" i="6"/>
  <c r="C5870" i="6"/>
  <c r="F5870" i="6"/>
  <c r="G5870" i="6"/>
  <c r="H5870" i="6"/>
  <c r="I5870" i="6"/>
  <c r="E5870" i="6" s="1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E5873" i="6" s="1"/>
  <c r="L5873" i="6" s="1"/>
  <c r="J5873" i="6"/>
  <c r="A5874" i="6"/>
  <c r="B5874" i="6"/>
  <c r="C5874" i="6"/>
  <c r="F5874" i="6"/>
  <c r="G5874" i="6"/>
  <c r="H5874" i="6"/>
  <c r="I5874" i="6"/>
  <c r="E5874" i="6" s="1"/>
  <c r="J5874" i="6"/>
  <c r="A5875" i="6"/>
  <c r="B5875" i="6"/>
  <c r="C5875" i="6"/>
  <c r="F5875" i="6"/>
  <c r="G5875" i="6"/>
  <c r="H5875" i="6"/>
  <c r="I5875" i="6"/>
  <c r="E5875" i="6" s="1"/>
  <c r="J5875" i="6"/>
  <c r="A5876" i="6"/>
  <c r="B5876" i="6"/>
  <c r="C5876" i="6"/>
  <c r="F5876" i="6"/>
  <c r="G5876" i="6"/>
  <c r="H5876" i="6"/>
  <c r="I5876" i="6"/>
  <c r="E5876" i="6" s="1"/>
  <c r="J5876" i="6"/>
  <c r="A5877" i="6"/>
  <c r="B5877" i="6"/>
  <c r="C5877" i="6"/>
  <c r="F5877" i="6"/>
  <c r="G5877" i="6"/>
  <c r="H5877" i="6"/>
  <c r="I5877" i="6"/>
  <c r="E5877" i="6" s="1"/>
  <c r="J5877" i="6"/>
  <c r="A5878" i="6"/>
  <c r="B5878" i="6"/>
  <c r="C5878" i="6"/>
  <c r="F5878" i="6"/>
  <c r="G5878" i="6"/>
  <c r="H5878" i="6"/>
  <c r="I5878" i="6"/>
  <c r="E5878" i="6" s="1"/>
  <c r="J5878" i="6"/>
  <c r="A5879" i="6"/>
  <c r="B5879" i="6"/>
  <c r="C5879" i="6"/>
  <c r="F5879" i="6"/>
  <c r="G5879" i="6"/>
  <c r="H5879" i="6"/>
  <c r="I5879" i="6"/>
  <c r="E5879" i="6" s="1"/>
  <c r="L5879" i="6" s="1"/>
  <c r="J5879" i="6"/>
  <c r="A5880" i="6"/>
  <c r="B5880" i="6"/>
  <c r="C5880" i="6"/>
  <c r="F5880" i="6"/>
  <c r="G5880" i="6"/>
  <c r="H5880" i="6"/>
  <c r="I5880" i="6"/>
  <c r="E5880" i="6" s="1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E5886" i="6" s="1"/>
  <c r="L5886" i="6" s="1"/>
  <c r="J5886" i="6"/>
  <c r="A5887" i="6"/>
  <c r="B5887" i="6"/>
  <c r="C5887" i="6"/>
  <c r="F5887" i="6"/>
  <c r="G5887" i="6"/>
  <c r="H5887" i="6"/>
  <c r="I5887" i="6"/>
  <c r="E5887" i="6" s="1"/>
  <c r="J5887" i="6"/>
  <c r="A5888" i="6"/>
  <c r="B5888" i="6"/>
  <c r="C5888" i="6"/>
  <c r="F5888" i="6"/>
  <c r="G5888" i="6"/>
  <c r="H5888" i="6"/>
  <c r="I5888" i="6"/>
  <c r="E5888" i="6" s="1"/>
  <c r="J5888" i="6"/>
  <c r="A5889" i="6"/>
  <c r="B5889" i="6"/>
  <c r="C5889" i="6"/>
  <c r="F5889" i="6"/>
  <c r="G5889" i="6"/>
  <c r="H5889" i="6"/>
  <c r="I5889" i="6"/>
  <c r="E5889" i="6" s="1"/>
  <c r="J5889" i="6"/>
  <c r="A5890" i="6"/>
  <c r="B5890" i="6"/>
  <c r="C5890" i="6"/>
  <c r="F5890" i="6"/>
  <c r="G5890" i="6"/>
  <c r="H5890" i="6"/>
  <c r="I5890" i="6"/>
  <c r="E5890" i="6" s="1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E5894" i="6" s="1"/>
  <c r="L5894" i="6" s="1"/>
  <c r="J5894" i="6"/>
  <c r="A5895" i="6"/>
  <c r="B5895" i="6"/>
  <c r="C5895" i="6"/>
  <c r="F5895" i="6"/>
  <c r="G5895" i="6"/>
  <c r="H5895" i="6"/>
  <c r="I5895" i="6"/>
  <c r="E5895" i="6" s="1"/>
  <c r="J5895" i="6"/>
  <c r="A5896" i="6"/>
  <c r="B5896" i="6"/>
  <c r="C5896" i="6"/>
  <c r="F5896" i="6"/>
  <c r="G5896" i="6"/>
  <c r="H5896" i="6"/>
  <c r="I5896" i="6"/>
  <c r="E5896" i="6" s="1"/>
  <c r="J5896" i="6"/>
  <c r="A5897" i="6"/>
  <c r="B5897" i="6"/>
  <c r="C5897" i="6"/>
  <c r="F5897" i="6"/>
  <c r="G5897" i="6"/>
  <c r="H5897" i="6"/>
  <c r="I5897" i="6"/>
  <c r="E5897" i="6" s="1"/>
  <c r="J5897" i="6"/>
  <c r="A5898" i="6"/>
  <c r="B5898" i="6"/>
  <c r="C5898" i="6"/>
  <c r="F5898" i="6"/>
  <c r="G5898" i="6"/>
  <c r="H5898" i="6"/>
  <c r="I5898" i="6"/>
  <c r="E5898" i="6" s="1"/>
  <c r="J5898" i="6"/>
  <c r="A5899" i="6"/>
  <c r="B5899" i="6"/>
  <c r="C5899" i="6"/>
  <c r="F5899" i="6"/>
  <c r="G5899" i="6"/>
  <c r="H5899" i="6"/>
  <c r="I5899" i="6"/>
  <c r="E5899" i="6" s="1"/>
  <c r="L5899" i="6" s="1"/>
  <c r="J5899" i="6"/>
  <c r="A5900" i="6"/>
  <c r="B5900" i="6"/>
  <c r="C5900" i="6"/>
  <c r="F5900" i="6"/>
  <c r="G5900" i="6"/>
  <c r="H5900" i="6"/>
  <c r="I5900" i="6"/>
  <c r="E5900" i="6" s="1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E5907" i="6" s="1"/>
  <c r="L5907" i="6" s="1"/>
  <c r="J5907" i="6"/>
  <c r="A5908" i="6"/>
  <c r="B5908" i="6"/>
  <c r="C5908" i="6"/>
  <c r="F5908" i="6"/>
  <c r="G5908" i="6"/>
  <c r="H5908" i="6"/>
  <c r="I5908" i="6"/>
  <c r="E5908" i="6" s="1"/>
  <c r="J5908" i="6"/>
  <c r="A5909" i="6"/>
  <c r="B5909" i="6"/>
  <c r="C5909" i="6"/>
  <c r="F5909" i="6"/>
  <c r="G5909" i="6"/>
  <c r="H5909" i="6"/>
  <c r="I5909" i="6"/>
  <c r="E5909" i="6" s="1"/>
  <c r="J5909" i="6"/>
  <c r="A5910" i="6"/>
  <c r="B5910" i="6"/>
  <c r="C5910" i="6"/>
  <c r="F5910" i="6"/>
  <c r="G5910" i="6"/>
  <c r="H5910" i="6"/>
  <c r="I5910" i="6"/>
  <c r="E5910" i="6" s="1"/>
  <c r="J5910" i="6"/>
  <c r="A5911" i="6"/>
  <c r="B5911" i="6"/>
  <c r="C5911" i="6"/>
  <c r="F5911" i="6"/>
  <c r="G5911" i="6"/>
  <c r="H5911" i="6"/>
  <c r="I5911" i="6"/>
  <c r="E5911" i="6" s="1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F5914" i="6"/>
  <c r="G5914" i="6"/>
  <c r="H5914" i="6"/>
  <c r="I5914" i="6"/>
  <c r="E5914" i="6" s="1"/>
  <c r="L5914" i="6" s="1"/>
  <c r="J5914" i="6"/>
  <c r="A5915" i="6"/>
  <c r="B5915" i="6"/>
  <c r="C5915" i="6"/>
  <c r="F5915" i="6"/>
  <c r="G5915" i="6"/>
  <c r="H5915" i="6"/>
  <c r="I5915" i="6"/>
  <c r="E5915" i="6" s="1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E5920" i="6" s="1"/>
  <c r="L5920" i="6" s="1"/>
  <c r="J5920" i="6"/>
  <c r="A5921" i="6"/>
  <c r="B5921" i="6"/>
  <c r="C5921" i="6"/>
  <c r="F5921" i="6"/>
  <c r="G5921" i="6"/>
  <c r="H5921" i="6"/>
  <c r="I5921" i="6"/>
  <c r="E5921" i="6" s="1"/>
  <c r="J5921" i="6"/>
  <c r="A5922" i="6"/>
  <c r="B5922" i="6"/>
  <c r="C5922" i="6"/>
  <c r="F5922" i="6"/>
  <c r="G5922" i="6"/>
  <c r="H5922" i="6"/>
  <c r="I5922" i="6"/>
  <c r="E5922" i="6" s="1"/>
  <c r="J5922" i="6"/>
  <c r="A5923" i="6"/>
  <c r="B5923" i="6"/>
  <c r="C5923" i="6"/>
  <c r="F5923" i="6"/>
  <c r="G5923" i="6"/>
  <c r="H5923" i="6"/>
  <c r="I5923" i="6"/>
  <c r="E5923" i="6" s="1"/>
  <c r="L5923" i="6" s="1"/>
  <c r="J5923" i="6"/>
  <c r="A5924" i="6"/>
  <c r="B5924" i="6"/>
  <c r="C5924" i="6"/>
  <c r="F5924" i="6"/>
  <c r="G5924" i="6"/>
  <c r="H5924" i="6"/>
  <c r="I5924" i="6"/>
  <c r="E5924" i="6" s="1"/>
  <c r="J5924" i="6"/>
  <c r="A5925" i="6"/>
  <c r="B5925" i="6"/>
  <c r="C5925" i="6"/>
  <c r="F5925" i="6"/>
  <c r="G5925" i="6"/>
  <c r="H5925" i="6"/>
  <c r="I5925" i="6"/>
  <c r="E5925" i="6" s="1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E5927" i="6" s="1"/>
  <c r="L5927" i="6" s="1"/>
  <c r="J5927" i="6"/>
  <c r="A5928" i="6"/>
  <c r="B5928" i="6"/>
  <c r="C5928" i="6"/>
  <c r="F5928" i="6"/>
  <c r="G5928" i="6"/>
  <c r="H5928" i="6"/>
  <c r="I5928" i="6"/>
  <c r="E5928" i="6" s="1"/>
  <c r="J5928" i="6"/>
  <c r="A5929" i="6"/>
  <c r="B5929" i="6"/>
  <c r="C5929" i="6"/>
  <c r="F5929" i="6"/>
  <c r="G5929" i="6"/>
  <c r="H5929" i="6"/>
  <c r="I5929" i="6"/>
  <c r="E5929" i="6" s="1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E5942" i="6" s="1"/>
  <c r="L5942" i="6" s="1"/>
  <c r="J5942" i="6"/>
  <c r="A5943" i="6"/>
  <c r="B5943" i="6"/>
  <c r="C5943" i="6"/>
  <c r="F5943" i="6"/>
  <c r="G5943" i="6"/>
  <c r="H5943" i="6"/>
  <c r="I5943" i="6"/>
  <c r="E5943" i="6" s="1"/>
  <c r="J5943" i="6"/>
  <c r="A5944" i="6"/>
  <c r="B5944" i="6"/>
  <c r="C5944" i="6"/>
  <c r="F5944" i="6"/>
  <c r="G5944" i="6"/>
  <c r="H5944" i="6"/>
  <c r="I5944" i="6"/>
  <c r="E5944" i="6" s="1"/>
  <c r="J5944" i="6"/>
  <c r="A5945" i="6"/>
  <c r="B5945" i="6"/>
  <c r="C5945" i="6"/>
  <c r="F5945" i="6"/>
  <c r="G5945" i="6"/>
  <c r="H5945" i="6"/>
  <c r="I5945" i="6"/>
  <c r="E5945" i="6" s="1"/>
  <c r="J5945" i="6"/>
  <c r="A5946" i="6"/>
  <c r="B5946" i="6"/>
  <c r="C5946" i="6"/>
  <c r="F5946" i="6"/>
  <c r="G5946" i="6"/>
  <c r="H5946" i="6"/>
  <c r="I5946" i="6"/>
  <c r="E5946" i="6" s="1"/>
  <c r="J5946" i="6"/>
  <c r="A5947" i="6"/>
  <c r="B5947" i="6"/>
  <c r="C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F5950" i="6"/>
  <c r="G5950" i="6"/>
  <c r="H5950" i="6"/>
  <c r="I5950" i="6"/>
  <c r="E5950" i="6" s="1"/>
  <c r="L5950" i="6" s="1"/>
  <c r="J5950" i="6"/>
  <c r="A5951" i="6"/>
  <c r="B5951" i="6"/>
  <c r="C5951" i="6"/>
  <c r="F5951" i="6"/>
  <c r="G5951" i="6"/>
  <c r="H5951" i="6"/>
  <c r="I5951" i="6"/>
  <c r="E5951" i="6" s="1"/>
  <c r="J5951" i="6"/>
  <c r="A5952" i="6"/>
  <c r="B5952" i="6"/>
  <c r="C5952" i="6"/>
  <c r="F5952" i="6"/>
  <c r="G5952" i="6"/>
  <c r="H5952" i="6"/>
  <c r="I5952" i="6"/>
  <c r="E5952" i="6" s="1"/>
  <c r="J5952" i="6"/>
  <c r="A5953" i="6"/>
  <c r="B5953" i="6"/>
  <c r="C5953" i="6"/>
  <c r="F5953" i="6"/>
  <c r="G5953" i="6"/>
  <c r="H5953" i="6"/>
  <c r="I5953" i="6"/>
  <c r="E5953" i="6" s="1"/>
  <c r="J5953" i="6"/>
  <c r="A5954" i="6"/>
  <c r="B5954" i="6"/>
  <c r="C5954" i="6"/>
  <c r="F5954" i="6"/>
  <c r="G5954" i="6"/>
  <c r="H5954" i="6"/>
  <c r="I5954" i="6"/>
  <c r="E5954" i="6" s="1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E5958" i="6" s="1"/>
  <c r="L5958" i="6" s="1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E5963" i="6" s="1"/>
  <c r="L5963" i="6" s="1"/>
  <c r="J5963" i="6"/>
  <c r="A5964" i="6"/>
  <c r="B5964" i="6"/>
  <c r="C5964" i="6"/>
  <c r="F5964" i="6"/>
  <c r="G5964" i="6"/>
  <c r="H5964" i="6"/>
  <c r="I5964" i="6"/>
  <c r="E5964" i="6" s="1"/>
  <c r="J5964" i="6"/>
  <c r="A5965" i="6"/>
  <c r="B5965" i="6"/>
  <c r="C5965" i="6"/>
  <c r="F5965" i="6"/>
  <c r="G5965" i="6"/>
  <c r="H5965" i="6"/>
  <c r="I5965" i="6"/>
  <c r="E5965" i="6" s="1"/>
  <c r="J5965" i="6"/>
  <c r="A5966" i="6"/>
  <c r="B5966" i="6"/>
  <c r="C5966" i="6"/>
  <c r="F5966" i="6"/>
  <c r="G5966" i="6"/>
  <c r="H5966" i="6"/>
  <c r="I5966" i="6"/>
  <c r="E5966" i="6" s="1"/>
  <c r="J5966" i="6"/>
  <c r="A5967" i="6"/>
  <c r="B5967" i="6"/>
  <c r="C5967" i="6"/>
  <c r="F5967" i="6"/>
  <c r="G5967" i="6"/>
  <c r="H5967" i="6"/>
  <c r="I5967" i="6"/>
  <c r="E5967" i="6" s="1"/>
  <c r="J5967" i="6"/>
  <c r="A5968" i="6"/>
  <c r="B5968" i="6"/>
  <c r="C5968" i="6"/>
  <c r="F5968" i="6"/>
  <c r="G5968" i="6"/>
  <c r="H5968" i="6"/>
  <c r="I5968" i="6"/>
  <c r="E5968" i="6" s="1"/>
  <c r="J5968" i="6"/>
  <c r="A5969" i="6"/>
  <c r="B5969" i="6"/>
  <c r="C5969" i="6"/>
  <c r="F5969" i="6"/>
  <c r="G5969" i="6"/>
  <c r="H5969" i="6"/>
  <c r="I5969" i="6"/>
  <c r="E5969" i="6" s="1"/>
  <c r="J5969" i="6"/>
  <c r="A5970" i="6"/>
  <c r="B5970" i="6"/>
  <c r="C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E5971" i="6" s="1"/>
  <c r="L5971" i="6" s="1"/>
  <c r="J5971" i="6"/>
  <c r="A5972" i="6"/>
  <c r="B5972" i="6"/>
  <c r="C5972" i="6"/>
  <c r="F5972" i="6"/>
  <c r="G5972" i="6"/>
  <c r="H5972" i="6"/>
  <c r="I5972" i="6"/>
  <c r="E5972" i="6" s="1"/>
  <c r="J5972" i="6"/>
  <c r="A5973" i="6"/>
  <c r="B5973" i="6"/>
  <c r="C5973" i="6"/>
  <c r="F5973" i="6"/>
  <c r="G5973" i="6"/>
  <c r="H5973" i="6"/>
  <c r="I5973" i="6"/>
  <c r="E5973" i="6" s="1"/>
  <c r="J5973" i="6"/>
  <c r="A5974" i="6"/>
  <c r="B5974" i="6"/>
  <c r="C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E5975" i="6" s="1"/>
  <c r="L5975" i="6" s="1"/>
  <c r="J5975" i="6"/>
  <c r="A5976" i="6"/>
  <c r="B5976" i="6"/>
  <c r="C5976" i="6"/>
  <c r="F5976" i="6"/>
  <c r="G5976" i="6"/>
  <c r="H5976" i="6"/>
  <c r="I5976" i="6"/>
  <c r="E5976" i="6" s="1"/>
  <c r="J5976" i="6"/>
  <c r="A5977" i="6"/>
  <c r="B5977" i="6"/>
  <c r="C5977" i="6"/>
  <c r="F5977" i="6"/>
  <c r="G5977" i="6"/>
  <c r="H5977" i="6"/>
  <c r="I5977" i="6"/>
  <c r="E5977" i="6" s="1"/>
  <c r="J5977" i="6"/>
  <c r="A5978" i="6"/>
  <c r="B5978" i="6"/>
  <c r="C5978" i="6"/>
  <c r="F5978" i="6"/>
  <c r="G5978" i="6"/>
  <c r="H5978" i="6"/>
  <c r="I5978" i="6"/>
  <c r="E5978" i="6" s="1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E5987" i="6" s="1"/>
  <c r="L5987" i="6" s="1"/>
  <c r="J5987" i="6"/>
  <c r="A5988" i="6"/>
  <c r="B5988" i="6"/>
  <c r="C5988" i="6"/>
  <c r="F5988" i="6"/>
  <c r="G5988" i="6"/>
  <c r="H5988" i="6"/>
  <c r="I5988" i="6"/>
  <c r="E5988" i="6" s="1"/>
  <c r="J5988" i="6"/>
  <c r="A5989" i="6"/>
  <c r="B5989" i="6"/>
  <c r="C5989" i="6"/>
  <c r="F5989" i="6"/>
  <c r="G5989" i="6"/>
  <c r="H5989" i="6"/>
  <c r="I5989" i="6"/>
  <c r="E5989" i="6" s="1"/>
  <c r="J5989" i="6"/>
  <c r="A5990" i="6"/>
  <c r="B5990" i="6"/>
  <c r="C5990" i="6"/>
  <c r="F5990" i="6"/>
  <c r="G5990" i="6"/>
  <c r="H5990" i="6"/>
  <c r="I5990" i="6"/>
  <c r="E5990" i="6" s="1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F5996" i="6"/>
  <c r="G5996" i="6"/>
  <c r="H5996" i="6"/>
  <c r="I5996" i="6"/>
  <c r="E5996" i="6" s="1"/>
  <c r="L5996" i="6" s="1"/>
  <c r="J5996" i="6"/>
  <c r="A5997" i="6"/>
  <c r="B5997" i="6"/>
  <c r="C5997" i="6"/>
  <c r="F5997" i="6"/>
  <c r="G5997" i="6"/>
  <c r="H5997" i="6"/>
  <c r="I5997" i="6"/>
  <c r="E5997" i="6" s="1"/>
  <c r="J5997" i="6"/>
  <c r="A5998" i="6"/>
  <c r="B5998" i="6"/>
  <c r="C5998" i="6"/>
  <c r="F5998" i="6"/>
  <c r="G5998" i="6"/>
  <c r="H5998" i="6"/>
  <c r="I5998" i="6"/>
  <c r="E5998" i="6" s="1"/>
  <c r="J5998" i="6"/>
  <c r="A5999" i="6"/>
  <c r="B5999" i="6"/>
  <c r="C5999" i="6"/>
  <c r="F5999" i="6"/>
  <c r="G5999" i="6"/>
  <c r="H5999" i="6"/>
  <c r="I5999" i="6"/>
  <c r="E5999" i="6" s="1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E6004" i="6" s="1"/>
  <c r="L6004" i="6" s="1"/>
  <c r="J6004" i="6"/>
  <c r="A6005" i="6"/>
  <c r="B6005" i="6"/>
  <c r="C6005" i="6"/>
  <c r="F6005" i="6"/>
  <c r="G6005" i="6"/>
  <c r="H6005" i="6"/>
  <c r="I6005" i="6"/>
  <c r="E6005" i="6" s="1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E6008" i="6" s="1"/>
  <c r="L6008" i="6" s="1"/>
  <c r="J6008" i="6"/>
  <c r="A6009" i="6"/>
  <c r="B6009" i="6"/>
  <c r="C6009" i="6"/>
  <c r="F6009" i="6"/>
  <c r="G6009" i="6"/>
  <c r="H6009" i="6"/>
  <c r="I6009" i="6"/>
  <c r="E6009" i="6" s="1"/>
  <c r="J6009" i="6"/>
  <c r="A6010" i="6"/>
  <c r="B6010" i="6"/>
  <c r="C6010" i="6"/>
  <c r="F6010" i="6"/>
  <c r="G6010" i="6"/>
  <c r="H6010" i="6"/>
  <c r="I6010" i="6"/>
  <c r="E6010" i="6" s="1"/>
  <c r="J6010" i="6"/>
  <c r="A6011" i="6"/>
  <c r="B6011" i="6"/>
  <c r="C6011" i="6"/>
  <c r="F6011" i="6"/>
  <c r="G6011" i="6"/>
  <c r="H6011" i="6"/>
  <c r="I6011" i="6"/>
  <c r="E6011" i="6" s="1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E6014" i="6" s="1"/>
  <c r="L6014" i="6" s="1"/>
  <c r="J6014" i="6"/>
  <c r="A6015" i="6"/>
  <c r="B6015" i="6"/>
  <c r="C6015" i="6"/>
  <c r="F6015" i="6"/>
  <c r="G6015" i="6"/>
  <c r="H6015" i="6"/>
  <c r="I6015" i="6"/>
  <c r="E6015" i="6" s="1"/>
  <c r="J6015" i="6"/>
  <c r="A6016" i="6"/>
  <c r="B6016" i="6"/>
  <c r="C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E6020" i="6" s="1"/>
  <c r="L6020" i="6" s="1"/>
  <c r="J6020" i="6"/>
  <c r="A6021" i="6"/>
  <c r="B6021" i="6"/>
  <c r="C6021" i="6"/>
  <c r="F6021" i="6"/>
  <c r="G6021" i="6"/>
  <c r="H6021" i="6"/>
  <c r="I6021" i="6"/>
  <c r="E6021" i="6" s="1"/>
  <c r="J6021" i="6"/>
  <c r="A6022" i="6"/>
  <c r="B6022" i="6"/>
  <c r="C6022" i="6"/>
  <c r="F6022" i="6"/>
  <c r="G6022" i="6"/>
  <c r="H6022" i="6"/>
  <c r="I6022" i="6"/>
  <c r="E6022" i="6" s="1"/>
  <c r="J6022" i="6"/>
  <c r="A6023" i="6"/>
  <c r="B6023" i="6"/>
  <c r="C6023" i="6"/>
  <c r="F6023" i="6"/>
  <c r="G6023" i="6"/>
  <c r="H6023" i="6"/>
  <c r="I6023" i="6"/>
  <c r="E6023" i="6" s="1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E6028" i="6" s="1"/>
  <c r="L6028" i="6" s="1"/>
  <c r="J6028" i="6"/>
  <c r="A6029" i="6"/>
  <c r="B6029" i="6"/>
  <c r="C6029" i="6"/>
  <c r="F6029" i="6"/>
  <c r="G6029" i="6"/>
  <c r="H6029" i="6"/>
  <c r="I6029" i="6"/>
  <c r="E6029" i="6" s="1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F6032" i="6"/>
  <c r="G6032" i="6"/>
  <c r="H6032" i="6"/>
  <c r="I6032" i="6"/>
  <c r="E6032" i="6" s="1"/>
  <c r="L6032" i="6" s="1"/>
  <c r="J6032" i="6"/>
  <c r="A6033" i="6"/>
  <c r="B6033" i="6"/>
  <c r="C6033" i="6"/>
  <c r="F6033" i="6"/>
  <c r="G6033" i="6"/>
  <c r="H6033" i="6"/>
  <c r="I6033" i="6"/>
  <c r="E6033" i="6" s="1"/>
  <c r="J6033" i="6"/>
  <c r="A6034" i="6"/>
  <c r="B6034" i="6"/>
  <c r="C6034" i="6"/>
  <c r="F6034" i="6"/>
  <c r="G6034" i="6"/>
  <c r="H6034" i="6"/>
  <c r="I6034" i="6"/>
  <c r="E6034" i="6" s="1"/>
  <c r="J6034" i="6"/>
  <c r="A6035" i="6"/>
  <c r="B6035" i="6"/>
  <c r="C6035" i="6"/>
  <c r="F6035" i="6"/>
  <c r="G6035" i="6"/>
  <c r="H6035" i="6"/>
  <c r="I6035" i="6"/>
  <c r="E6035" i="6" s="1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E6038" i="6" s="1"/>
  <c r="L6038" i="6" s="1"/>
  <c r="J6038" i="6"/>
  <c r="A6039" i="6"/>
  <c r="B6039" i="6"/>
  <c r="C6039" i="6"/>
  <c r="F6039" i="6"/>
  <c r="G6039" i="6"/>
  <c r="H6039" i="6"/>
  <c r="I6039" i="6"/>
  <c r="E6039" i="6" s="1"/>
  <c r="J6039" i="6"/>
  <c r="A6040" i="6"/>
  <c r="B6040" i="6"/>
  <c r="C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E6044" i="6" s="1"/>
  <c r="L6044" i="6" s="1"/>
  <c r="J6044" i="6"/>
  <c r="A6045" i="6"/>
  <c r="B6045" i="6"/>
  <c r="C6045" i="6"/>
  <c r="F6045" i="6"/>
  <c r="G6045" i="6"/>
  <c r="H6045" i="6"/>
  <c r="I6045" i="6"/>
  <c r="E6045" i="6" s="1"/>
  <c r="J6045" i="6"/>
  <c r="A6046" i="6"/>
  <c r="B6046" i="6"/>
  <c r="C6046" i="6"/>
  <c r="F6046" i="6"/>
  <c r="G6046" i="6"/>
  <c r="H6046" i="6"/>
  <c r="I6046" i="6"/>
  <c r="E6046" i="6" s="1"/>
  <c r="J6046" i="6"/>
  <c r="A6047" i="6"/>
  <c r="B6047" i="6"/>
  <c r="C6047" i="6"/>
  <c r="F6047" i="6"/>
  <c r="G6047" i="6"/>
  <c r="H6047" i="6"/>
  <c r="I6047" i="6"/>
  <c r="E6047" i="6" s="1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E6050" i="6" s="1"/>
  <c r="L6050" i="6" s="1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E6055" i="6" s="1"/>
  <c r="L6055" i="6" s="1"/>
  <c r="J6055" i="6"/>
  <c r="A6056" i="6"/>
  <c r="B6056" i="6"/>
  <c r="C6056" i="6"/>
  <c r="F6056" i="6"/>
  <c r="G6056" i="6"/>
  <c r="H6056" i="6"/>
  <c r="I6056" i="6"/>
  <c r="E6056" i="6" s="1"/>
  <c r="J6056" i="6"/>
  <c r="A6057" i="6"/>
  <c r="B6057" i="6"/>
  <c r="C6057" i="6"/>
  <c r="F6057" i="6"/>
  <c r="G6057" i="6"/>
  <c r="H6057" i="6"/>
  <c r="I6057" i="6"/>
  <c r="E6057" i="6" s="1"/>
  <c r="J6057" i="6"/>
  <c r="A6058" i="6"/>
  <c r="B6058" i="6"/>
  <c r="C6058" i="6"/>
  <c r="F6058" i="6"/>
  <c r="G6058" i="6"/>
  <c r="H6058" i="6"/>
  <c r="I6058" i="6"/>
  <c r="E6058" i="6" s="1"/>
  <c r="J6058" i="6"/>
  <c r="A6059" i="6"/>
  <c r="B6059" i="6"/>
  <c r="C6059" i="6"/>
  <c r="F6059" i="6"/>
  <c r="G6059" i="6"/>
  <c r="H6059" i="6"/>
  <c r="I6059" i="6"/>
  <c r="E6059" i="6" s="1"/>
  <c r="J6059" i="6"/>
  <c r="A6060" i="6"/>
  <c r="B6060" i="6"/>
  <c r="C6060" i="6"/>
  <c r="F6060" i="6"/>
  <c r="G6060" i="6"/>
  <c r="H6060" i="6"/>
  <c r="I6060" i="6"/>
  <c r="E6060" i="6" s="1"/>
  <c r="J6060" i="6"/>
  <c r="A6061" i="6"/>
  <c r="B6061" i="6"/>
  <c r="C6061" i="6"/>
  <c r="F6061" i="6"/>
  <c r="G6061" i="6"/>
  <c r="H6061" i="6"/>
  <c r="I6061" i="6"/>
  <c r="E6061" i="6" s="1"/>
  <c r="J6061" i="6"/>
  <c r="A6062" i="6"/>
  <c r="B6062" i="6"/>
  <c r="C6062" i="6"/>
  <c r="F6062" i="6"/>
  <c r="G6062" i="6"/>
  <c r="H6062" i="6"/>
  <c r="I6062" i="6"/>
  <c r="E6062" i="6" s="1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E6067" i="6" s="1"/>
  <c r="L6067" i="6" s="1"/>
  <c r="J6067" i="6"/>
  <c r="A6068" i="6"/>
  <c r="B6068" i="6"/>
  <c r="C6068" i="6"/>
  <c r="F6068" i="6"/>
  <c r="G6068" i="6"/>
  <c r="H6068" i="6"/>
  <c r="I6068" i="6"/>
  <c r="E6068" i="6" s="1"/>
  <c r="J6068" i="6"/>
  <c r="A6069" i="6"/>
  <c r="B6069" i="6"/>
  <c r="C6069" i="6"/>
  <c r="F6069" i="6"/>
  <c r="G6069" i="6"/>
  <c r="H6069" i="6"/>
  <c r="I6069" i="6"/>
  <c r="E6069" i="6" s="1"/>
  <c r="J6069" i="6"/>
  <c r="A6070" i="6"/>
  <c r="B6070" i="6"/>
  <c r="C6070" i="6"/>
  <c r="F6070" i="6"/>
  <c r="G6070" i="6"/>
  <c r="H6070" i="6"/>
  <c r="I6070" i="6"/>
  <c r="E6070" i="6" s="1"/>
  <c r="J6070" i="6"/>
  <c r="A6071" i="6"/>
  <c r="B6071" i="6"/>
  <c r="C6071" i="6"/>
  <c r="F6071" i="6"/>
  <c r="G6071" i="6"/>
  <c r="H6071" i="6"/>
  <c r="I6071" i="6"/>
  <c r="E6071" i="6" s="1"/>
  <c r="J6071" i="6"/>
  <c r="A6072" i="6"/>
  <c r="B6072" i="6"/>
  <c r="C6072" i="6"/>
  <c r="F6072" i="6"/>
  <c r="G6072" i="6"/>
  <c r="H6072" i="6"/>
  <c r="I6072" i="6"/>
  <c r="E6072" i="6" s="1"/>
  <c r="J6072" i="6"/>
  <c r="A6073" i="6"/>
  <c r="B6073" i="6"/>
  <c r="C6073" i="6"/>
  <c r="F6073" i="6"/>
  <c r="G6073" i="6"/>
  <c r="H6073" i="6"/>
  <c r="I6073" i="6"/>
  <c r="E6073" i="6" s="1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E6076" i="6" s="1"/>
  <c r="L6076" i="6" s="1"/>
  <c r="J6076" i="6"/>
  <c r="A6077" i="6"/>
  <c r="B6077" i="6"/>
  <c r="C6077" i="6"/>
  <c r="F6077" i="6"/>
  <c r="G6077" i="6"/>
  <c r="H6077" i="6"/>
  <c r="I6077" i="6"/>
  <c r="E6077" i="6" s="1"/>
  <c r="J6077" i="6"/>
  <c r="A6078" i="6"/>
  <c r="B6078" i="6"/>
  <c r="C6078" i="6"/>
  <c r="F6078" i="6"/>
  <c r="G6078" i="6"/>
  <c r="H6078" i="6"/>
  <c r="I6078" i="6"/>
  <c r="E6078" i="6" s="1"/>
  <c r="J6078" i="6"/>
  <c r="A6079" i="6"/>
  <c r="B6079" i="6"/>
  <c r="C6079" i="6"/>
  <c r="F6079" i="6"/>
  <c r="G6079" i="6"/>
  <c r="H6079" i="6"/>
  <c r="I6079" i="6"/>
  <c r="E6079" i="6" s="1"/>
  <c r="J6079" i="6"/>
  <c r="A6080" i="6"/>
  <c r="B6080" i="6"/>
  <c r="C6080" i="6"/>
  <c r="F6080" i="6"/>
  <c r="G6080" i="6"/>
  <c r="H6080" i="6"/>
  <c r="I6080" i="6"/>
  <c r="E6080" i="6" s="1"/>
  <c r="J6080" i="6"/>
  <c r="A6081" i="6"/>
  <c r="B6081" i="6"/>
  <c r="C6081" i="6"/>
  <c r="F6081" i="6"/>
  <c r="G6081" i="6"/>
  <c r="H6081" i="6"/>
  <c r="I6081" i="6"/>
  <c r="E6081" i="6" s="1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E6083" i="6" s="1"/>
  <c r="L6083" i="6" s="1"/>
  <c r="J6083" i="6"/>
  <c r="A6084" i="6"/>
  <c r="B6084" i="6"/>
  <c r="C6084" i="6"/>
  <c r="F6084" i="6"/>
  <c r="G6084" i="6"/>
  <c r="H6084" i="6"/>
  <c r="I6084" i="6"/>
  <c r="E6084" i="6" s="1"/>
  <c r="J6084" i="6"/>
  <c r="A6085" i="6"/>
  <c r="B6085" i="6"/>
  <c r="C6085" i="6"/>
  <c r="F6085" i="6"/>
  <c r="G6085" i="6"/>
  <c r="H6085" i="6"/>
  <c r="I6085" i="6"/>
  <c r="E6085" i="6" s="1"/>
  <c r="J6085" i="6"/>
  <c r="A6086" i="6"/>
  <c r="B6086" i="6"/>
  <c r="C6086" i="6"/>
  <c r="F6086" i="6"/>
  <c r="G6086" i="6"/>
  <c r="H6086" i="6"/>
  <c r="I6086" i="6"/>
  <c r="E6086" i="6" s="1"/>
  <c r="J6086" i="6"/>
  <c r="A6087" i="6"/>
  <c r="B6087" i="6"/>
  <c r="C6087" i="6"/>
  <c r="F6087" i="6"/>
  <c r="G6087" i="6"/>
  <c r="H6087" i="6"/>
  <c r="I6087" i="6"/>
  <c r="E6087" i="6" s="1"/>
  <c r="J6087" i="6"/>
  <c r="A6088" i="6"/>
  <c r="B6088" i="6"/>
  <c r="C6088" i="6"/>
  <c r="F6088" i="6"/>
  <c r="G6088" i="6"/>
  <c r="H6088" i="6"/>
  <c r="I6088" i="6"/>
  <c r="E6088" i="6" s="1"/>
  <c r="J6088" i="6"/>
  <c r="A6089" i="6"/>
  <c r="B6089" i="6"/>
  <c r="C6089" i="6"/>
  <c r="F6089" i="6"/>
  <c r="G6089" i="6"/>
  <c r="H6089" i="6"/>
  <c r="I6089" i="6"/>
  <c r="E6089" i="6" s="1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E6092" i="6" s="1"/>
  <c r="M6092" i="6" s="1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E6095" i="6" s="1"/>
  <c r="N6095" i="6" s="1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E6097" i="6" s="1"/>
  <c r="M6097" i="6" s="1"/>
  <c r="J6097" i="6"/>
  <c r="A6098" i="6"/>
  <c r="B6098" i="6"/>
  <c r="C6098" i="6"/>
  <c r="F6098" i="6"/>
  <c r="G6098" i="6"/>
  <c r="H6098" i="6"/>
  <c r="I6098" i="6"/>
  <c r="E6098" i="6" s="1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E6101" i="6" s="1"/>
  <c r="M6101" i="6" s="1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E6103" i="6" s="1"/>
  <c r="N6103" i="6" s="1"/>
  <c r="J6103" i="6"/>
  <c r="A6104" i="6"/>
  <c r="B6104" i="6"/>
  <c r="C6104" i="6"/>
  <c r="F6104" i="6"/>
  <c r="G6104" i="6"/>
  <c r="H6104" i="6"/>
  <c r="I6104" i="6"/>
  <c r="E6104" i="6" s="1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E6107" i="6" s="1"/>
  <c r="L6107" i="6" s="1"/>
  <c r="J6107" i="6"/>
  <c r="A6108" i="6"/>
  <c r="B6108" i="6"/>
  <c r="C6108" i="6"/>
  <c r="F6108" i="6"/>
  <c r="G6108" i="6"/>
  <c r="H6108" i="6"/>
  <c r="I6108" i="6"/>
  <c r="E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E6111" i="6" s="1"/>
  <c r="M6111" i="6" s="1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E6113" i="6" s="1"/>
  <c r="M6113" i="6" s="1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E6115" i="6" s="1"/>
  <c r="N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E6117" i="6" s="1"/>
  <c r="M6117" i="6" s="1"/>
  <c r="J6117" i="6"/>
  <c r="A6118" i="6"/>
  <c r="B6118" i="6"/>
  <c r="C6118" i="6"/>
  <c r="F6118" i="6"/>
  <c r="G6118" i="6"/>
  <c r="H6118" i="6"/>
  <c r="I6118" i="6"/>
  <c r="E6118" i="6" s="1"/>
  <c r="J6118" i="6"/>
  <c r="A6119" i="6"/>
  <c r="B6119" i="6"/>
  <c r="C6119" i="6"/>
  <c r="F6119" i="6"/>
  <c r="G6119" i="6"/>
  <c r="H6119" i="6"/>
  <c r="I6119" i="6"/>
  <c r="E6119" i="6" s="1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E6121" i="6" s="1"/>
  <c r="M6121" i="6" s="1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E6123" i="6" s="1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E6125" i="6" s="1"/>
  <c r="M6125" i="6" s="1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E6129" i="6" s="1"/>
  <c r="M6129" i="6" s="1"/>
  <c r="J6129" i="6"/>
  <c r="A6130" i="6"/>
  <c r="B6130" i="6"/>
  <c r="C6130" i="6"/>
  <c r="F6130" i="6"/>
  <c r="G6130" i="6"/>
  <c r="H6130" i="6"/>
  <c r="I6130" i="6"/>
  <c r="E6130" i="6" s="1"/>
  <c r="J6130" i="6"/>
  <c r="A6131" i="6"/>
  <c r="B6131" i="6"/>
  <c r="C6131" i="6"/>
  <c r="F6131" i="6"/>
  <c r="G6131" i="6"/>
  <c r="H6131" i="6"/>
  <c r="I6131" i="6"/>
  <c r="E6131" i="6" s="1"/>
  <c r="J6131" i="6"/>
  <c r="A6132" i="6"/>
  <c r="B6132" i="6"/>
  <c r="C6132" i="6"/>
  <c r="F6132" i="6"/>
  <c r="G6132" i="6"/>
  <c r="H6132" i="6"/>
  <c r="I6132" i="6"/>
  <c r="E6132" i="6" s="1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E6134" i="6" s="1"/>
  <c r="M6134" i="6" s="1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E6136" i="6" s="1"/>
  <c r="M6136" i="6" s="1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E6138" i="6" s="1"/>
  <c r="L6138" i="6" s="1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E6141" i="6" s="1"/>
  <c r="M6141" i="6" s="1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E6143" i="6" s="1"/>
  <c r="L6143" i="6" s="1"/>
  <c r="J6143" i="6"/>
  <c r="A6144" i="6"/>
  <c r="B6144" i="6"/>
  <c r="C6144" i="6"/>
  <c r="F6144" i="6"/>
  <c r="G6144" i="6"/>
  <c r="H6144" i="6"/>
  <c r="I6144" i="6"/>
  <c r="E6144" i="6" s="1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E6146" i="6" s="1"/>
  <c r="M6146" i="6" s="1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E6149" i="6" s="1"/>
  <c r="M6149" i="6" s="1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E6151" i="6" s="1"/>
  <c r="M6151" i="6" s="1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E6153" i="6" s="1"/>
  <c r="M6153" i="6" s="1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E6155" i="6" s="1"/>
  <c r="N6155" i="6" s="1"/>
  <c r="J6155" i="6"/>
  <c r="A6156" i="6"/>
  <c r="B6156" i="6"/>
  <c r="C6156" i="6"/>
  <c r="F6156" i="6"/>
  <c r="G6156" i="6"/>
  <c r="H6156" i="6"/>
  <c r="I6156" i="6"/>
  <c r="E6156" i="6" s="1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E6158" i="6" s="1"/>
  <c r="L6158" i="6" s="1"/>
  <c r="J6158" i="6"/>
  <c r="A6159" i="6"/>
  <c r="B6159" i="6"/>
  <c r="C6159" i="6"/>
  <c r="F6159" i="6"/>
  <c r="G6159" i="6"/>
  <c r="H6159" i="6"/>
  <c r="I6159" i="6"/>
  <c r="E6159" i="6" s="1"/>
  <c r="J6159" i="6"/>
  <c r="A6160" i="6"/>
  <c r="B6160" i="6"/>
  <c r="C6160" i="6"/>
  <c r="F6160" i="6"/>
  <c r="G6160" i="6"/>
  <c r="H6160" i="6"/>
  <c r="I6160" i="6"/>
  <c r="E6160" i="6" s="1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E6162" i="6" s="1"/>
  <c r="L6162" i="6" s="1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E6165" i="6" s="1"/>
  <c r="M6165" i="6" s="1"/>
  <c r="J6165" i="6"/>
  <c r="A6166" i="6"/>
  <c r="B6166" i="6"/>
  <c r="C6166" i="6"/>
  <c r="F6166" i="6"/>
  <c r="G6166" i="6"/>
  <c r="H6166" i="6"/>
  <c r="I6166" i="6"/>
  <c r="E6166" i="6" s="1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E6169" i="6" s="1"/>
  <c r="M6169" i="6" s="1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E6172" i="6" s="1"/>
  <c r="N6172" i="6" s="1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E6175" i="6" s="1"/>
  <c r="N6175" i="6" s="1"/>
  <c r="J6175" i="6"/>
  <c r="A6176" i="6"/>
  <c r="B6176" i="6"/>
  <c r="C6176" i="6"/>
  <c r="F6176" i="6"/>
  <c r="G6176" i="6"/>
  <c r="H6176" i="6"/>
  <c r="I6176" i="6"/>
  <c r="E6176" i="6" s="1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E6178" i="6" s="1"/>
  <c r="L6178" i="6" s="1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E6180" i="6" s="1"/>
  <c r="N6180" i="6" s="1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E6182" i="6" s="1"/>
  <c r="M6182" i="6" s="1"/>
  <c r="J6182" i="6"/>
  <c r="A6183" i="6"/>
  <c r="B6183" i="6"/>
  <c r="C6183" i="6"/>
  <c r="F6183" i="6"/>
  <c r="G6183" i="6"/>
  <c r="H6183" i="6"/>
  <c r="I6183" i="6"/>
  <c r="E6183" i="6" s="1"/>
  <c r="J6183" i="6"/>
  <c r="A6184" i="6"/>
  <c r="B6184" i="6"/>
  <c r="C6184" i="6"/>
  <c r="F6184" i="6"/>
  <c r="G6184" i="6"/>
  <c r="H6184" i="6"/>
  <c r="I6184" i="6"/>
  <c r="E6184" i="6" s="1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E6186" i="6" s="1"/>
  <c r="L6186" i="6" s="1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E6188" i="6" s="1"/>
  <c r="N6188" i="6" s="1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E6192" i="6" s="1"/>
  <c r="L6192" i="6" s="1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E6195" i="6" s="1"/>
  <c r="M6195" i="6" s="1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E6197" i="6" s="1"/>
  <c r="M6197" i="6" s="1"/>
  <c r="J6197" i="6"/>
  <c r="A6198" i="6"/>
  <c r="B6198" i="6"/>
  <c r="C6198" i="6"/>
  <c r="F6198" i="6"/>
  <c r="G6198" i="6"/>
  <c r="H6198" i="6"/>
  <c r="I6198" i="6"/>
  <c r="E6198" i="6" s="1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E6201" i="6" s="1"/>
  <c r="M6201" i="6" s="1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E6204" i="6" s="1"/>
  <c r="N6204" i="6" s="1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E6209" i="6" s="1"/>
  <c r="M6209" i="6" s="1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E6212" i="6" s="1"/>
  <c r="N6212" i="6" s="1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E6216" i="6" s="1"/>
  <c r="L6216" i="6" s="1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E6221" i="6" s="1"/>
  <c r="M6221" i="6" s="1"/>
  <c r="J6221" i="6"/>
  <c r="A6222" i="6"/>
  <c r="B6222" i="6"/>
  <c r="C6222" i="6"/>
  <c r="F6222" i="6"/>
  <c r="G6222" i="6"/>
  <c r="H6222" i="6"/>
  <c r="I6222" i="6"/>
  <c r="E6222" i="6" s="1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F6224" i="6"/>
  <c r="G6224" i="6"/>
  <c r="H6224" i="6"/>
  <c r="I6224" i="6"/>
  <c r="E6224" i="6" s="1"/>
  <c r="L6224" i="6" s="1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E6227" i="6" s="1"/>
  <c r="L6227" i="6" s="1"/>
  <c r="J6227" i="6"/>
  <c r="A6228" i="6"/>
  <c r="B6228" i="6"/>
  <c r="C6228" i="6"/>
  <c r="F6228" i="6"/>
  <c r="G6228" i="6"/>
  <c r="H6228" i="6"/>
  <c r="I6228" i="6"/>
  <c r="E6228" i="6" s="1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E6231" i="6" s="1"/>
  <c r="L6231" i="6" s="1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E6233" i="6" s="1"/>
  <c r="M6233" i="6" s="1"/>
  <c r="J6233" i="6"/>
  <c r="A6234" i="6"/>
  <c r="B6234" i="6"/>
  <c r="C6234" i="6"/>
  <c r="F6234" i="6"/>
  <c r="G6234" i="6"/>
  <c r="H6234" i="6"/>
  <c r="I6234" i="6"/>
  <c r="E6234" i="6" s="1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E6237" i="6" s="1"/>
  <c r="M6237" i="6" s="1"/>
  <c r="J6237" i="6"/>
  <c r="A6238" i="6"/>
  <c r="B6238" i="6"/>
  <c r="C6238" i="6"/>
  <c r="F6238" i="6"/>
  <c r="G6238" i="6"/>
  <c r="H6238" i="6"/>
  <c r="I6238" i="6"/>
  <c r="E6238" i="6" s="1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E6243" i="6" s="1"/>
  <c r="M6243" i="6" s="1"/>
  <c r="J6243" i="6"/>
  <c r="A6244" i="6"/>
  <c r="B6244" i="6"/>
  <c r="C6244" i="6"/>
  <c r="F6244" i="6"/>
  <c r="G6244" i="6"/>
  <c r="H6244" i="6"/>
  <c r="I6244" i="6"/>
  <c r="E6244" i="6" s="1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E6246" i="6" s="1"/>
  <c r="L6246" i="6" s="1"/>
  <c r="J6246" i="6"/>
  <c r="A6247" i="6"/>
  <c r="B6247" i="6"/>
  <c r="C6247" i="6"/>
  <c r="F6247" i="6"/>
  <c r="G6247" i="6"/>
  <c r="H6247" i="6"/>
  <c r="I6247" i="6"/>
  <c r="E6247" i="6" s="1"/>
  <c r="J6247" i="6"/>
  <c r="A6248" i="6"/>
  <c r="B6248" i="6"/>
  <c r="C6248" i="6"/>
  <c r="F6248" i="6"/>
  <c r="G6248" i="6"/>
  <c r="H6248" i="6"/>
  <c r="I6248" i="6"/>
  <c r="E6248" i="6" s="1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E6250" i="6" s="1"/>
  <c r="M6250" i="6" s="1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E6255" i="6" s="1"/>
  <c r="N6255" i="6" s="1"/>
  <c r="J6255" i="6"/>
  <c r="A6256" i="6"/>
  <c r="B6256" i="6"/>
  <c r="C6256" i="6"/>
  <c r="F6256" i="6"/>
  <c r="G6256" i="6"/>
  <c r="H6256" i="6"/>
  <c r="I6256" i="6"/>
  <c r="E6256" i="6" s="1"/>
  <c r="J6256" i="6"/>
  <c r="A6257" i="6"/>
  <c r="B6257" i="6"/>
  <c r="C6257" i="6"/>
  <c r="F6257" i="6"/>
  <c r="G6257" i="6"/>
  <c r="H6257" i="6"/>
  <c r="I6257" i="6"/>
  <c r="E6257" i="6" s="1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E6259" i="6" s="1"/>
  <c r="L6259" i="6" s="1"/>
  <c r="J6259" i="6"/>
  <c r="A6260" i="6"/>
  <c r="B6260" i="6"/>
  <c r="C6260" i="6"/>
  <c r="F6260" i="6"/>
  <c r="G6260" i="6"/>
  <c r="H6260" i="6"/>
  <c r="I6260" i="6"/>
  <c r="E6260" i="6" s="1"/>
  <c r="J6260" i="6"/>
  <c r="A6261" i="6"/>
  <c r="B6261" i="6"/>
  <c r="C6261" i="6"/>
  <c r="F6261" i="6"/>
  <c r="G6261" i="6"/>
  <c r="H6261" i="6"/>
  <c r="I6261" i="6"/>
  <c r="E6261" i="6" s="1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E6263" i="6" s="1"/>
  <c r="N6263" i="6" s="1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E6265" i="6" s="1"/>
  <c r="M6265" i="6" s="1"/>
  <c r="J6265" i="6"/>
  <c r="A6266" i="6"/>
  <c r="B6266" i="6"/>
  <c r="C6266" i="6"/>
  <c r="F6266" i="6"/>
  <c r="G6266" i="6"/>
  <c r="H6266" i="6"/>
  <c r="I6266" i="6"/>
  <c r="E6266" i="6" s="1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E6268" i="6" s="1"/>
  <c r="N6268" i="6" s="1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E6271" i="6" s="1"/>
  <c r="M6271" i="6" s="1"/>
  <c r="J6271" i="6"/>
  <c r="A6272" i="6"/>
  <c r="B6272" i="6"/>
  <c r="C6272" i="6"/>
  <c r="F6272" i="6"/>
  <c r="G6272" i="6"/>
  <c r="H6272" i="6"/>
  <c r="I6272" i="6"/>
  <c r="E6272" i="6" s="1"/>
  <c r="J6272" i="6"/>
  <c r="A6273" i="6"/>
  <c r="B6273" i="6"/>
  <c r="C6273" i="6"/>
  <c r="F6273" i="6"/>
  <c r="G6273" i="6"/>
  <c r="H6273" i="6"/>
  <c r="I6273" i="6"/>
  <c r="E6273" i="6" s="1"/>
  <c r="J6273" i="6"/>
  <c r="A6274" i="6"/>
  <c r="B6274" i="6"/>
  <c r="C6274" i="6"/>
  <c r="F6274" i="6"/>
  <c r="G6274" i="6"/>
  <c r="H6274" i="6"/>
  <c r="I6274" i="6"/>
  <c r="E6274" i="6" s="1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E6277" i="6" s="1"/>
  <c r="N6277" i="6" s="1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E6280" i="6" s="1"/>
  <c r="N6280" i="6" s="1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E6284" i="6" s="1"/>
  <c r="L6284" i="6" s="1"/>
  <c r="J6284" i="6"/>
  <c r="A6285" i="6"/>
  <c r="B6285" i="6"/>
  <c r="C6285" i="6"/>
  <c r="F6285" i="6"/>
  <c r="G6285" i="6"/>
  <c r="H6285" i="6"/>
  <c r="I6285" i="6"/>
  <c r="E6285" i="6" s="1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E6289" i="6" s="1"/>
  <c r="N6289" i="6" s="1"/>
  <c r="J6289" i="6"/>
  <c r="A6290" i="6"/>
  <c r="B6290" i="6"/>
  <c r="C6290" i="6"/>
  <c r="F6290" i="6"/>
  <c r="G6290" i="6"/>
  <c r="H6290" i="6"/>
  <c r="I6290" i="6"/>
  <c r="E6290" i="6" s="1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E6292" i="6" s="1"/>
  <c r="L6292" i="6" s="1"/>
  <c r="J6292" i="6"/>
  <c r="A6293" i="6"/>
  <c r="B6293" i="6"/>
  <c r="C6293" i="6"/>
  <c r="F6293" i="6"/>
  <c r="G6293" i="6"/>
  <c r="H6293" i="6"/>
  <c r="I6293" i="6"/>
  <c r="E6293" i="6" s="1"/>
  <c r="J6293" i="6"/>
  <c r="A6294" i="6"/>
  <c r="B6294" i="6"/>
  <c r="C6294" i="6"/>
  <c r="F6294" i="6"/>
  <c r="G6294" i="6"/>
  <c r="H6294" i="6"/>
  <c r="I6294" i="6"/>
  <c r="E6294" i="6" s="1"/>
  <c r="J6294" i="6"/>
  <c r="A6295" i="6"/>
  <c r="B6295" i="6"/>
  <c r="C6295" i="6"/>
  <c r="F6295" i="6"/>
  <c r="G6295" i="6"/>
  <c r="H6295" i="6"/>
  <c r="I6295" i="6"/>
  <c r="E6295" i="6" s="1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E6300" i="6" s="1"/>
  <c r="L6300" i="6" s="1"/>
  <c r="J6300" i="6"/>
  <c r="A6301" i="6"/>
  <c r="B6301" i="6"/>
  <c r="C6301" i="6"/>
  <c r="F6301" i="6"/>
  <c r="G6301" i="6"/>
  <c r="H6301" i="6"/>
  <c r="I6301" i="6"/>
  <c r="E6301" i="6" s="1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E6303" i="6" s="1"/>
  <c r="M6303" i="6" s="1"/>
  <c r="J6303" i="6"/>
  <c r="A6304" i="6"/>
  <c r="B6304" i="6"/>
  <c r="C6304" i="6"/>
  <c r="F6304" i="6"/>
  <c r="G6304" i="6"/>
  <c r="H6304" i="6"/>
  <c r="I6304" i="6"/>
  <c r="E6304" i="6" s="1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E6306" i="6" s="1"/>
  <c r="M6306" i="6" s="1"/>
  <c r="J6306" i="6"/>
  <c r="A6307" i="6"/>
  <c r="B6307" i="6"/>
  <c r="C6307" i="6"/>
  <c r="F6307" i="6"/>
  <c r="G6307" i="6"/>
  <c r="H6307" i="6"/>
  <c r="I6307" i="6"/>
  <c r="E6307" i="6" s="1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E6313" i="6" s="1"/>
  <c r="M6313" i="6" s="1"/>
  <c r="J6313" i="6"/>
  <c r="A6314" i="6"/>
  <c r="B6314" i="6"/>
  <c r="C6314" i="6"/>
  <c r="F6314" i="6"/>
  <c r="G6314" i="6"/>
  <c r="H6314" i="6"/>
  <c r="I6314" i="6"/>
  <c r="E6314" i="6" s="1"/>
  <c r="J6314" i="6"/>
  <c r="A6315" i="6"/>
  <c r="B6315" i="6"/>
  <c r="C6315" i="6"/>
  <c r="F6315" i="6"/>
  <c r="G6315" i="6"/>
  <c r="H6315" i="6"/>
  <c r="I6315" i="6"/>
  <c r="E6315" i="6" s="1"/>
  <c r="J6315" i="6"/>
  <c r="A6316" i="6"/>
  <c r="B6316" i="6"/>
  <c r="C6316" i="6"/>
  <c r="F6316" i="6"/>
  <c r="G6316" i="6"/>
  <c r="H6316" i="6"/>
  <c r="I6316" i="6"/>
  <c r="E6316" i="6" s="1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E6320" i="6" s="1"/>
  <c r="N6320" i="6" s="1"/>
  <c r="J6320" i="6"/>
  <c r="A6321" i="6"/>
  <c r="B6321" i="6"/>
  <c r="C6321" i="6"/>
  <c r="F6321" i="6"/>
  <c r="G6321" i="6"/>
  <c r="H6321" i="6"/>
  <c r="I6321" i="6"/>
  <c r="E6321" i="6" s="1"/>
  <c r="J6321" i="6"/>
  <c r="A6322" i="6"/>
  <c r="B6322" i="6"/>
  <c r="C6322" i="6"/>
  <c r="F6322" i="6"/>
  <c r="G6322" i="6"/>
  <c r="H6322" i="6"/>
  <c r="I6322" i="6"/>
  <c r="E6322" i="6" s="1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E6324" i="6" s="1"/>
  <c r="L6324" i="6" s="1"/>
  <c r="J6324" i="6"/>
  <c r="A6325" i="6"/>
  <c r="B6325" i="6"/>
  <c r="C6325" i="6"/>
  <c r="F6325" i="6"/>
  <c r="G6325" i="6"/>
  <c r="H6325" i="6"/>
  <c r="I6325" i="6"/>
  <c r="E6325" i="6" s="1"/>
  <c r="J6325" i="6"/>
  <c r="A6326" i="6"/>
  <c r="B6326" i="6"/>
  <c r="C6326" i="6"/>
  <c r="F6326" i="6"/>
  <c r="G6326" i="6"/>
  <c r="H6326" i="6"/>
  <c r="I6326" i="6"/>
  <c r="E6326" i="6" s="1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E6329" i="6" s="1"/>
  <c r="M6329" i="6" s="1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E6331" i="6" s="1"/>
  <c r="N6331" i="6" s="1"/>
  <c r="J6331" i="6"/>
  <c r="A6332" i="6"/>
  <c r="B6332" i="6"/>
  <c r="C6332" i="6"/>
  <c r="F6332" i="6"/>
  <c r="G6332" i="6"/>
  <c r="H6332" i="6"/>
  <c r="I6332" i="6"/>
  <c r="E6332" i="6" s="1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E6334" i="6" s="1"/>
  <c r="N6334" i="6" s="1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E6337" i="6" s="1"/>
  <c r="L6337" i="6" s="1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E6339" i="6" s="1"/>
  <c r="N6339" i="6" s="1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E6344" i="6" s="1"/>
  <c r="M6344" i="6" s="1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E6347" i="6" s="1"/>
  <c r="N6347" i="6" s="1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E6351" i="6" s="1"/>
  <c r="M6351" i="6" s="1"/>
  <c r="J6351" i="6"/>
  <c r="A6352" i="6"/>
  <c r="B6352" i="6"/>
  <c r="C6352" i="6"/>
  <c r="F6352" i="6"/>
  <c r="G6352" i="6"/>
  <c r="H6352" i="6"/>
  <c r="I6352" i="6"/>
  <c r="E6352" i="6" s="1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E6357" i="6" s="1"/>
  <c r="N6357" i="6" s="1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E6360" i="6" s="1"/>
  <c r="L6360" i="6" s="1"/>
  <c r="J6360" i="6"/>
  <c r="A6361" i="6"/>
  <c r="B6361" i="6"/>
  <c r="C6361" i="6"/>
  <c r="F6361" i="6"/>
  <c r="G6361" i="6"/>
  <c r="H6361" i="6"/>
  <c r="I6361" i="6"/>
  <c r="E6361" i="6" s="1"/>
  <c r="J6361" i="6"/>
  <c r="A6362" i="6"/>
  <c r="B6362" i="6"/>
  <c r="C6362" i="6"/>
  <c r="F6362" i="6"/>
  <c r="G6362" i="6"/>
  <c r="H6362" i="6"/>
  <c r="I6362" i="6"/>
  <c r="E6362" i="6" s="1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E6364" i="6" s="1"/>
  <c r="N6364" i="6" s="1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E6368" i="6" s="1"/>
  <c r="N6368" i="6" s="1"/>
  <c r="J6368" i="6"/>
  <c r="A6369" i="6"/>
  <c r="B6369" i="6"/>
  <c r="C6369" i="6"/>
  <c r="F6369" i="6"/>
  <c r="G6369" i="6"/>
  <c r="H6369" i="6"/>
  <c r="I6369" i="6"/>
  <c r="E6369" i="6" s="1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E6372" i="6" s="1"/>
  <c r="M6372" i="6" s="1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E6374" i="6" s="1"/>
  <c r="N6374" i="6" s="1"/>
  <c r="J6374" i="6"/>
  <c r="A6375" i="6"/>
  <c r="B6375" i="6"/>
  <c r="C6375" i="6"/>
  <c r="F6375" i="6"/>
  <c r="G6375" i="6"/>
  <c r="H6375" i="6"/>
  <c r="I6375" i="6"/>
  <c r="E6375" i="6" s="1"/>
  <c r="J6375" i="6"/>
  <c r="A6376" i="6"/>
  <c r="B6376" i="6"/>
  <c r="C6376" i="6"/>
  <c r="F6376" i="6"/>
  <c r="G6376" i="6"/>
  <c r="H6376" i="6"/>
  <c r="I6376" i="6"/>
  <c r="E6376" i="6" s="1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E6378" i="6" s="1"/>
  <c r="N6378" i="6" s="1"/>
  <c r="J6378" i="6"/>
  <c r="A6379" i="6"/>
  <c r="B6379" i="6"/>
  <c r="C6379" i="6"/>
  <c r="F6379" i="6"/>
  <c r="G6379" i="6"/>
  <c r="H6379" i="6"/>
  <c r="I6379" i="6"/>
  <c r="E6379" i="6" s="1"/>
  <c r="J6379" i="6"/>
  <c r="A6380" i="6"/>
  <c r="B6380" i="6"/>
  <c r="C6380" i="6"/>
  <c r="F6380" i="6"/>
  <c r="G6380" i="6"/>
  <c r="H6380" i="6"/>
  <c r="I6380" i="6"/>
  <c r="E6380" i="6" s="1"/>
  <c r="J6380" i="6"/>
  <c r="A6381" i="6"/>
  <c r="B6381" i="6"/>
  <c r="C6381" i="6"/>
  <c r="F6381" i="6"/>
  <c r="G6381" i="6"/>
  <c r="H6381" i="6"/>
  <c r="I6381" i="6"/>
  <c r="E6381" i="6" s="1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E6385" i="6" s="1"/>
  <c r="N6385" i="6" s="1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E6387" i="6" s="1"/>
  <c r="L6387" i="6" s="1"/>
  <c r="J6387" i="6"/>
  <c r="A6388" i="6"/>
  <c r="B6388" i="6"/>
  <c r="C6388" i="6"/>
  <c r="F6388" i="6"/>
  <c r="G6388" i="6"/>
  <c r="H6388" i="6"/>
  <c r="I6388" i="6"/>
  <c r="E6388" i="6" s="1"/>
  <c r="J6388" i="6"/>
  <c r="A6389" i="6"/>
  <c r="B6389" i="6"/>
  <c r="C6389" i="6"/>
  <c r="F6389" i="6"/>
  <c r="G6389" i="6"/>
  <c r="H6389" i="6"/>
  <c r="I6389" i="6"/>
  <c r="E6389" i="6" s="1"/>
  <c r="J6389" i="6"/>
  <c r="A6390" i="6"/>
  <c r="B6390" i="6"/>
  <c r="C6390" i="6"/>
  <c r="F6390" i="6"/>
  <c r="G6390" i="6"/>
  <c r="H6390" i="6"/>
  <c r="I6390" i="6"/>
  <c r="E6390" i="6" s="1"/>
  <c r="J6390" i="6"/>
  <c r="A6391" i="6"/>
  <c r="B6391" i="6"/>
  <c r="C6391" i="6"/>
  <c r="F6391" i="6"/>
  <c r="G6391" i="6"/>
  <c r="H6391" i="6"/>
  <c r="I6391" i="6"/>
  <c r="E6391" i="6" s="1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E6393" i="6" s="1"/>
  <c r="L6393" i="6" s="1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E6396" i="6" s="1"/>
  <c r="N6396" i="6" s="1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E6398" i="6" s="1"/>
  <c r="N6398" i="6" s="1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E6400" i="6" s="1"/>
  <c r="N6400" i="6" s="1"/>
  <c r="J6400" i="6"/>
  <c r="A6401" i="6"/>
  <c r="B6401" i="6"/>
  <c r="C6401" i="6"/>
  <c r="F6401" i="6"/>
  <c r="G6401" i="6"/>
  <c r="H6401" i="6"/>
  <c r="I6401" i="6"/>
  <c r="E6401" i="6" s="1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E6403" i="6" s="1"/>
  <c r="M6403" i="6" s="1"/>
  <c r="J6403" i="6"/>
  <c r="A6404" i="6"/>
  <c r="B6404" i="6"/>
  <c r="C6404" i="6"/>
  <c r="F6404" i="6"/>
  <c r="G6404" i="6"/>
  <c r="H6404" i="6"/>
  <c r="I6404" i="6"/>
  <c r="E6404" i="6" s="1"/>
  <c r="J6404" i="6"/>
  <c r="A6405" i="6"/>
  <c r="B6405" i="6"/>
  <c r="C6405" i="6"/>
  <c r="F6405" i="6"/>
  <c r="G6405" i="6"/>
  <c r="H6405" i="6"/>
  <c r="I6405" i="6"/>
  <c r="E6405" i="6" s="1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E6407" i="6" s="1"/>
  <c r="L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E6409" i="6" s="1"/>
  <c r="L6409" i="6" s="1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E6411" i="6" s="1"/>
  <c r="N6411" i="6" s="1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E6414" i="6" s="1"/>
  <c r="N6414" i="6" s="1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E6416" i="6" s="1"/>
  <c r="N6416" i="6" s="1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E6418" i="6" s="1"/>
  <c r="N6418" i="6" s="1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E6420" i="6" s="1"/>
  <c r="N6420" i="6" s="1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E6422" i="6" s="1"/>
  <c r="N6422" i="6" s="1"/>
  <c r="J6422" i="6"/>
  <c r="A6423" i="6"/>
  <c r="B6423" i="6"/>
  <c r="C6423" i="6"/>
  <c r="F6423" i="6"/>
  <c r="G6423" i="6"/>
  <c r="H6423" i="6"/>
  <c r="I6423" i="6"/>
  <c r="E6423" i="6" s="1"/>
  <c r="J6423" i="6"/>
  <c r="A6424" i="6"/>
  <c r="B6424" i="6"/>
  <c r="C6424" i="6"/>
  <c r="F6424" i="6"/>
  <c r="G6424" i="6"/>
  <c r="H6424" i="6"/>
  <c r="I6424" i="6"/>
  <c r="E6424" i="6" s="1"/>
  <c r="J6424" i="6"/>
  <c r="A6425" i="6"/>
  <c r="B6425" i="6"/>
  <c r="C6425" i="6"/>
  <c r="F6425" i="6"/>
  <c r="G6425" i="6"/>
  <c r="H6425" i="6"/>
  <c r="I6425" i="6"/>
  <c r="E6425" i="6" s="1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E6427" i="6" s="1"/>
  <c r="N6427" i="6" s="1"/>
  <c r="J6427" i="6"/>
  <c r="A6428" i="6"/>
  <c r="B6428" i="6"/>
  <c r="C6428" i="6"/>
  <c r="F6428" i="6"/>
  <c r="G6428" i="6"/>
  <c r="H6428" i="6"/>
  <c r="I6428" i="6"/>
  <c r="E6428" i="6" s="1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E6430" i="6" s="1"/>
  <c r="N6430" i="6" s="1"/>
  <c r="J6430" i="6"/>
  <c r="A6431" i="6"/>
  <c r="B6431" i="6"/>
  <c r="C6431" i="6"/>
  <c r="F6431" i="6"/>
  <c r="G6431" i="6"/>
  <c r="H6431" i="6"/>
  <c r="I6431" i="6"/>
  <c r="E6431" i="6" s="1"/>
  <c r="J6431" i="6"/>
  <c r="A6432" i="6"/>
  <c r="B6432" i="6"/>
  <c r="C6432" i="6"/>
  <c r="F6432" i="6"/>
  <c r="G6432" i="6"/>
  <c r="H6432" i="6"/>
  <c r="I6432" i="6"/>
  <c r="E6432" i="6" s="1"/>
  <c r="J6432" i="6"/>
  <c r="A6433" i="6"/>
  <c r="B6433" i="6"/>
  <c r="C6433" i="6"/>
  <c r="F6433" i="6"/>
  <c r="G6433" i="6"/>
  <c r="H6433" i="6"/>
  <c r="I6433" i="6"/>
  <c r="E6433" i="6" s="1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E6435" i="6" s="1"/>
  <c r="M6435" i="6" s="1"/>
  <c r="J6435" i="6"/>
  <c r="A6436" i="6"/>
  <c r="B6436" i="6"/>
  <c r="C6436" i="6"/>
  <c r="F6436" i="6"/>
  <c r="G6436" i="6"/>
  <c r="H6436" i="6"/>
  <c r="I6436" i="6"/>
  <c r="E6436" i="6" s="1"/>
  <c r="J6436" i="6"/>
  <c r="A6437" i="6"/>
  <c r="B6437" i="6"/>
  <c r="C6437" i="6"/>
  <c r="F6437" i="6"/>
  <c r="G6437" i="6"/>
  <c r="H6437" i="6"/>
  <c r="I6437" i="6"/>
  <c r="E6437" i="6" s="1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E6442" i="6" s="1"/>
  <c r="N6442" i="6" s="1"/>
  <c r="J6442" i="6"/>
  <c r="A6443" i="6"/>
  <c r="B6443" i="6"/>
  <c r="C6443" i="6"/>
  <c r="F6443" i="6"/>
  <c r="G6443" i="6"/>
  <c r="H6443" i="6"/>
  <c r="I6443" i="6"/>
  <c r="E6443" i="6" s="1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E6446" i="6" s="1"/>
  <c r="N6446" i="6" s="1"/>
  <c r="J6446" i="6"/>
  <c r="A6447" i="6"/>
  <c r="B6447" i="6"/>
  <c r="C6447" i="6"/>
  <c r="F6447" i="6"/>
  <c r="G6447" i="6"/>
  <c r="H6447" i="6"/>
  <c r="I6447" i="6"/>
  <c r="E6447" i="6" s="1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E6450" i="6" s="1"/>
  <c r="N6450" i="6" s="1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E6454" i="6" s="1"/>
  <c r="N6454" i="6" s="1"/>
  <c r="J6454" i="6"/>
  <c r="A6455" i="6"/>
  <c r="B6455" i="6"/>
  <c r="C6455" i="6"/>
  <c r="F6455" i="6"/>
  <c r="G6455" i="6"/>
  <c r="H6455" i="6"/>
  <c r="I6455" i="6"/>
  <c r="E6455" i="6" s="1"/>
  <c r="J6455" i="6"/>
  <c r="A6456" i="6"/>
  <c r="B6456" i="6"/>
  <c r="C6456" i="6"/>
  <c r="F6456" i="6"/>
  <c r="G6456" i="6"/>
  <c r="H6456" i="6"/>
  <c r="I6456" i="6"/>
  <c r="E6456" i="6" s="1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E6458" i="6" s="1"/>
  <c r="N6458" i="6" s="1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E6460" i="6" s="1"/>
  <c r="N6460" i="6" s="1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E6462" i="6" s="1"/>
  <c r="N6462" i="6" s="1"/>
  <c r="J6462" i="6"/>
  <c r="A6463" i="6"/>
  <c r="B6463" i="6"/>
  <c r="C6463" i="6"/>
  <c r="F6463" i="6"/>
  <c r="G6463" i="6"/>
  <c r="H6463" i="6"/>
  <c r="I6463" i="6"/>
  <c r="E6463" i="6" s="1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E6465" i="6" s="1"/>
  <c r="N6465" i="6" s="1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E6467" i="6" s="1"/>
  <c r="N6467" i="6" s="1"/>
  <c r="J6467" i="6"/>
  <c r="A6468" i="6"/>
  <c r="B6468" i="6"/>
  <c r="C6468" i="6"/>
  <c r="F6468" i="6"/>
  <c r="G6468" i="6"/>
  <c r="H6468" i="6"/>
  <c r="I6468" i="6"/>
  <c r="E6468" i="6" s="1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E6470" i="6" s="1"/>
  <c r="N6470" i="6" s="1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E6474" i="6" s="1"/>
  <c r="N6474" i="6" s="1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E6476" i="6" s="1"/>
  <c r="L6476" i="6" s="1"/>
  <c r="J6476" i="6"/>
  <c r="A6477" i="6"/>
  <c r="B6477" i="6"/>
  <c r="C6477" i="6"/>
  <c r="F6477" i="6"/>
  <c r="G6477" i="6"/>
  <c r="H6477" i="6"/>
  <c r="I6477" i="6"/>
  <c r="E6477" i="6" s="1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E6480" i="6" s="1"/>
  <c r="N6480" i="6" s="1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E6482" i="6" s="1"/>
  <c r="N6482" i="6" s="1"/>
  <c r="J6482" i="6"/>
  <c r="A6483" i="6"/>
  <c r="B6483" i="6"/>
  <c r="C6483" i="6"/>
  <c r="F6483" i="6"/>
  <c r="G6483" i="6"/>
  <c r="H6483" i="6"/>
  <c r="I6483" i="6"/>
  <c r="E6483" i="6" s="1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E6485" i="6" s="1"/>
  <c r="N6485" i="6" s="1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E6487" i="6" s="1"/>
  <c r="L6487" i="6" s="1"/>
  <c r="J6487" i="6"/>
  <c r="A6488" i="6"/>
  <c r="B6488" i="6"/>
  <c r="C6488" i="6"/>
  <c r="F6488" i="6"/>
  <c r="G6488" i="6"/>
  <c r="H6488" i="6"/>
  <c r="I6488" i="6"/>
  <c r="E6488" i="6" s="1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E6490" i="6" s="1"/>
  <c r="N6490" i="6" s="1"/>
  <c r="J6490" i="6"/>
  <c r="A6491" i="6"/>
  <c r="B6491" i="6"/>
  <c r="C6491" i="6"/>
  <c r="F6491" i="6"/>
  <c r="G6491" i="6"/>
  <c r="H6491" i="6"/>
  <c r="I6491" i="6"/>
  <c r="E6491" i="6" s="1"/>
  <c r="J6491" i="6"/>
  <c r="A6492" i="6"/>
  <c r="B6492" i="6"/>
  <c r="C6492" i="6"/>
  <c r="F6492" i="6"/>
  <c r="G6492" i="6"/>
  <c r="H6492" i="6"/>
  <c r="I6492" i="6"/>
  <c r="E6492" i="6" s="1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E6494" i="6" s="1"/>
  <c r="N6494" i="6" s="1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E6496" i="6" s="1"/>
  <c r="N6496" i="6" s="1"/>
  <c r="J6496" i="6"/>
  <c r="A6497" i="6"/>
  <c r="B6497" i="6"/>
  <c r="C6497" i="6"/>
  <c r="F6497" i="6"/>
  <c r="G6497" i="6"/>
  <c r="H6497" i="6"/>
  <c r="I6497" i="6"/>
  <c r="E6497" i="6" s="1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E6501" i="6" s="1"/>
  <c r="L6501" i="6" s="1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E6503" i="6" s="1"/>
  <c r="M6503" i="6" s="1"/>
  <c r="J6503" i="6"/>
  <c r="A6504" i="6"/>
  <c r="B6504" i="6"/>
  <c r="C6504" i="6"/>
  <c r="F6504" i="6"/>
  <c r="G6504" i="6"/>
  <c r="H6504" i="6"/>
  <c r="I6504" i="6"/>
  <c r="E6504" i="6" s="1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F6506" i="6"/>
  <c r="G6506" i="6"/>
  <c r="H6506" i="6"/>
  <c r="I6506" i="6"/>
  <c r="E6506" i="6" s="1"/>
  <c r="N6506" i="6" s="1"/>
  <c r="J6506" i="6"/>
  <c r="A6507" i="6"/>
  <c r="B6507" i="6"/>
  <c r="C6507" i="6"/>
  <c r="F6507" i="6"/>
  <c r="G6507" i="6"/>
  <c r="H6507" i="6"/>
  <c r="I6507" i="6"/>
  <c r="E6507" i="6" s="1"/>
  <c r="J6507" i="6"/>
  <c r="A6508" i="6"/>
  <c r="B6508" i="6"/>
  <c r="C6508" i="6"/>
  <c r="F6508" i="6"/>
  <c r="G6508" i="6"/>
  <c r="H6508" i="6"/>
  <c r="I6508" i="6"/>
  <c r="E6508" i="6" s="1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E6510" i="6" s="1"/>
  <c r="N6510" i="6" s="1"/>
  <c r="J6510" i="6"/>
  <c r="A6511" i="6"/>
  <c r="B6511" i="6"/>
  <c r="C6511" i="6"/>
  <c r="F6511" i="6"/>
  <c r="G6511" i="6"/>
  <c r="H6511" i="6"/>
  <c r="I6511" i="6"/>
  <c r="E6511" i="6" s="1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E6514" i="6" s="1"/>
  <c r="N6514" i="6" s="1"/>
  <c r="J6514" i="6"/>
  <c r="A6515" i="6"/>
  <c r="B6515" i="6"/>
  <c r="C6515" i="6"/>
  <c r="F6515" i="6"/>
  <c r="G6515" i="6"/>
  <c r="H6515" i="6"/>
  <c r="I6515" i="6"/>
  <c r="E6515" i="6" s="1"/>
  <c r="J6515" i="6"/>
  <c r="A6516" i="6"/>
  <c r="B6516" i="6"/>
  <c r="C6516" i="6"/>
  <c r="F6516" i="6"/>
  <c r="G6516" i="6"/>
  <c r="H6516" i="6"/>
  <c r="I6516" i="6"/>
  <c r="E6516" i="6" s="1"/>
  <c r="J6516" i="6"/>
  <c r="A6517" i="6"/>
  <c r="B6517" i="6"/>
  <c r="C6517" i="6"/>
  <c r="F6517" i="6"/>
  <c r="G6517" i="6"/>
  <c r="H6517" i="6"/>
  <c r="I6517" i="6"/>
  <c r="E6517" i="6" s="1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E6520" i="6" s="1"/>
  <c r="N6520" i="6" s="1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E6522" i="6" s="1"/>
  <c r="N6522" i="6" s="1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E6524" i="6" s="1"/>
  <c r="N6524" i="6" s="1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E6526" i="6" s="1"/>
  <c r="N6526" i="6" s="1"/>
  <c r="J6526" i="6"/>
  <c r="A6527" i="6"/>
  <c r="B6527" i="6"/>
  <c r="C6527" i="6"/>
  <c r="F6527" i="6"/>
  <c r="G6527" i="6"/>
  <c r="H6527" i="6"/>
  <c r="I6527" i="6"/>
  <c r="E6527" i="6" s="1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E6529" i="6" s="1"/>
  <c r="L6529" i="6" s="1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E6531" i="6" s="1"/>
  <c r="L6531" i="6" s="1"/>
  <c r="J6531" i="6"/>
  <c r="A6532" i="6"/>
  <c r="B6532" i="6"/>
  <c r="C6532" i="6"/>
  <c r="F6532" i="6"/>
  <c r="G6532" i="6"/>
  <c r="H6532" i="6"/>
  <c r="I6532" i="6"/>
  <c r="E6532" i="6" s="1"/>
  <c r="J6532" i="6"/>
  <c r="A6533" i="6"/>
  <c r="B6533" i="6"/>
  <c r="C6533" i="6"/>
  <c r="F6533" i="6"/>
  <c r="G6533" i="6"/>
  <c r="H6533" i="6"/>
  <c r="I6533" i="6"/>
  <c r="E6533" i="6" s="1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E6537" i="6" s="1"/>
  <c r="M6537" i="6" s="1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E6541" i="6" s="1"/>
  <c r="N6541" i="6" s="1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E6544" i="6" s="1"/>
  <c r="M6544" i="6" s="1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E6546" i="6" s="1"/>
  <c r="N6546" i="6" s="1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E6548" i="6" s="1"/>
  <c r="L6548" i="6" s="1"/>
  <c r="J6548" i="6"/>
  <c r="A6549" i="6"/>
  <c r="B6549" i="6"/>
  <c r="C6549" i="6"/>
  <c r="F6549" i="6"/>
  <c r="G6549" i="6"/>
  <c r="H6549" i="6"/>
  <c r="I6549" i="6"/>
  <c r="E6549" i="6" s="1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E6551" i="6" s="1"/>
  <c r="M6551" i="6" s="1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E6554" i="6" s="1"/>
  <c r="N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E6556" i="6" s="1"/>
  <c r="N6556" i="6" s="1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E6558" i="6" s="1"/>
  <c r="N6558" i="6" s="1"/>
  <c r="J6558" i="6"/>
  <c r="A6559" i="6"/>
  <c r="B6559" i="6"/>
  <c r="C6559" i="6"/>
  <c r="F6559" i="6"/>
  <c r="G6559" i="6"/>
  <c r="H6559" i="6"/>
  <c r="I6559" i="6"/>
  <c r="E6559" i="6" s="1"/>
  <c r="J6559" i="6"/>
  <c r="A6560" i="6"/>
  <c r="B6560" i="6"/>
  <c r="C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E6561" i="6" s="1"/>
  <c r="L6561" i="6" s="1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E6564" i="6" s="1"/>
  <c r="L6564" i="6" s="1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E6566" i="6" s="1"/>
  <c r="N6566" i="6" s="1"/>
  <c r="J6566" i="6"/>
  <c r="A6567" i="6"/>
  <c r="B6567" i="6"/>
  <c r="C6567" i="6"/>
  <c r="F6567" i="6"/>
  <c r="G6567" i="6"/>
  <c r="H6567" i="6"/>
  <c r="I6567" i="6"/>
  <c r="E6567" i="6" s="1"/>
  <c r="J6567" i="6"/>
  <c r="A6568" i="6"/>
  <c r="B6568" i="6"/>
  <c r="C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E6570" i="6" s="1"/>
  <c r="N6570" i="6" s="1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E6572" i="6" s="1"/>
  <c r="M6572" i="6" s="1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E6574" i="6" s="1"/>
  <c r="N6574" i="6" s="1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E6577" i="6" s="1"/>
  <c r="N6577" i="6" s="1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E6579" i="6" s="1"/>
  <c r="N6579" i="6" s="1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E6582" i="6" s="1"/>
  <c r="N6582" i="6" s="1"/>
  <c r="J6582" i="6"/>
  <c r="A6583" i="6"/>
  <c r="B6583" i="6"/>
  <c r="C6583" i="6"/>
  <c r="F6583" i="6"/>
  <c r="G6583" i="6"/>
  <c r="H6583" i="6"/>
  <c r="I6583" i="6"/>
  <c r="E6583" i="6" s="1"/>
  <c r="J6583" i="6"/>
  <c r="A6584" i="6"/>
  <c r="B6584" i="6"/>
  <c r="C6584" i="6"/>
  <c r="F6584" i="6"/>
  <c r="G6584" i="6"/>
  <c r="H6584" i="6"/>
  <c r="I6584" i="6"/>
  <c r="E6584" i="6" s="1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E6586" i="6" s="1"/>
  <c r="N6586" i="6" s="1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E6588" i="6" s="1"/>
  <c r="M6588" i="6" s="1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E6590" i="6" s="1"/>
  <c r="N6590" i="6" s="1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E6592" i="6" s="1"/>
  <c r="N6592" i="6" s="1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E6594" i="6" s="1"/>
  <c r="N6594" i="6" s="1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E6598" i="6" s="1"/>
  <c r="N6598" i="6" s="1"/>
  <c r="J6598" i="6"/>
  <c r="A6599" i="6"/>
  <c r="B6599" i="6"/>
  <c r="C6599" i="6"/>
  <c r="F6599" i="6"/>
  <c r="G6599" i="6"/>
  <c r="H6599" i="6"/>
  <c r="I6599" i="6"/>
  <c r="E6599" i="6" s="1"/>
  <c r="J6599" i="6"/>
  <c r="A6600" i="6"/>
  <c r="B6600" i="6"/>
  <c r="C6600" i="6"/>
  <c r="F6600" i="6"/>
  <c r="G6600" i="6"/>
  <c r="H6600" i="6"/>
  <c r="I6600" i="6"/>
  <c r="E6600" i="6" s="1"/>
  <c r="J6600" i="6"/>
  <c r="A6601" i="6"/>
  <c r="B6601" i="6"/>
  <c r="C6601" i="6"/>
  <c r="F6601" i="6"/>
  <c r="G6601" i="6"/>
  <c r="H6601" i="6"/>
  <c r="I6601" i="6"/>
  <c r="E6601" i="6" s="1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E6604" i="6" s="1"/>
  <c r="M6604" i="6" s="1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E6606" i="6" s="1"/>
  <c r="N6606" i="6" s="1"/>
  <c r="J6606" i="6"/>
  <c r="A6607" i="6"/>
  <c r="B6607" i="6"/>
  <c r="C6607" i="6"/>
  <c r="F6607" i="6"/>
  <c r="G6607" i="6"/>
  <c r="H6607" i="6"/>
  <c r="I6607" i="6"/>
  <c r="E6607" i="6" s="1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E6610" i="6" s="1"/>
  <c r="N6610" i="6" s="1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E6612" i="6" s="1"/>
  <c r="M6612" i="6" s="1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E6614" i="6" s="1"/>
  <c r="N6614" i="6" s="1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E6618" i="6" s="1"/>
  <c r="N6618" i="6" s="1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E6620" i="6" s="1"/>
  <c r="M6620" i="6" s="1"/>
  <c r="J6620" i="6"/>
  <c r="A6621" i="6"/>
  <c r="B6621" i="6"/>
  <c r="C6621" i="6"/>
  <c r="F6621" i="6"/>
  <c r="G6621" i="6"/>
  <c r="H6621" i="6"/>
  <c r="I6621" i="6"/>
  <c r="E6621" i="6" s="1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E6624" i="6" s="1"/>
  <c r="L6624" i="6" s="1"/>
  <c r="J6624" i="6"/>
  <c r="A6625" i="6"/>
  <c r="B6625" i="6"/>
  <c r="C6625" i="6"/>
  <c r="F6625" i="6"/>
  <c r="G6625" i="6"/>
  <c r="H6625" i="6"/>
  <c r="I6625" i="6"/>
  <c r="E6625" i="6" s="1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E6627" i="6" s="1"/>
  <c r="N6627" i="6" s="1"/>
  <c r="J6627" i="6"/>
  <c r="A6628" i="6"/>
  <c r="B6628" i="6"/>
  <c r="C6628" i="6"/>
  <c r="F6628" i="6"/>
  <c r="G6628" i="6"/>
  <c r="H6628" i="6"/>
  <c r="I6628" i="6"/>
  <c r="E6628" i="6" s="1"/>
  <c r="J6628" i="6"/>
  <c r="A6629" i="6"/>
  <c r="B6629" i="6"/>
  <c r="C6629" i="6"/>
  <c r="F6629" i="6"/>
  <c r="G6629" i="6"/>
  <c r="H6629" i="6"/>
  <c r="I6629" i="6"/>
  <c r="E6629" i="6" s="1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E6631" i="6" s="1"/>
  <c r="N6631" i="6" s="1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E6634" i="6" s="1"/>
  <c r="N6634" i="6" s="1"/>
  <c r="J6634" i="6"/>
  <c r="A6635" i="6"/>
  <c r="B6635" i="6"/>
  <c r="C6635" i="6"/>
  <c r="F6635" i="6"/>
  <c r="G6635" i="6"/>
  <c r="H6635" i="6"/>
  <c r="I6635" i="6"/>
  <c r="E6635" i="6" s="1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E6638" i="6" s="1"/>
  <c r="N6638" i="6" s="1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E6641" i="6" s="1"/>
  <c r="M6641" i="6" s="1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E6644" i="6" s="1"/>
  <c r="N6644" i="6" s="1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E6646" i="6" s="1"/>
  <c r="N6646" i="6" s="1"/>
  <c r="J6646" i="6"/>
  <c r="A6647" i="6"/>
  <c r="B6647" i="6"/>
  <c r="C6647" i="6"/>
  <c r="F6647" i="6"/>
  <c r="G6647" i="6"/>
  <c r="H6647" i="6"/>
  <c r="I6647" i="6"/>
  <c r="E6647" i="6" s="1"/>
  <c r="J6647" i="6"/>
  <c r="A6648" i="6"/>
  <c r="B6648" i="6"/>
  <c r="C6648" i="6"/>
  <c r="F6648" i="6"/>
  <c r="G6648" i="6"/>
  <c r="H6648" i="6"/>
  <c r="I6648" i="6"/>
  <c r="E6648" i="6" s="1"/>
  <c r="J6648" i="6"/>
  <c r="A6649" i="6"/>
  <c r="B6649" i="6"/>
  <c r="C6649" i="6"/>
  <c r="F6649" i="6"/>
  <c r="G6649" i="6"/>
  <c r="H6649" i="6"/>
  <c r="I6649" i="6"/>
  <c r="E6649" i="6" s="1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E6651" i="6" s="1"/>
  <c r="M6651" i="6" s="1"/>
  <c r="J6651" i="6"/>
  <c r="A6652" i="6"/>
  <c r="B6652" i="6"/>
  <c r="C6652" i="6"/>
  <c r="F6652" i="6"/>
  <c r="G6652" i="6"/>
  <c r="H6652" i="6"/>
  <c r="I6652" i="6"/>
  <c r="E6652" i="6" s="1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E6654" i="6" s="1"/>
  <c r="N6654" i="6" s="1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E6657" i="6" s="1"/>
  <c r="L6657" i="6" s="1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E6661" i="6" s="1"/>
  <c r="L6661" i="6" s="1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E6663" i="6" s="1"/>
  <c r="L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E6666" i="6" s="1"/>
  <c r="N6666" i="6" s="1"/>
  <c r="J6666" i="6"/>
  <c r="A6667" i="6"/>
  <c r="B6667" i="6"/>
  <c r="C6667" i="6"/>
  <c r="F6667" i="6"/>
  <c r="G6667" i="6"/>
  <c r="H6667" i="6"/>
  <c r="I6667" i="6"/>
  <c r="E6667" i="6" s="1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E6669" i="6" s="1"/>
  <c r="M6669" i="6" s="1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E6671" i="6" s="1"/>
  <c r="M6671" i="6" s="1"/>
  <c r="J6671" i="6"/>
  <c r="A6672" i="6"/>
  <c r="B6672" i="6"/>
  <c r="C6672" i="6"/>
  <c r="F6672" i="6"/>
  <c r="G6672" i="6"/>
  <c r="H6672" i="6"/>
  <c r="I6672" i="6"/>
  <c r="E6672" i="6" s="1"/>
  <c r="J6672" i="6"/>
  <c r="A6673" i="6"/>
  <c r="B6673" i="6"/>
  <c r="C6673" i="6"/>
  <c r="F6673" i="6"/>
  <c r="G6673" i="6"/>
  <c r="H6673" i="6"/>
  <c r="I6673" i="6"/>
  <c r="E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E6675" i="6" s="1"/>
  <c r="M6675" i="6" s="1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E6678" i="6" s="1"/>
  <c r="N6678" i="6" s="1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E6682" i="6" s="1"/>
  <c r="N6682" i="6" s="1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E6685" i="6" s="1"/>
  <c r="M6685" i="6" s="1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E6687" i="6" s="1"/>
  <c r="N6687" i="6" s="1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E6689" i="6" s="1"/>
  <c r="M6689" i="6" s="1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E6691" i="6" s="1"/>
  <c r="N6691" i="6" s="1"/>
  <c r="J6691" i="6"/>
  <c r="A6692" i="6"/>
  <c r="B6692" i="6"/>
  <c r="C6692" i="6"/>
  <c r="F6692" i="6"/>
  <c r="G6692" i="6"/>
  <c r="H6692" i="6"/>
  <c r="I6692" i="6"/>
  <c r="E6692" i="6" s="1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E6694" i="6" s="1"/>
  <c r="N6694" i="6" s="1"/>
  <c r="J6694" i="6"/>
  <c r="A6695" i="6"/>
  <c r="B6695" i="6"/>
  <c r="C6695" i="6"/>
  <c r="F6695" i="6"/>
  <c r="G6695" i="6"/>
  <c r="H6695" i="6"/>
  <c r="I6695" i="6"/>
  <c r="E6695" i="6" s="1"/>
  <c r="J6695" i="6"/>
  <c r="A6696" i="6"/>
  <c r="B6696" i="6"/>
  <c r="C6696" i="6"/>
  <c r="F6696" i="6"/>
  <c r="G6696" i="6"/>
  <c r="H6696" i="6"/>
  <c r="I6696" i="6"/>
  <c r="E6696" i="6" s="1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E6698" i="6" s="1"/>
  <c r="N6698" i="6" s="1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E6702" i="6" s="1"/>
  <c r="N6702" i="6" s="1"/>
  <c r="J6702" i="6"/>
  <c r="A6703" i="6"/>
  <c r="B6703" i="6"/>
  <c r="C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E6704" i="6" s="1"/>
  <c r="M6704" i="6" s="1"/>
  <c r="J6704" i="6"/>
  <c r="A6705" i="6"/>
  <c r="B6705" i="6"/>
  <c r="C6705" i="6"/>
  <c r="F6705" i="6"/>
  <c r="G6705" i="6"/>
  <c r="H6705" i="6"/>
  <c r="I6705" i="6"/>
  <c r="E6705" i="6" s="1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E6709" i="6" s="1"/>
  <c r="M6709" i="6" s="1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E6713" i="6" s="1"/>
  <c r="M6713" i="6" s="1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E6716" i="6" s="1"/>
  <c r="N6716" i="6" s="1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E6718" i="6" s="1"/>
  <c r="N6718" i="6" s="1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E6720" i="6" s="1"/>
  <c r="L6720" i="6" s="1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E6722" i="6" s="1"/>
  <c r="N6722" i="6" s="1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E6724" i="6" s="1"/>
  <c r="L6724" i="6" s="1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E6726" i="6" s="1"/>
  <c r="N6726" i="6" s="1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E6729" i="6" s="1"/>
  <c r="L6729" i="6" s="1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E6732" i="6" s="1"/>
  <c r="N6732" i="6" s="1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E6734" i="6" s="1"/>
  <c r="N6734" i="6" s="1"/>
  <c r="J6734" i="6"/>
  <c r="A6735" i="6"/>
  <c r="B6735" i="6"/>
  <c r="C6735" i="6"/>
  <c r="F6735" i="6"/>
  <c r="G6735" i="6"/>
  <c r="H6735" i="6"/>
  <c r="I6735" i="6"/>
  <c r="J6735" i="6"/>
  <c r="A6736" i="6"/>
  <c r="B6736" i="6"/>
  <c r="C6736" i="6"/>
  <c r="F6736" i="6"/>
  <c r="G6736" i="6"/>
  <c r="H6736" i="6"/>
  <c r="I6736" i="6"/>
  <c r="E6736" i="6" s="1"/>
  <c r="L6736" i="6" s="1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E6738" i="6" s="1"/>
  <c r="N6738" i="6" s="1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E6740" i="6" s="1"/>
  <c r="M6740" i="6" s="1"/>
  <c r="J6740" i="6"/>
  <c r="A6741" i="6"/>
  <c r="B6741" i="6"/>
  <c r="C6741" i="6"/>
  <c r="F6741" i="6"/>
  <c r="G6741" i="6"/>
  <c r="H6741" i="6"/>
  <c r="I6741" i="6"/>
  <c r="E6741" i="6" s="1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E6743" i="6" s="1"/>
  <c r="M6743" i="6" s="1"/>
  <c r="J6743" i="6"/>
  <c r="A6744" i="6"/>
  <c r="B6744" i="6"/>
  <c r="C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E6746" i="6" s="1"/>
  <c r="N6746" i="6" s="1"/>
  <c r="J6746" i="6"/>
  <c r="A6747" i="6"/>
  <c r="B6747" i="6"/>
  <c r="C6747" i="6"/>
  <c r="F6747" i="6"/>
  <c r="G6747" i="6"/>
  <c r="H6747" i="6"/>
  <c r="I6747" i="6"/>
  <c r="E6747" i="6" s="1"/>
  <c r="J6747" i="6"/>
  <c r="A6748" i="6"/>
  <c r="B6748" i="6"/>
  <c r="C6748" i="6"/>
  <c r="F6748" i="6"/>
  <c r="G6748" i="6"/>
  <c r="H6748" i="6"/>
  <c r="I6748" i="6"/>
  <c r="E6748" i="6" s="1"/>
  <c r="J6748" i="6"/>
  <c r="A6749" i="6"/>
  <c r="B6749" i="6"/>
  <c r="C6749" i="6"/>
  <c r="F6749" i="6"/>
  <c r="G6749" i="6"/>
  <c r="H6749" i="6"/>
  <c r="I6749" i="6"/>
  <c r="E6749" i="6" s="1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E6751" i="6" s="1"/>
  <c r="N6751" i="6" s="1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E6754" i="6" s="1"/>
  <c r="N6754" i="6" s="1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E6756" i="6" s="1"/>
  <c r="M6756" i="6" s="1"/>
  <c r="J6756" i="6"/>
  <c r="A6757" i="6"/>
  <c r="B6757" i="6"/>
  <c r="C6757" i="6"/>
  <c r="F6757" i="6"/>
  <c r="G6757" i="6"/>
  <c r="H6757" i="6"/>
  <c r="I6757" i="6"/>
  <c r="E6757" i="6" s="1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E6760" i="6" s="1"/>
  <c r="L6760" i="6" s="1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E6762" i="6" s="1"/>
  <c r="N6762" i="6" s="1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E6765" i="6" s="1"/>
  <c r="L6765" i="6" s="1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E6768" i="6" s="1"/>
  <c r="N6768" i="6" s="1"/>
  <c r="J6768" i="6"/>
  <c r="A6769" i="6"/>
  <c r="B6769" i="6"/>
  <c r="C6769" i="6"/>
  <c r="F6769" i="6"/>
  <c r="G6769" i="6"/>
  <c r="H6769" i="6"/>
  <c r="I6769" i="6"/>
  <c r="E6769" i="6" s="1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E6771" i="6" s="1"/>
  <c r="N6771" i="6" s="1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E6774" i="6" s="1"/>
  <c r="N6774" i="6" s="1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F6776" i="6"/>
  <c r="G6776" i="6"/>
  <c r="H6776" i="6"/>
  <c r="I6776" i="6"/>
  <c r="E6776" i="6" s="1"/>
  <c r="L6776" i="6" s="1"/>
  <c r="J6776" i="6"/>
  <c r="A6777" i="6"/>
  <c r="B6777" i="6"/>
  <c r="C6777" i="6"/>
  <c r="F6777" i="6"/>
  <c r="G6777" i="6"/>
  <c r="H6777" i="6"/>
  <c r="I6777" i="6"/>
  <c r="E6777" i="6" s="1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E6779" i="6" s="1"/>
  <c r="N6779" i="6" s="1"/>
  <c r="J6779" i="6"/>
  <c r="A6780" i="6"/>
  <c r="B6780" i="6"/>
  <c r="C6780" i="6"/>
  <c r="F6780" i="6"/>
  <c r="G6780" i="6"/>
  <c r="H6780" i="6"/>
  <c r="I6780" i="6"/>
  <c r="E6780" i="6" s="1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E6782" i="6" s="1"/>
  <c r="N6782" i="6" s="1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E6785" i="6" s="1"/>
  <c r="L6785" i="6" s="1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E6788" i="6" s="1"/>
  <c r="N6788" i="6" s="1"/>
  <c r="J6788" i="6"/>
  <c r="A6789" i="6"/>
  <c r="B6789" i="6"/>
  <c r="C6789" i="6"/>
  <c r="F6789" i="6"/>
  <c r="G6789" i="6"/>
  <c r="H6789" i="6"/>
  <c r="I6789" i="6"/>
  <c r="E6789" i="6" s="1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E6791" i="6" s="1"/>
  <c r="N6791" i="6" s="1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E6794" i="6" s="1"/>
  <c r="N6794" i="6" s="1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E6796" i="6" s="1"/>
  <c r="N6796" i="6" s="1"/>
  <c r="J6796" i="6"/>
  <c r="A6797" i="6"/>
  <c r="B6797" i="6"/>
  <c r="C6797" i="6"/>
  <c r="F6797" i="6"/>
  <c r="G6797" i="6"/>
  <c r="H6797" i="6"/>
  <c r="I6797" i="6"/>
  <c r="E6797" i="6" s="1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E6799" i="6" s="1"/>
  <c r="N6799" i="6" s="1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E6802" i="6" s="1"/>
  <c r="N6802" i="6" s="1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E6805" i="6" s="1"/>
  <c r="L6805" i="6" s="1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E6807" i="6" s="1"/>
  <c r="N6807" i="6" s="1"/>
  <c r="J6807" i="6"/>
  <c r="A6808" i="6"/>
  <c r="B6808" i="6"/>
  <c r="C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E6809" i="6" s="1"/>
  <c r="L6809" i="6" s="1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E6811" i="6" s="1"/>
  <c r="N6811" i="6" s="1"/>
  <c r="J6811" i="6"/>
  <c r="A6812" i="6"/>
  <c r="B6812" i="6"/>
  <c r="C6812" i="6"/>
  <c r="F6812" i="6"/>
  <c r="G6812" i="6"/>
  <c r="H6812" i="6"/>
  <c r="I6812" i="6"/>
  <c r="E6812" i="6" s="1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E6814" i="6" s="1"/>
  <c r="N6814" i="6" s="1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E6816" i="6" s="1"/>
  <c r="L6816" i="6" s="1"/>
  <c r="J6816" i="6"/>
  <c r="A6817" i="6"/>
  <c r="B6817" i="6"/>
  <c r="C6817" i="6"/>
  <c r="F6817" i="6"/>
  <c r="G6817" i="6"/>
  <c r="H6817" i="6"/>
  <c r="I6817" i="6"/>
  <c r="E6817" i="6" s="1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E6820" i="6" s="1"/>
  <c r="N6820" i="6" s="1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E6822" i="6" s="1"/>
  <c r="N6822" i="6" s="1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E6825" i="6" s="1"/>
  <c r="L6825" i="6" s="1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E6827" i="6" s="1"/>
  <c r="N6827" i="6" s="1"/>
  <c r="J6827" i="6"/>
  <c r="A6828" i="6"/>
  <c r="B6828" i="6"/>
  <c r="C6828" i="6"/>
  <c r="F6828" i="6"/>
  <c r="G6828" i="6"/>
  <c r="H6828" i="6"/>
  <c r="I6828" i="6"/>
  <c r="E6828" i="6" s="1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E6830" i="6" s="1"/>
  <c r="N6830" i="6" s="1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E6832" i="6" s="1"/>
  <c r="N6832" i="6" s="1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E6834" i="6" s="1"/>
  <c r="N6834" i="6" s="1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E6838" i="6" s="1"/>
  <c r="N6838" i="6" s="1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E6840" i="6" s="1"/>
  <c r="L6840" i="6" s="1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E6842" i="6" s="1"/>
  <c r="N6842" i="6" s="1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E6844" i="6" s="1"/>
  <c r="N6844" i="6" s="1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E6846" i="6" s="1"/>
  <c r="N6846" i="6" s="1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E6848" i="6" s="1"/>
  <c r="M6848" i="6" s="1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E6850" i="6" s="1"/>
  <c r="N6850" i="6" s="1"/>
  <c r="J6850" i="6"/>
  <c r="A6851" i="6"/>
  <c r="B6851" i="6"/>
  <c r="C6851" i="6"/>
  <c r="F6851" i="6"/>
  <c r="G6851" i="6"/>
  <c r="H6851" i="6"/>
  <c r="I6851" i="6"/>
  <c r="E6851" i="6" s="1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E6853" i="6" s="1"/>
  <c r="L6853" i="6" s="1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E6856" i="6" s="1"/>
  <c r="N6856" i="6" s="1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E6858" i="6" s="1"/>
  <c r="N6858" i="6" s="1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E6861" i="6" s="1"/>
  <c r="L6861" i="6" s="1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E6863" i="6" s="1"/>
  <c r="N6863" i="6" s="1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E6865" i="6" s="1"/>
  <c r="L6865" i="6" s="1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E6867" i="6" s="1"/>
  <c r="N6867" i="6" s="1"/>
  <c r="J6867" i="6"/>
  <c r="A6868" i="6"/>
  <c r="B6868" i="6"/>
  <c r="C6868" i="6"/>
  <c r="F6868" i="6"/>
  <c r="G6868" i="6"/>
  <c r="H6868" i="6"/>
  <c r="I6868" i="6"/>
  <c r="E6868" i="6" s="1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E6870" i="6" s="1"/>
  <c r="N6870" i="6" s="1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E6873" i="6" s="1"/>
  <c r="L6873" i="6" s="1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E6876" i="6" s="1"/>
  <c r="N6876" i="6" s="1"/>
  <c r="J6876" i="6"/>
  <c r="A6877" i="6"/>
  <c r="B6877" i="6"/>
  <c r="C6877" i="6"/>
  <c r="F6877" i="6"/>
  <c r="G6877" i="6"/>
  <c r="H6877" i="6"/>
  <c r="I6877" i="6"/>
  <c r="E6877" i="6" s="1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E6879" i="6" s="1"/>
  <c r="N6879" i="6" s="1"/>
  <c r="J6879" i="6"/>
  <c r="A6880" i="6"/>
  <c r="B6880" i="6"/>
  <c r="C6880" i="6"/>
  <c r="F6880" i="6"/>
  <c r="G6880" i="6"/>
  <c r="H6880" i="6"/>
  <c r="I6880" i="6"/>
  <c r="E6880" i="6" s="1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E6882" i="6" s="1"/>
  <c r="N6882" i="6" s="1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E6884" i="6" s="1"/>
  <c r="L6884" i="6" s="1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E6886" i="6" s="1"/>
  <c r="N6886" i="6" s="1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E6889" i="6" s="1"/>
  <c r="L6889" i="6" s="1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E6891" i="6" s="1"/>
  <c r="N6891" i="6" s="1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E6893" i="6" s="1"/>
  <c r="L6893" i="6" s="1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E6896" i="6" s="1"/>
  <c r="L6896" i="6" s="1"/>
  <c r="J6896" i="6"/>
  <c r="A6897" i="6"/>
  <c r="B6897" i="6"/>
  <c r="C6897" i="6"/>
  <c r="F6897" i="6"/>
  <c r="G6897" i="6"/>
  <c r="H6897" i="6"/>
  <c r="I6897" i="6"/>
  <c r="E6897" i="6" s="1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E6899" i="6" s="1"/>
  <c r="N6899" i="6" s="1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E6902" i="6" s="1"/>
  <c r="N6902" i="6" s="1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E6905" i="6" s="1"/>
  <c r="L6905" i="6" s="1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E3" i="6" s="1"/>
  <c r="I4" i="6"/>
  <c r="I5" i="6"/>
  <c r="I6" i="6"/>
  <c r="I7" i="6"/>
  <c r="E7" i="6" s="1"/>
  <c r="L7" i="6" s="1"/>
  <c r="I8" i="6"/>
  <c r="I9" i="6"/>
  <c r="I10" i="6"/>
  <c r="I11" i="6"/>
  <c r="E11" i="6" s="1"/>
  <c r="L11" i="6" s="1"/>
  <c r="N11" i="6" s="1"/>
  <c r="I12" i="6"/>
  <c r="I13" i="6"/>
  <c r="I14" i="6"/>
  <c r="I15" i="6"/>
  <c r="E15" i="6" s="1"/>
  <c r="L15" i="6" s="1"/>
  <c r="N15" i="6" s="1"/>
  <c r="I16" i="6"/>
  <c r="I17" i="6"/>
  <c r="I18" i="6"/>
  <c r="I19" i="6"/>
  <c r="E19" i="6" s="1"/>
  <c r="L19" i="6" s="1"/>
  <c r="I20" i="6"/>
  <c r="I21" i="6"/>
  <c r="I22" i="6"/>
  <c r="I23" i="6"/>
  <c r="E23" i="6" s="1"/>
  <c r="L23" i="6" s="1"/>
  <c r="I24" i="6"/>
  <c r="I25" i="6"/>
  <c r="I26" i="6"/>
  <c r="I27" i="6"/>
  <c r="E27" i="6" s="1"/>
  <c r="L27" i="6" s="1"/>
  <c r="I28" i="6"/>
  <c r="I29" i="6"/>
  <c r="I30" i="6"/>
  <c r="I31" i="6"/>
  <c r="E31" i="6" s="1"/>
  <c r="L31" i="6" s="1"/>
  <c r="I32" i="6"/>
  <c r="I33" i="6"/>
  <c r="I34" i="6"/>
  <c r="I35" i="6"/>
  <c r="E35" i="6" s="1"/>
  <c r="L35" i="6" s="1"/>
  <c r="I36" i="6"/>
  <c r="I37" i="6"/>
  <c r="I38" i="6"/>
  <c r="I39" i="6"/>
  <c r="E39" i="6" s="1"/>
  <c r="L39" i="6" s="1"/>
  <c r="I40" i="6"/>
  <c r="I41" i="6"/>
  <c r="I42" i="6"/>
  <c r="I43" i="6"/>
  <c r="E43" i="6" s="1"/>
  <c r="L43" i="6" s="1"/>
  <c r="I44" i="6"/>
  <c r="I45" i="6"/>
  <c r="I46" i="6"/>
  <c r="I47" i="6"/>
  <c r="E47" i="6" s="1"/>
  <c r="L47" i="6" s="1"/>
  <c r="I48" i="6"/>
  <c r="I49" i="6"/>
  <c r="I50" i="6"/>
  <c r="I51" i="6"/>
  <c r="E51" i="6" s="1"/>
  <c r="L51" i="6" s="1"/>
  <c r="I52" i="6"/>
  <c r="I53" i="6"/>
  <c r="I54" i="6"/>
  <c r="I55" i="6"/>
  <c r="E55" i="6" s="1"/>
  <c r="I56" i="6"/>
  <c r="I57" i="6"/>
  <c r="I58" i="6"/>
  <c r="I59" i="6"/>
  <c r="E59" i="6" s="1"/>
  <c r="L59" i="6" s="1"/>
  <c r="I60" i="6"/>
  <c r="I61" i="6"/>
  <c r="I62" i="6"/>
  <c r="I63" i="6"/>
  <c r="E63" i="6" s="1"/>
  <c r="L63" i="6" s="1"/>
  <c r="N63" i="6" s="1"/>
  <c r="I64" i="6"/>
  <c r="I65" i="6"/>
  <c r="I66" i="6"/>
  <c r="I67" i="6"/>
  <c r="E67" i="6" s="1"/>
  <c r="I68" i="6"/>
  <c r="I69" i="6"/>
  <c r="I70" i="6"/>
  <c r="I71" i="6"/>
  <c r="E71" i="6" s="1"/>
  <c r="L71" i="6" s="1"/>
  <c r="N71" i="6" s="1"/>
  <c r="I72" i="6"/>
  <c r="I73" i="6"/>
  <c r="I74" i="6"/>
  <c r="I75" i="6"/>
  <c r="E75" i="6" s="1"/>
  <c r="L75" i="6" s="1"/>
  <c r="I76" i="6"/>
  <c r="I77" i="6"/>
  <c r="I78" i="6"/>
  <c r="I79" i="6"/>
  <c r="E79" i="6" s="1"/>
  <c r="L79" i="6" s="1"/>
  <c r="I80" i="6"/>
  <c r="I81" i="6"/>
  <c r="I82" i="6"/>
  <c r="I83" i="6"/>
  <c r="E83" i="6" s="1"/>
  <c r="L83" i="6" s="1"/>
  <c r="I84" i="6"/>
  <c r="I85" i="6"/>
  <c r="I86" i="6"/>
  <c r="I87" i="6"/>
  <c r="E87" i="6" s="1"/>
  <c r="L87" i="6" s="1"/>
  <c r="I88" i="6"/>
  <c r="I89" i="6"/>
  <c r="I90" i="6"/>
  <c r="I91" i="6"/>
  <c r="E91" i="6" s="1"/>
  <c r="I92" i="6"/>
  <c r="I93" i="6"/>
  <c r="I94" i="6"/>
  <c r="I95" i="6"/>
  <c r="E95" i="6" s="1"/>
  <c r="L95" i="6" s="1"/>
  <c r="I96" i="6"/>
  <c r="I97" i="6"/>
  <c r="I98" i="6"/>
  <c r="I99" i="6"/>
  <c r="E99" i="6" s="1"/>
  <c r="L99" i="6" s="1"/>
  <c r="I100" i="6"/>
  <c r="I101" i="6"/>
  <c r="I102" i="6"/>
  <c r="I103" i="6"/>
  <c r="E103" i="6" s="1"/>
  <c r="I104" i="6"/>
  <c r="I105" i="6"/>
  <c r="I106" i="6"/>
  <c r="I107" i="6"/>
  <c r="E107" i="6" s="1"/>
  <c r="L107" i="6" s="1"/>
  <c r="I108" i="6"/>
  <c r="I109" i="6"/>
  <c r="I110" i="6"/>
  <c r="I111" i="6"/>
  <c r="E111" i="6" s="1"/>
  <c r="L111" i="6" s="1"/>
  <c r="I112" i="6"/>
  <c r="I113" i="6"/>
  <c r="I114" i="6"/>
  <c r="I115" i="6"/>
  <c r="E115" i="6" s="1"/>
  <c r="L115" i="6" s="1"/>
  <c r="I116" i="6"/>
  <c r="I117" i="6"/>
  <c r="I118" i="6"/>
  <c r="I119" i="6"/>
  <c r="E119" i="6" s="1"/>
  <c r="L119" i="6" s="1"/>
  <c r="I120" i="6"/>
  <c r="I121" i="6"/>
  <c r="I122" i="6"/>
  <c r="I123" i="6"/>
  <c r="E123" i="6" s="1"/>
  <c r="I124" i="6"/>
  <c r="I125" i="6"/>
  <c r="I126" i="6"/>
  <c r="I127" i="6"/>
  <c r="E127" i="6" s="1"/>
  <c r="L127" i="6" s="1"/>
  <c r="I128" i="6"/>
  <c r="I129" i="6"/>
  <c r="I130" i="6"/>
  <c r="I131" i="6"/>
  <c r="E131" i="6" s="1"/>
  <c r="L131" i="6" s="1"/>
  <c r="I132" i="6"/>
  <c r="I133" i="6"/>
  <c r="I134" i="6"/>
  <c r="I135" i="6"/>
  <c r="E135" i="6" s="1"/>
  <c r="I136" i="6"/>
  <c r="I137" i="6"/>
  <c r="I138" i="6"/>
  <c r="I139" i="6"/>
  <c r="E139" i="6" s="1"/>
  <c r="L139" i="6" s="1"/>
  <c r="I140" i="6"/>
  <c r="I141" i="6"/>
  <c r="I142" i="6"/>
  <c r="I143" i="6"/>
  <c r="E143" i="6" s="1"/>
  <c r="L143" i="6" s="1"/>
  <c r="I144" i="6"/>
  <c r="I145" i="6"/>
  <c r="I146" i="6"/>
  <c r="I147" i="6"/>
  <c r="E147" i="6" s="1"/>
  <c r="L147" i="6" s="1"/>
  <c r="I148" i="6"/>
  <c r="I149" i="6"/>
  <c r="I150" i="6"/>
  <c r="I151" i="6"/>
  <c r="E151" i="6" s="1"/>
  <c r="L151" i="6" s="1"/>
  <c r="I152" i="6"/>
  <c r="I153" i="6"/>
  <c r="I154" i="6"/>
  <c r="I155" i="6"/>
  <c r="E155" i="6" s="1"/>
  <c r="I156" i="6"/>
  <c r="I157" i="6"/>
  <c r="I158" i="6"/>
  <c r="I159" i="6"/>
  <c r="E159" i="6" s="1"/>
  <c r="L159" i="6" s="1"/>
  <c r="I160" i="6"/>
  <c r="I161" i="6"/>
  <c r="I162" i="6"/>
  <c r="I163" i="6"/>
  <c r="E163" i="6" s="1"/>
  <c r="L163" i="6" s="1"/>
  <c r="N163" i="6" s="1"/>
  <c r="I164" i="6"/>
  <c r="I165" i="6"/>
  <c r="I166" i="6"/>
  <c r="I167" i="6"/>
  <c r="E167" i="6" s="1"/>
  <c r="I168" i="6"/>
  <c r="I169" i="6"/>
  <c r="I170" i="6"/>
  <c r="I171" i="6"/>
  <c r="E171" i="6" s="1"/>
  <c r="L171" i="6" s="1"/>
  <c r="I172" i="6"/>
  <c r="I173" i="6"/>
  <c r="I174" i="6"/>
  <c r="I175" i="6"/>
  <c r="E175" i="6" s="1"/>
  <c r="L175" i="6" s="1"/>
  <c r="I176" i="6"/>
  <c r="I177" i="6"/>
  <c r="I178" i="6"/>
  <c r="I179" i="6"/>
  <c r="E179" i="6" s="1"/>
  <c r="L179" i="6" s="1"/>
  <c r="I180" i="6"/>
  <c r="I181" i="6"/>
  <c r="I182" i="6"/>
  <c r="I183" i="6"/>
  <c r="E183" i="6" s="1"/>
  <c r="L183" i="6" s="1"/>
  <c r="I184" i="6"/>
  <c r="I185" i="6"/>
  <c r="I186" i="6"/>
  <c r="I187" i="6"/>
  <c r="E187" i="6" s="1"/>
  <c r="I188" i="6"/>
  <c r="I189" i="6"/>
  <c r="I190" i="6"/>
  <c r="I191" i="6"/>
  <c r="E191" i="6" s="1"/>
  <c r="L191" i="6" s="1"/>
  <c r="I192" i="6"/>
  <c r="I193" i="6"/>
  <c r="I194" i="6"/>
  <c r="I195" i="6"/>
  <c r="E195" i="6" s="1"/>
  <c r="L195" i="6" s="1"/>
  <c r="I196" i="6"/>
  <c r="I197" i="6"/>
  <c r="I198" i="6"/>
  <c r="I199" i="6"/>
  <c r="E199" i="6" s="1"/>
  <c r="I200" i="6"/>
  <c r="I201" i="6"/>
  <c r="I202" i="6"/>
  <c r="I203" i="6"/>
  <c r="E203" i="6" s="1"/>
  <c r="L203" i="6" s="1"/>
  <c r="N203" i="6" s="1"/>
  <c r="I204" i="6"/>
  <c r="I205" i="6"/>
  <c r="I206" i="6"/>
  <c r="I207" i="6"/>
  <c r="E207" i="6" s="1"/>
  <c r="L207" i="6" s="1"/>
  <c r="N207" i="6" s="1"/>
  <c r="I208" i="6"/>
  <c r="I209" i="6"/>
  <c r="I210" i="6"/>
  <c r="I211" i="6"/>
  <c r="E211" i="6" s="1"/>
  <c r="L211" i="6" s="1"/>
  <c r="N211" i="6" s="1"/>
  <c r="I212" i="6"/>
  <c r="I213" i="6"/>
  <c r="I214" i="6"/>
  <c r="I215" i="6"/>
  <c r="E215" i="6" s="1"/>
  <c r="L215" i="6" s="1"/>
  <c r="N215" i="6" s="1"/>
  <c r="I216" i="6"/>
  <c r="I217" i="6"/>
  <c r="I218" i="6"/>
  <c r="I219" i="6"/>
  <c r="E219" i="6" s="1"/>
  <c r="L219" i="6" s="1"/>
  <c r="N219" i="6" s="1"/>
  <c r="I220" i="6"/>
  <c r="I221" i="6"/>
  <c r="I222" i="6"/>
  <c r="I223" i="6"/>
  <c r="E223" i="6" s="1"/>
  <c r="L223" i="6" s="1"/>
  <c r="N223" i="6" s="1"/>
  <c r="I224" i="6"/>
  <c r="I225" i="6"/>
  <c r="I226" i="6"/>
  <c r="I227" i="6"/>
  <c r="E227" i="6" s="1"/>
  <c r="L227" i="6" s="1"/>
  <c r="N227" i="6" s="1"/>
  <c r="I228" i="6"/>
  <c r="I229" i="6"/>
  <c r="I230" i="6"/>
  <c r="I231" i="6"/>
  <c r="E231" i="6" s="1"/>
  <c r="L231" i="6" s="1"/>
  <c r="N231" i="6" s="1"/>
  <c r="I232" i="6"/>
  <c r="I233" i="6"/>
  <c r="I234" i="6"/>
  <c r="I235" i="6"/>
  <c r="E235" i="6" s="1"/>
  <c r="L235" i="6" s="1"/>
  <c r="N235" i="6" s="1"/>
  <c r="I236" i="6"/>
  <c r="I237" i="6"/>
  <c r="I238" i="6"/>
  <c r="I239" i="6"/>
  <c r="E239" i="6" s="1"/>
  <c r="L239" i="6" s="1"/>
  <c r="N239" i="6" s="1"/>
  <c r="I240" i="6"/>
  <c r="I241" i="6"/>
  <c r="I242" i="6"/>
  <c r="I243" i="6"/>
  <c r="E243" i="6" s="1"/>
  <c r="L243" i="6" s="1"/>
  <c r="N243" i="6" s="1"/>
  <c r="I244" i="6"/>
  <c r="I245" i="6"/>
  <c r="I246" i="6"/>
  <c r="I247" i="6"/>
  <c r="E247" i="6" s="1"/>
  <c r="L247" i="6" s="1"/>
  <c r="N247" i="6" s="1"/>
  <c r="I248" i="6"/>
  <c r="I249" i="6"/>
  <c r="I250" i="6"/>
  <c r="I251" i="6"/>
  <c r="E251" i="6" s="1"/>
  <c r="L251" i="6" s="1"/>
  <c r="N251" i="6" s="1"/>
  <c r="I252" i="6"/>
  <c r="I253" i="6"/>
  <c r="I254" i="6"/>
  <c r="I255" i="6"/>
  <c r="E255" i="6" s="1"/>
  <c r="L255" i="6" s="1"/>
  <c r="N255" i="6" s="1"/>
  <c r="I256" i="6"/>
  <c r="I257" i="6"/>
  <c r="I258" i="6"/>
  <c r="I259" i="6"/>
  <c r="E259" i="6" s="1"/>
  <c r="L259" i="6" s="1"/>
  <c r="N259" i="6" s="1"/>
  <c r="I260" i="6"/>
  <c r="I261" i="6"/>
  <c r="I262" i="6"/>
  <c r="E262" i="6" s="1"/>
  <c r="I263" i="6"/>
  <c r="E263" i="6" s="1"/>
  <c r="L263" i="6" s="1"/>
  <c r="N263" i="6" s="1"/>
  <c r="I264" i="6"/>
  <c r="I265" i="6"/>
  <c r="I266" i="6"/>
  <c r="E266" i="6" s="1"/>
  <c r="I267" i="6"/>
  <c r="E267" i="6" s="1"/>
  <c r="L267" i="6" s="1"/>
  <c r="N267" i="6" s="1"/>
  <c r="I268" i="6"/>
  <c r="I269" i="6"/>
  <c r="I270" i="6"/>
  <c r="E270" i="6" s="1"/>
  <c r="I271" i="6"/>
  <c r="E271" i="6" s="1"/>
  <c r="L271" i="6" s="1"/>
  <c r="N271" i="6" s="1"/>
  <c r="I272" i="6"/>
  <c r="I273" i="6"/>
  <c r="I274" i="6"/>
  <c r="E274" i="6" s="1"/>
  <c r="I275" i="6"/>
  <c r="E275" i="6" s="1"/>
  <c r="I276" i="6"/>
  <c r="I277" i="6"/>
  <c r="I278" i="6"/>
  <c r="E278" i="6" s="1"/>
  <c r="I279" i="6"/>
  <c r="E279" i="6" s="1"/>
  <c r="I280" i="6"/>
  <c r="I281" i="6"/>
  <c r="I282" i="6"/>
  <c r="E282" i="6" s="1"/>
  <c r="I283" i="6"/>
  <c r="E283" i="6" s="1"/>
  <c r="L283" i="6" s="1"/>
  <c r="I284" i="6"/>
  <c r="I285" i="6"/>
  <c r="I286" i="6"/>
  <c r="E286" i="6" s="1"/>
  <c r="I287" i="6"/>
  <c r="E287" i="6" s="1"/>
  <c r="L287" i="6" s="1"/>
  <c r="I288" i="6"/>
  <c r="I289" i="6"/>
  <c r="I290" i="6"/>
  <c r="E290" i="6" s="1"/>
  <c r="I291" i="6"/>
  <c r="E291" i="6" s="1"/>
  <c r="I292" i="6"/>
  <c r="I293" i="6"/>
  <c r="I294" i="6"/>
  <c r="E294" i="6" s="1"/>
  <c r="I295" i="6"/>
  <c r="E295" i="6" s="1"/>
  <c r="I296" i="6"/>
  <c r="I297" i="6"/>
  <c r="I298" i="6"/>
  <c r="E298" i="6" s="1"/>
  <c r="I299" i="6"/>
  <c r="E299" i="6" s="1"/>
  <c r="L299" i="6" s="1"/>
  <c r="I300" i="6"/>
  <c r="I301" i="6"/>
  <c r="I302" i="6"/>
  <c r="E302" i="6" s="1"/>
  <c r="I303" i="6"/>
  <c r="E303" i="6" s="1"/>
  <c r="I304" i="6"/>
  <c r="I305" i="6"/>
  <c r="I306" i="6"/>
  <c r="E306" i="6" s="1"/>
  <c r="I307" i="6"/>
  <c r="E307" i="6" s="1"/>
  <c r="I308" i="6"/>
  <c r="I309" i="6"/>
  <c r="I310" i="6"/>
  <c r="E310" i="6" s="1"/>
  <c r="I311" i="6"/>
  <c r="E311" i="6" s="1"/>
  <c r="I312" i="6"/>
  <c r="I313" i="6"/>
  <c r="I314" i="6"/>
  <c r="E314" i="6" s="1"/>
  <c r="I315" i="6"/>
  <c r="E315" i="6" s="1"/>
  <c r="L315" i="6" s="1"/>
  <c r="I316" i="6"/>
  <c r="I317" i="6"/>
  <c r="I318" i="6"/>
  <c r="E318" i="6" s="1"/>
  <c r="I319" i="6"/>
  <c r="E319" i="6" s="1"/>
  <c r="L319" i="6" s="1"/>
  <c r="I320" i="6"/>
  <c r="I321" i="6"/>
  <c r="I322" i="6"/>
  <c r="E322" i="6" s="1"/>
  <c r="I323" i="6"/>
  <c r="E323" i="6" s="1"/>
  <c r="I324" i="6"/>
  <c r="I325" i="6"/>
  <c r="I326" i="6"/>
  <c r="E326" i="6" s="1"/>
  <c r="I327" i="6"/>
  <c r="E327" i="6" s="1"/>
  <c r="I328" i="6"/>
  <c r="I329" i="6"/>
  <c r="I330" i="6"/>
  <c r="E330" i="6" s="1"/>
  <c r="I331" i="6"/>
  <c r="E331" i="6" s="1"/>
  <c r="L331" i="6" s="1"/>
  <c r="I332" i="6"/>
  <c r="I333" i="6"/>
  <c r="I334" i="6"/>
  <c r="E334" i="6" s="1"/>
  <c r="I335" i="6"/>
  <c r="E335" i="6" s="1"/>
  <c r="I336" i="6"/>
  <c r="I337" i="6"/>
  <c r="I338" i="6"/>
  <c r="E338" i="6" s="1"/>
  <c r="I339" i="6"/>
  <c r="E339" i="6" s="1"/>
  <c r="I340" i="6"/>
  <c r="I341" i="6"/>
  <c r="I342" i="6"/>
  <c r="E342" i="6" s="1"/>
  <c r="I343" i="6"/>
  <c r="E343" i="6" s="1"/>
  <c r="I344" i="6"/>
  <c r="I345" i="6"/>
  <c r="I346" i="6"/>
  <c r="E346" i="6" s="1"/>
  <c r="I347" i="6"/>
  <c r="E347" i="6" s="1"/>
  <c r="L347" i="6" s="1"/>
  <c r="I348" i="6"/>
  <c r="I349" i="6"/>
  <c r="I350" i="6"/>
  <c r="E350" i="6" s="1"/>
  <c r="I351" i="6"/>
  <c r="E351" i="6" s="1"/>
  <c r="L351" i="6" s="1"/>
  <c r="I352" i="6"/>
  <c r="I353" i="6"/>
  <c r="I354" i="6"/>
  <c r="E354" i="6" s="1"/>
  <c r="I355" i="6"/>
  <c r="E355" i="6" s="1"/>
  <c r="I356" i="6"/>
  <c r="I357" i="6"/>
  <c r="I358" i="6"/>
  <c r="E358" i="6" s="1"/>
  <c r="I359" i="6"/>
  <c r="E359" i="6" s="1"/>
  <c r="I360" i="6"/>
  <c r="I361" i="6"/>
  <c r="I362" i="6"/>
  <c r="E362" i="6" s="1"/>
  <c r="I363" i="6"/>
  <c r="E363" i="6" s="1"/>
  <c r="L363" i="6" s="1"/>
  <c r="I364" i="6"/>
  <c r="I365" i="6"/>
  <c r="I366" i="6"/>
  <c r="E366" i="6" s="1"/>
  <c r="I367" i="6"/>
  <c r="E367" i="6" s="1"/>
  <c r="I368" i="6"/>
  <c r="I369" i="6"/>
  <c r="I370" i="6"/>
  <c r="E370" i="6" s="1"/>
  <c r="I371" i="6"/>
  <c r="E371" i="6" s="1"/>
  <c r="I372" i="6"/>
  <c r="I373" i="6"/>
  <c r="I374" i="6"/>
  <c r="E374" i="6" s="1"/>
  <c r="I375" i="6"/>
  <c r="E375" i="6" s="1"/>
  <c r="I376" i="6"/>
  <c r="I377" i="6"/>
  <c r="I378" i="6"/>
  <c r="E378" i="6" s="1"/>
  <c r="I379" i="6"/>
  <c r="E379" i="6" s="1"/>
  <c r="L379" i="6" s="1"/>
  <c r="I380" i="6"/>
  <c r="I381" i="6"/>
  <c r="I382" i="6"/>
  <c r="E382" i="6" s="1"/>
  <c r="I383" i="6"/>
  <c r="E383" i="6" s="1"/>
  <c r="L383" i="6" s="1"/>
  <c r="I384" i="6"/>
  <c r="I385" i="6"/>
  <c r="I386" i="6"/>
  <c r="E386" i="6" s="1"/>
  <c r="I387" i="6"/>
  <c r="E387" i="6" s="1"/>
  <c r="I388" i="6"/>
  <c r="I389" i="6"/>
  <c r="I390" i="6"/>
  <c r="E390" i="6" s="1"/>
  <c r="I391" i="6"/>
  <c r="E391" i="6" s="1"/>
  <c r="I392" i="6"/>
  <c r="I393" i="6"/>
  <c r="I394" i="6"/>
  <c r="E394" i="6" s="1"/>
  <c r="I395" i="6"/>
  <c r="E395" i="6" s="1"/>
  <c r="I396" i="6"/>
  <c r="I397" i="6"/>
  <c r="I398" i="6"/>
  <c r="E398" i="6" s="1"/>
  <c r="I399" i="6"/>
  <c r="E399" i="6" s="1"/>
  <c r="I400" i="6"/>
  <c r="I401" i="6"/>
  <c r="I402" i="6"/>
  <c r="E402" i="6" s="1"/>
  <c r="I403" i="6"/>
  <c r="E403" i="6" s="1"/>
  <c r="I404" i="6"/>
  <c r="E404" i="6" s="1"/>
  <c r="I405" i="6"/>
  <c r="E405" i="6" s="1"/>
  <c r="I406" i="6"/>
  <c r="E406" i="6" s="1"/>
  <c r="I407" i="6"/>
  <c r="E407" i="6" s="1"/>
  <c r="I408" i="6"/>
  <c r="E408" i="6" s="1"/>
  <c r="I409" i="6"/>
  <c r="E409" i="6" s="1"/>
  <c r="I410" i="6"/>
  <c r="E410" i="6" s="1"/>
  <c r="I411" i="6"/>
  <c r="E411" i="6" s="1"/>
  <c r="I412" i="6"/>
  <c r="E412" i="6" s="1"/>
  <c r="I413" i="6"/>
  <c r="E413" i="6" s="1"/>
  <c r="I414" i="6"/>
  <c r="E414" i="6" s="1"/>
  <c r="I415" i="6"/>
  <c r="E415" i="6" s="1"/>
  <c r="I416" i="6"/>
  <c r="E416" i="6" s="1"/>
  <c r="I417" i="6"/>
  <c r="E417" i="6" s="1"/>
  <c r="I418" i="6"/>
  <c r="E418" i="6" s="1"/>
  <c r="I419" i="6"/>
  <c r="E419" i="6" s="1"/>
  <c r="I420" i="6"/>
  <c r="E420" i="6" s="1"/>
  <c r="I421" i="6"/>
  <c r="E421" i="6" s="1"/>
  <c r="I422" i="6"/>
  <c r="E422" i="6" s="1"/>
  <c r="I423" i="6"/>
  <c r="E423" i="6" s="1"/>
  <c r="I424" i="6"/>
  <c r="E424" i="6" s="1"/>
  <c r="I425" i="6"/>
  <c r="E425" i="6" s="1"/>
  <c r="I426" i="6"/>
  <c r="E426" i="6" s="1"/>
  <c r="I427" i="6"/>
  <c r="E427" i="6" s="1"/>
  <c r="I428" i="6"/>
  <c r="E428" i="6" s="1"/>
  <c r="I429" i="6"/>
  <c r="E429" i="6" s="1"/>
  <c r="I430" i="6"/>
  <c r="E430" i="6" s="1"/>
  <c r="I431" i="6"/>
  <c r="E431" i="6" s="1"/>
  <c r="I432" i="6"/>
  <c r="E432" i="6" s="1"/>
  <c r="I433" i="6"/>
  <c r="E433" i="6" s="1"/>
  <c r="I434" i="6"/>
  <c r="E434" i="6" s="1"/>
  <c r="I435" i="6"/>
  <c r="E435" i="6" s="1"/>
  <c r="I436" i="6"/>
  <c r="E436" i="6" s="1"/>
  <c r="I437" i="6"/>
  <c r="E437" i="6" s="1"/>
  <c r="I438" i="6"/>
  <c r="E438" i="6" s="1"/>
  <c r="I439" i="6"/>
  <c r="E439" i="6" s="1"/>
  <c r="I440" i="6"/>
  <c r="E440" i="6" s="1"/>
  <c r="I441" i="6"/>
  <c r="E441" i="6" s="1"/>
  <c r="I442" i="6"/>
  <c r="E442" i="6" s="1"/>
  <c r="I443" i="6"/>
  <c r="E443" i="6" s="1"/>
  <c r="I444" i="6"/>
  <c r="E444" i="6" s="1"/>
  <c r="I445" i="6"/>
  <c r="E445" i="6" s="1"/>
  <c r="I446" i="6"/>
  <c r="E446" i="6" s="1"/>
  <c r="I447" i="6"/>
  <c r="E447" i="6" s="1"/>
  <c r="I448" i="6"/>
  <c r="E448" i="6" s="1"/>
  <c r="I449" i="6"/>
  <c r="E449" i="6" s="1"/>
  <c r="I450" i="6"/>
  <c r="E450" i="6" s="1"/>
  <c r="I451" i="6"/>
  <c r="E451" i="6" s="1"/>
  <c r="I452" i="6"/>
  <c r="E452" i="6" s="1"/>
  <c r="I453" i="6"/>
  <c r="E453" i="6" s="1"/>
  <c r="I454" i="6"/>
  <c r="E454" i="6" s="1"/>
  <c r="I455" i="6"/>
  <c r="E455" i="6" s="1"/>
  <c r="I456" i="6"/>
  <c r="E456" i="6" s="1"/>
  <c r="I457" i="6"/>
  <c r="E457" i="6" s="1"/>
  <c r="I458" i="6"/>
  <c r="E458" i="6" s="1"/>
  <c r="I459" i="6"/>
  <c r="E459" i="6" s="1"/>
  <c r="I460" i="6"/>
  <c r="E460" i="6" s="1"/>
  <c r="I461" i="6"/>
  <c r="E461" i="6" s="1"/>
  <c r="I462" i="6"/>
  <c r="E462" i="6" s="1"/>
  <c r="I463" i="6"/>
  <c r="E463" i="6" s="1"/>
  <c r="I464" i="6"/>
  <c r="E464" i="6" s="1"/>
  <c r="I465" i="6"/>
  <c r="E465" i="6" s="1"/>
  <c r="I466" i="6"/>
  <c r="E466" i="6" s="1"/>
  <c r="I467" i="6"/>
  <c r="E467" i="6" s="1"/>
  <c r="I468" i="6"/>
  <c r="E468" i="6" s="1"/>
  <c r="I469" i="6"/>
  <c r="E469" i="6" s="1"/>
  <c r="I470" i="6"/>
  <c r="E470" i="6" s="1"/>
  <c r="I471" i="6"/>
  <c r="E471" i="6" s="1"/>
  <c r="I472" i="6"/>
  <c r="E472" i="6" s="1"/>
  <c r="I473" i="6"/>
  <c r="E473" i="6" s="1"/>
  <c r="I474" i="6"/>
  <c r="E474" i="6" s="1"/>
  <c r="I475" i="6"/>
  <c r="E475" i="6" s="1"/>
  <c r="I476" i="6"/>
  <c r="E476" i="6" s="1"/>
  <c r="I477" i="6"/>
  <c r="E477" i="6" s="1"/>
  <c r="I478" i="6"/>
  <c r="E478" i="6" s="1"/>
  <c r="I479" i="6"/>
  <c r="E479" i="6" s="1"/>
  <c r="I480" i="6"/>
  <c r="E480" i="6" s="1"/>
  <c r="I481" i="6"/>
  <c r="E481" i="6" s="1"/>
  <c r="I482" i="6"/>
  <c r="E482" i="6" s="1"/>
  <c r="I483" i="6"/>
  <c r="E483" i="6" s="1"/>
  <c r="I484" i="6"/>
  <c r="E484" i="6" s="1"/>
  <c r="I485" i="6"/>
  <c r="E485" i="6" s="1"/>
  <c r="I486" i="6"/>
  <c r="E486" i="6" s="1"/>
  <c r="I487" i="6"/>
  <c r="E487" i="6" s="1"/>
  <c r="I488" i="6"/>
  <c r="E488" i="6" s="1"/>
  <c r="I489" i="6"/>
  <c r="E489" i="6" s="1"/>
  <c r="I490" i="6"/>
  <c r="E490" i="6" s="1"/>
  <c r="I491" i="6"/>
  <c r="E491" i="6" s="1"/>
  <c r="I492" i="6"/>
  <c r="E492" i="6" s="1"/>
  <c r="I493" i="6"/>
  <c r="E493" i="6" s="1"/>
  <c r="I494" i="6"/>
  <c r="E494" i="6" s="1"/>
  <c r="I495" i="6"/>
  <c r="E495" i="6" s="1"/>
  <c r="I496" i="6"/>
  <c r="E496" i="6" s="1"/>
  <c r="I497" i="6"/>
  <c r="E497" i="6" s="1"/>
  <c r="I498" i="6"/>
  <c r="E498" i="6" s="1"/>
  <c r="I499" i="6"/>
  <c r="E499" i="6" s="1"/>
  <c r="I500" i="6"/>
  <c r="E500" i="6" s="1"/>
  <c r="I501" i="6"/>
  <c r="E501" i="6" s="1"/>
  <c r="I502" i="6"/>
  <c r="E502" i="6" s="1"/>
  <c r="I503" i="6"/>
  <c r="E503" i="6" s="1"/>
  <c r="I504" i="6"/>
  <c r="E504" i="6" s="1"/>
  <c r="I505" i="6"/>
  <c r="E505" i="6" s="1"/>
  <c r="I506" i="6"/>
  <c r="E506" i="6" s="1"/>
  <c r="I507" i="6"/>
  <c r="E507" i="6" s="1"/>
  <c r="I508" i="6"/>
  <c r="E508" i="6" s="1"/>
  <c r="I509" i="6"/>
  <c r="E509" i="6" s="1"/>
  <c r="I510" i="6"/>
  <c r="E510" i="6" s="1"/>
  <c r="I511" i="6"/>
  <c r="E511" i="6" s="1"/>
  <c r="I512" i="6"/>
  <c r="E512" i="6" s="1"/>
  <c r="I513" i="6"/>
  <c r="E513" i="6" s="1"/>
  <c r="I514" i="6"/>
  <c r="E514" i="6" s="1"/>
  <c r="I515" i="6"/>
  <c r="E515" i="6" s="1"/>
  <c r="I516" i="6"/>
  <c r="E516" i="6" s="1"/>
  <c r="I517" i="6"/>
  <c r="E517" i="6" s="1"/>
  <c r="I518" i="6"/>
  <c r="E518" i="6" s="1"/>
  <c r="I519" i="6"/>
  <c r="E519" i="6" s="1"/>
  <c r="I520" i="6"/>
  <c r="E520" i="6" s="1"/>
  <c r="I521" i="6"/>
  <c r="E521" i="6" s="1"/>
  <c r="I522" i="6"/>
  <c r="E522" i="6" s="1"/>
  <c r="I523" i="6"/>
  <c r="E523" i="6" s="1"/>
  <c r="I524" i="6"/>
  <c r="E524" i="6" s="1"/>
  <c r="I525" i="6"/>
  <c r="E525" i="6" s="1"/>
  <c r="I526" i="6"/>
  <c r="E526" i="6" s="1"/>
  <c r="I527" i="6"/>
  <c r="E527" i="6" s="1"/>
  <c r="I528" i="6"/>
  <c r="E528" i="6" s="1"/>
  <c r="I529" i="6"/>
  <c r="E529" i="6" s="1"/>
  <c r="I530" i="6"/>
  <c r="E530" i="6" s="1"/>
  <c r="I531" i="6"/>
  <c r="E531" i="6" s="1"/>
  <c r="I532" i="6"/>
  <c r="E532" i="6" s="1"/>
  <c r="I533" i="6"/>
  <c r="E533" i="6" s="1"/>
  <c r="I534" i="6"/>
  <c r="E534" i="6" s="1"/>
  <c r="I535" i="6"/>
  <c r="E535" i="6" s="1"/>
  <c r="I536" i="6"/>
  <c r="E536" i="6" s="1"/>
  <c r="I537" i="6"/>
  <c r="E537" i="6" s="1"/>
  <c r="I538" i="6"/>
  <c r="E538" i="6" s="1"/>
  <c r="I539" i="6"/>
  <c r="E539" i="6" s="1"/>
  <c r="I540" i="6"/>
  <c r="E540" i="6" s="1"/>
  <c r="I541" i="6"/>
  <c r="E541" i="6" s="1"/>
  <c r="I542" i="6"/>
  <c r="E542" i="6" s="1"/>
  <c r="I543" i="6"/>
  <c r="E543" i="6" s="1"/>
  <c r="I544" i="6"/>
  <c r="E544" i="6" s="1"/>
  <c r="I545" i="6"/>
  <c r="E545" i="6" s="1"/>
  <c r="I546" i="6"/>
  <c r="E546" i="6" s="1"/>
  <c r="I547" i="6"/>
  <c r="E547" i="6" s="1"/>
  <c r="I548" i="6"/>
  <c r="E548" i="6" s="1"/>
  <c r="I549" i="6"/>
  <c r="E549" i="6" s="1"/>
  <c r="I550" i="6"/>
  <c r="E550" i="6" s="1"/>
  <c r="I551" i="6"/>
  <c r="E551" i="6" s="1"/>
  <c r="I552" i="6"/>
  <c r="E552" i="6" s="1"/>
  <c r="I553" i="6"/>
  <c r="E553" i="6" s="1"/>
  <c r="I554" i="6"/>
  <c r="E554" i="6" s="1"/>
  <c r="I555" i="6"/>
  <c r="E555" i="6" s="1"/>
  <c r="I556" i="6"/>
  <c r="E556" i="6" s="1"/>
  <c r="I557" i="6"/>
  <c r="E557" i="6" s="1"/>
  <c r="I558" i="6"/>
  <c r="E558" i="6" s="1"/>
  <c r="I559" i="6"/>
  <c r="E559" i="6" s="1"/>
  <c r="I560" i="6"/>
  <c r="E560" i="6" s="1"/>
  <c r="I561" i="6"/>
  <c r="E561" i="6" s="1"/>
  <c r="I562" i="6"/>
  <c r="E562" i="6" s="1"/>
  <c r="I563" i="6"/>
  <c r="E563" i="6" s="1"/>
  <c r="I564" i="6"/>
  <c r="E564" i="6" s="1"/>
  <c r="I565" i="6"/>
  <c r="E565" i="6" s="1"/>
  <c r="I566" i="6"/>
  <c r="E566" i="6" s="1"/>
  <c r="I567" i="6"/>
  <c r="E567" i="6" s="1"/>
  <c r="I568" i="6"/>
  <c r="E568" i="6" s="1"/>
  <c r="I569" i="6"/>
  <c r="E569" i="6" s="1"/>
  <c r="I570" i="6"/>
  <c r="E570" i="6" s="1"/>
  <c r="I571" i="6"/>
  <c r="E571" i="6" s="1"/>
  <c r="I572" i="6"/>
  <c r="E572" i="6" s="1"/>
  <c r="I573" i="6"/>
  <c r="E573" i="6" s="1"/>
  <c r="I574" i="6"/>
  <c r="E574" i="6" s="1"/>
  <c r="I575" i="6"/>
  <c r="E575" i="6" s="1"/>
  <c r="I576" i="6"/>
  <c r="E576" i="6" s="1"/>
  <c r="I577" i="6"/>
  <c r="E577" i="6" s="1"/>
  <c r="I578" i="6"/>
  <c r="E578" i="6" s="1"/>
  <c r="I579" i="6"/>
  <c r="E579" i="6" s="1"/>
  <c r="I580" i="6"/>
  <c r="E580" i="6" s="1"/>
  <c r="I581" i="6"/>
  <c r="E581" i="6" s="1"/>
  <c r="I582" i="6"/>
  <c r="E582" i="6" s="1"/>
  <c r="I583" i="6"/>
  <c r="E583" i="6" s="1"/>
  <c r="I584" i="6"/>
  <c r="E584" i="6" s="1"/>
  <c r="I585" i="6"/>
  <c r="E585" i="6" s="1"/>
  <c r="I586" i="6"/>
  <c r="E586" i="6" s="1"/>
  <c r="I587" i="6"/>
  <c r="E587" i="6" s="1"/>
  <c r="I588" i="6"/>
  <c r="E588" i="6" s="1"/>
  <c r="I589" i="6"/>
  <c r="E589" i="6" s="1"/>
  <c r="I590" i="6"/>
  <c r="E590" i="6" s="1"/>
  <c r="I591" i="6"/>
  <c r="E591" i="6" s="1"/>
  <c r="I592" i="6"/>
  <c r="E592" i="6" s="1"/>
  <c r="I593" i="6"/>
  <c r="E593" i="6" s="1"/>
  <c r="I594" i="6"/>
  <c r="E594" i="6" s="1"/>
  <c r="I595" i="6"/>
  <c r="E595" i="6" s="1"/>
  <c r="I596" i="6"/>
  <c r="E596" i="6" s="1"/>
  <c r="I597" i="6"/>
  <c r="E597" i="6" s="1"/>
  <c r="I598" i="6"/>
  <c r="E598" i="6" s="1"/>
  <c r="I599" i="6"/>
  <c r="E599" i="6" s="1"/>
  <c r="I600" i="6"/>
  <c r="E600" i="6" s="1"/>
  <c r="I601" i="6"/>
  <c r="E601" i="6" s="1"/>
  <c r="I602" i="6"/>
  <c r="E602" i="6" s="1"/>
  <c r="I603" i="6"/>
  <c r="E603" i="6" s="1"/>
  <c r="I604" i="6"/>
  <c r="E604" i="6" s="1"/>
  <c r="I605" i="6"/>
  <c r="E605" i="6" s="1"/>
  <c r="I606" i="6"/>
  <c r="E606" i="6" s="1"/>
  <c r="I607" i="6"/>
  <c r="E607" i="6" s="1"/>
  <c r="I608" i="6"/>
  <c r="E608" i="6" s="1"/>
  <c r="I609" i="6"/>
  <c r="E609" i="6" s="1"/>
  <c r="I610" i="6"/>
  <c r="E610" i="6" s="1"/>
  <c r="I611" i="6"/>
  <c r="E611" i="6" s="1"/>
  <c r="I612" i="6"/>
  <c r="E612" i="6" s="1"/>
  <c r="I613" i="6"/>
  <c r="E613" i="6" s="1"/>
  <c r="I614" i="6"/>
  <c r="E614" i="6" s="1"/>
  <c r="I615" i="6"/>
  <c r="E615" i="6" s="1"/>
  <c r="I616" i="6"/>
  <c r="E616" i="6" s="1"/>
  <c r="I617" i="6"/>
  <c r="E617" i="6" s="1"/>
  <c r="I618" i="6"/>
  <c r="E618" i="6" s="1"/>
  <c r="I619" i="6"/>
  <c r="E619" i="6" s="1"/>
  <c r="I620" i="6"/>
  <c r="E620" i="6" s="1"/>
  <c r="I621" i="6"/>
  <c r="E621" i="6" s="1"/>
  <c r="I622" i="6"/>
  <c r="E622" i="6" s="1"/>
  <c r="I623" i="6"/>
  <c r="E623" i="6" s="1"/>
  <c r="I624" i="6"/>
  <c r="E624" i="6" s="1"/>
  <c r="I625" i="6"/>
  <c r="E625" i="6" s="1"/>
  <c r="I626" i="6"/>
  <c r="E626" i="6" s="1"/>
  <c r="I627" i="6"/>
  <c r="E627" i="6" s="1"/>
  <c r="I628" i="6"/>
  <c r="E628" i="6" s="1"/>
  <c r="I629" i="6"/>
  <c r="E629" i="6" s="1"/>
  <c r="I630" i="6"/>
  <c r="E630" i="6" s="1"/>
  <c r="I631" i="6"/>
  <c r="E631" i="6" s="1"/>
  <c r="I632" i="6"/>
  <c r="E632" i="6" s="1"/>
  <c r="I633" i="6"/>
  <c r="E633" i="6" s="1"/>
  <c r="I634" i="6"/>
  <c r="E634" i="6" s="1"/>
  <c r="I635" i="6"/>
  <c r="E635" i="6" s="1"/>
  <c r="I636" i="6"/>
  <c r="E636" i="6" s="1"/>
  <c r="I637" i="6"/>
  <c r="E637" i="6" s="1"/>
  <c r="I638" i="6"/>
  <c r="E638" i="6" s="1"/>
  <c r="I639" i="6"/>
  <c r="E639" i="6" s="1"/>
  <c r="I640" i="6"/>
  <c r="E640" i="6" s="1"/>
  <c r="I641" i="6"/>
  <c r="E641" i="6" s="1"/>
  <c r="I642" i="6"/>
  <c r="E642" i="6" s="1"/>
  <c r="I643" i="6"/>
  <c r="E643" i="6" s="1"/>
  <c r="I644" i="6"/>
  <c r="E644" i="6" s="1"/>
  <c r="I645" i="6"/>
  <c r="E645" i="6" s="1"/>
  <c r="I646" i="6"/>
  <c r="E646" i="6" s="1"/>
  <c r="I647" i="6"/>
  <c r="E647" i="6" s="1"/>
  <c r="I648" i="6"/>
  <c r="E648" i="6" s="1"/>
  <c r="I649" i="6"/>
  <c r="E649" i="6" s="1"/>
  <c r="I650" i="6"/>
  <c r="E650" i="6" s="1"/>
  <c r="I651" i="6"/>
  <c r="E651" i="6" s="1"/>
  <c r="I652" i="6"/>
  <c r="E652" i="6" s="1"/>
  <c r="I653" i="6"/>
  <c r="E653" i="6" s="1"/>
  <c r="I654" i="6"/>
  <c r="E654" i="6" s="1"/>
  <c r="I655" i="6"/>
  <c r="E655" i="6" s="1"/>
  <c r="I656" i="6"/>
  <c r="E656" i="6" s="1"/>
  <c r="I657" i="6"/>
  <c r="E657" i="6" s="1"/>
  <c r="I658" i="6"/>
  <c r="E658" i="6" s="1"/>
  <c r="I659" i="6"/>
  <c r="E659" i="6" s="1"/>
  <c r="I660" i="6"/>
  <c r="E660" i="6" s="1"/>
  <c r="I661" i="6"/>
  <c r="E661" i="6" s="1"/>
  <c r="I662" i="6"/>
  <c r="E662" i="6" s="1"/>
  <c r="I663" i="6"/>
  <c r="E663" i="6" s="1"/>
  <c r="I664" i="6"/>
  <c r="E664" i="6" s="1"/>
  <c r="I665" i="6"/>
  <c r="E665" i="6" s="1"/>
  <c r="I666" i="6"/>
  <c r="E666" i="6" s="1"/>
  <c r="I667" i="6"/>
  <c r="E667" i="6" s="1"/>
  <c r="I668" i="6"/>
  <c r="E668" i="6" s="1"/>
  <c r="I669" i="6"/>
  <c r="E669" i="6" s="1"/>
  <c r="I670" i="6"/>
  <c r="E670" i="6" s="1"/>
  <c r="I671" i="6"/>
  <c r="E671" i="6" s="1"/>
  <c r="I672" i="6"/>
  <c r="E672" i="6" s="1"/>
  <c r="I673" i="6"/>
  <c r="E673" i="6" s="1"/>
  <c r="I674" i="6"/>
  <c r="E674" i="6" s="1"/>
  <c r="I675" i="6"/>
  <c r="E675" i="6" s="1"/>
  <c r="I676" i="6"/>
  <c r="E676" i="6" s="1"/>
  <c r="I677" i="6"/>
  <c r="E677" i="6" s="1"/>
  <c r="I678" i="6"/>
  <c r="E678" i="6" s="1"/>
  <c r="I679" i="6"/>
  <c r="E679" i="6" s="1"/>
  <c r="I680" i="6"/>
  <c r="E680" i="6" s="1"/>
  <c r="I681" i="6"/>
  <c r="E681" i="6" s="1"/>
  <c r="I682" i="6"/>
  <c r="E682" i="6" s="1"/>
  <c r="I683" i="6"/>
  <c r="E683" i="6" s="1"/>
  <c r="I684" i="6"/>
  <c r="E684" i="6" s="1"/>
  <c r="I685" i="6"/>
  <c r="E685" i="6" s="1"/>
  <c r="I686" i="6"/>
  <c r="E686" i="6" s="1"/>
  <c r="I687" i="6"/>
  <c r="E687" i="6" s="1"/>
  <c r="I688" i="6"/>
  <c r="E688" i="6" s="1"/>
  <c r="I689" i="6"/>
  <c r="E689" i="6" s="1"/>
  <c r="I690" i="6"/>
  <c r="E690" i="6" s="1"/>
  <c r="I691" i="6"/>
  <c r="E691" i="6" s="1"/>
  <c r="I692" i="6"/>
  <c r="E692" i="6" s="1"/>
  <c r="I693" i="6"/>
  <c r="E693" i="6" s="1"/>
  <c r="I694" i="6"/>
  <c r="E694" i="6" s="1"/>
  <c r="I695" i="6"/>
  <c r="E695" i="6" s="1"/>
  <c r="I696" i="6"/>
  <c r="E696" i="6" s="1"/>
  <c r="I697" i="6"/>
  <c r="E697" i="6" s="1"/>
  <c r="I698" i="6"/>
  <c r="E698" i="6" s="1"/>
  <c r="I699" i="6"/>
  <c r="E699" i="6" s="1"/>
  <c r="I700" i="6"/>
  <c r="E700" i="6" s="1"/>
  <c r="I701" i="6"/>
  <c r="E701" i="6" s="1"/>
  <c r="I702" i="6"/>
  <c r="E702" i="6" s="1"/>
  <c r="I703" i="6"/>
  <c r="E703" i="6" s="1"/>
  <c r="I704" i="6"/>
  <c r="E704" i="6" s="1"/>
  <c r="I705" i="6"/>
  <c r="E705" i="6" s="1"/>
  <c r="I706" i="6"/>
  <c r="E706" i="6" s="1"/>
  <c r="I707" i="6"/>
  <c r="E707" i="6" s="1"/>
  <c r="I708" i="6"/>
  <c r="E708" i="6" s="1"/>
  <c r="I709" i="6"/>
  <c r="E709" i="6" s="1"/>
  <c r="I710" i="6"/>
  <c r="E710" i="6" s="1"/>
  <c r="I711" i="6"/>
  <c r="E711" i="6" s="1"/>
  <c r="I712" i="6"/>
  <c r="E712" i="6" s="1"/>
  <c r="I713" i="6"/>
  <c r="E713" i="6" s="1"/>
  <c r="I714" i="6"/>
  <c r="E714" i="6" s="1"/>
  <c r="I715" i="6"/>
  <c r="E715" i="6" s="1"/>
  <c r="I716" i="6"/>
  <c r="E716" i="6" s="1"/>
  <c r="I717" i="6"/>
  <c r="E717" i="6" s="1"/>
  <c r="I718" i="6"/>
  <c r="E718" i="6" s="1"/>
  <c r="I719" i="6"/>
  <c r="E719" i="6" s="1"/>
  <c r="I720" i="6"/>
  <c r="E720" i="6" s="1"/>
  <c r="I721" i="6"/>
  <c r="E721" i="6" s="1"/>
  <c r="I722" i="6"/>
  <c r="E722" i="6" s="1"/>
  <c r="I723" i="6"/>
  <c r="E723" i="6" s="1"/>
  <c r="I724" i="6"/>
  <c r="E724" i="6" s="1"/>
  <c r="I725" i="6"/>
  <c r="E725" i="6" s="1"/>
  <c r="I726" i="6"/>
  <c r="E726" i="6" s="1"/>
  <c r="I727" i="6"/>
  <c r="E727" i="6" s="1"/>
  <c r="I728" i="6"/>
  <c r="E728" i="6" s="1"/>
  <c r="I729" i="6"/>
  <c r="E729" i="6" s="1"/>
  <c r="I730" i="6"/>
  <c r="E730" i="6" s="1"/>
  <c r="I731" i="6"/>
  <c r="E731" i="6" s="1"/>
  <c r="I732" i="6"/>
  <c r="E732" i="6" s="1"/>
  <c r="I733" i="6"/>
  <c r="E733" i="6" s="1"/>
  <c r="I734" i="6"/>
  <c r="E734" i="6" s="1"/>
  <c r="I735" i="6"/>
  <c r="E735" i="6" s="1"/>
  <c r="I736" i="6"/>
  <c r="E736" i="6" s="1"/>
  <c r="I737" i="6"/>
  <c r="E737" i="6" s="1"/>
  <c r="I738" i="6"/>
  <c r="E738" i="6" s="1"/>
  <c r="I739" i="6"/>
  <c r="E739" i="6" s="1"/>
  <c r="I740" i="6"/>
  <c r="E740" i="6" s="1"/>
  <c r="I741" i="6"/>
  <c r="E741" i="6" s="1"/>
  <c r="I742" i="6"/>
  <c r="E742" i="6" s="1"/>
  <c r="I743" i="6"/>
  <c r="E743" i="6" s="1"/>
  <c r="I744" i="6"/>
  <c r="E744" i="6" s="1"/>
  <c r="I745" i="6"/>
  <c r="E745" i="6" s="1"/>
  <c r="I746" i="6"/>
  <c r="E746" i="6" s="1"/>
  <c r="I747" i="6"/>
  <c r="E747" i="6" s="1"/>
  <c r="I748" i="6"/>
  <c r="E748" i="6" s="1"/>
  <c r="I749" i="6"/>
  <c r="E749" i="6" s="1"/>
  <c r="I750" i="6"/>
  <c r="E750" i="6" s="1"/>
  <c r="I751" i="6"/>
  <c r="E751" i="6" s="1"/>
  <c r="I752" i="6"/>
  <c r="E752" i="6" s="1"/>
  <c r="I753" i="6"/>
  <c r="E753" i="6" s="1"/>
  <c r="I754" i="6"/>
  <c r="E754" i="6" s="1"/>
  <c r="I755" i="6"/>
  <c r="E755" i="6" s="1"/>
  <c r="I756" i="6"/>
  <c r="E756" i="6" s="1"/>
  <c r="I757" i="6"/>
  <c r="E757" i="6" s="1"/>
  <c r="I758" i="6"/>
  <c r="E758" i="6" s="1"/>
  <c r="I759" i="6"/>
  <c r="E759" i="6" s="1"/>
  <c r="I760" i="6"/>
  <c r="E760" i="6" s="1"/>
  <c r="I761" i="6"/>
  <c r="E761" i="6" s="1"/>
  <c r="I762" i="6"/>
  <c r="E762" i="6" s="1"/>
  <c r="I763" i="6"/>
  <c r="E763" i="6" s="1"/>
  <c r="I764" i="6"/>
  <c r="E764" i="6" s="1"/>
  <c r="I765" i="6"/>
  <c r="E765" i="6" s="1"/>
  <c r="I766" i="6"/>
  <c r="E766" i="6" s="1"/>
  <c r="I767" i="6"/>
  <c r="E767" i="6" s="1"/>
  <c r="I768" i="6"/>
  <c r="E768" i="6" s="1"/>
  <c r="I769" i="6"/>
  <c r="E769" i="6" s="1"/>
  <c r="I770" i="6"/>
  <c r="E770" i="6" s="1"/>
  <c r="I771" i="6"/>
  <c r="E771" i="6" s="1"/>
  <c r="I772" i="6"/>
  <c r="E772" i="6" s="1"/>
  <c r="I773" i="6"/>
  <c r="E773" i="6" s="1"/>
  <c r="I774" i="6"/>
  <c r="E774" i="6" s="1"/>
  <c r="I775" i="6"/>
  <c r="E775" i="6" s="1"/>
  <c r="I776" i="6"/>
  <c r="E776" i="6" s="1"/>
  <c r="I777" i="6"/>
  <c r="E777" i="6" s="1"/>
  <c r="I778" i="6"/>
  <c r="E778" i="6" s="1"/>
  <c r="I779" i="6"/>
  <c r="E779" i="6" s="1"/>
  <c r="I780" i="6"/>
  <c r="E780" i="6" s="1"/>
  <c r="I781" i="6"/>
  <c r="E781" i="6" s="1"/>
  <c r="I782" i="6"/>
  <c r="E782" i="6" s="1"/>
  <c r="I783" i="6"/>
  <c r="E783" i="6" s="1"/>
  <c r="I784" i="6"/>
  <c r="E784" i="6" s="1"/>
  <c r="I785" i="6"/>
  <c r="E785" i="6" s="1"/>
  <c r="I786" i="6"/>
  <c r="E786" i="6" s="1"/>
  <c r="I787" i="6"/>
  <c r="E787" i="6" s="1"/>
  <c r="I788" i="6"/>
  <c r="E788" i="6" s="1"/>
  <c r="I789" i="6"/>
  <c r="E789" i="6" s="1"/>
  <c r="I790" i="6"/>
  <c r="E790" i="6" s="1"/>
  <c r="I791" i="6"/>
  <c r="E791" i="6" s="1"/>
  <c r="I792" i="6"/>
  <c r="E792" i="6" s="1"/>
  <c r="I793" i="6"/>
  <c r="E793" i="6" s="1"/>
  <c r="I794" i="6"/>
  <c r="E794" i="6" s="1"/>
  <c r="I795" i="6"/>
  <c r="E795" i="6" s="1"/>
  <c r="I796" i="6"/>
  <c r="E796" i="6" s="1"/>
  <c r="I797" i="6"/>
  <c r="E797" i="6" s="1"/>
  <c r="I798" i="6"/>
  <c r="E798" i="6" s="1"/>
  <c r="I799" i="6"/>
  <c r="E799" i="6" s="1"/>
  <c r="I800" i="6"/>
  <c r="E800" i="6" s="1"/>
  <c r="I801" i="6"/>
  <c r="E801" i="6" s="1"/>
  <c r="I802" i="6"/>
  <c r="E802" i="6" s="1"/>
  <c r="I803" i="6"/>
  <c r="E803" i="6" s="1"/>
  <c r="I804" i="6"/>
  <c r="E804" i="6" s="1"/>
  <c r="I805" i="6"/>
  <c r="E805" i="6" s="1"/>
  <c r="I806" i="6"/>
  <c r="E806" i="6" s="1"/>
  <c r="I807" i="6"/>
  <c r="E807" i="6" s="1"/>
  <c r="I808" i="6"/>
  <c r="E808" i="6" s="1"/>
  <c r="I809" i="6"/>
  <c r="E809" i="6" s="1"/>
  <c r="I810" i="6"/>
  <c r="E810" i="6" s="1"/>
  <c r="I811" i="6"/>
  <c r="E811" i="6" s="1"/>
  <c r="I812" i="6"/>
  <c r="E812" i="6" s="1"/>
  <c r="I813" i="6"/>
  <c r="E813" i="6" s="1"/>
  <c r="I814" i="6"/>
  <c r="E814" i="6" s="1"/>
  <c r="I815" i="6"/>
  <c r="E815" i="6" s="1"/>
  <c r="I816" i="6"/>
  <c r="E816" i="6" s="1"/>
  <c r="I817" i="6"/>
  <c r="E817" i="6" s="1"/>
  <c r="I818" i="6"/>
  <c r="E818" i="6" s="1"/>
  <c r="I819" i="6"/>
  <c r="E819" i="6" s="1"/>
  <c r="I820" i="6"/>
  <c r="E820" i="6" s="1"/>
  <c r="I821" i="6"/>
  <c r="E821" i="6" s="1"/>
  <c r="I822" i="6"/>
  <c r="E822" i="6" s="1"/>
  <c r="I823" i="6"/>
  <c r="E823" i="6" s="1"/>
  <c r="I824" i="6"/>
  <c r="E824" i="6" s="1"/>
  <c r="I825" i="6"/>
  <c r="E825" i="6" s="1"/>
  <c r="I826" i="6"/>
  <c r="E826" i="6" s="1"/>
  <c r="I827" i="6"/>
  <c r="E827" i="6" s="1"/>
  <c r="I828" i="6"/>
  <c r="E828" i="6" s="1"/>
  <c r="I829" i="6"/>
  <c r="E829" i="6" s="1"/>
  <c r="I830" i="6"/>
  <c r="E830" i="6" s="1"/>
  <c r="I831" i="6"/>
  <c r="E831" i="6" s="1"/>
  <c r="I832" i="6"/>
  <c r="E832" i="6" s="1"/>
  <c r="I833" i="6"/>
  <c r="E833" i="6" s="1"/>
  <c r="I834" i="6"/>
  <c r="E834" i="6" s="1"/>
  <c r="I835" i="6"/>
  <c r="E835" i="6" s="1"/>
  <c r="I836" i="6"/>
  <c r="E836" i="6" s="1"/>
  <c r="I837" i="6"/>
  <c r="E837" i="6" s="1"/>
  <c r="I838" i="6"/>
  <c r="E838" i="6" s="1"/>
  <c r="I839" i="6"/>
  <c r="E839" i="6" s="1"/>
  <c r="I840" i="6"/>
  <c r="E840" i="6" s="1"/>
  <c r="I841" i="6"/>
  <c r="E841" i="6" s="1"/>
  <c r="I842" i="6"/>
  <c r="E842" i="6" s="1"/>
  <c r="I843" i="6"/>
  <c r="E843" i="6" s="1"/>
  <c r="I844" i="6"/>
  <c r="E844" i="6" s="1"/>
  <c r="I845" i="6"/>
  <c r="E845" i="6" s="1"/>
  <c r="I846" i="6"/>
  <c r="E846" i="6" s="1"/>
  <c r="I847" i="6"/>
  <c r="E847" i="6" s="1"/>
  <c r="I848" i="6"/>
  <c r="E848" i="6" s="1"/>
  <c r="I849" i="6"/>
  <c r="E849" i="6" s="1"/>
  <c r="I850" i="6"/>
  <c r="E850" i="6" s="1"/>
  <c r="I851" i="6"/>
  <c r="E851" i="6" s="1"/>
  <c r="I852" i="6"/>
  <c r="E852" i="6" s="1"/>
  <c r="I853" i="6"/>
  <c r="E853" i="6" s="1"/>
  <c r="I854" i="6"/>
  <c r="E854" i="6" s="1"/>
  <c r="I855" i="6"/>
  <c r="E855" i="6" s="1"/>
  <c r="I856" i="6"/>
  <c r="E856" i="6" s="1"/>
  <c r="I857" i="6"/>
  <c r="E857" i="6" s="1"/>
  <c r="I858" i="6"/>
  <c r="E858" i="6" s="1"/>
  <c r="I859" i="6"/>
  <c r="E859" i="6" s="1"/>
  <c r="I860" i="6"/>
  <c r="E860" i="6" s="1"/>
  <c r="I861" i="6"/>
  <c r="E861" i="6" s="1"/>
  <c r="I862" i="6"/>
  <c r="E862" i="6" s="1"/>
  <c r="I863" i="6"/>
  <c r="E863" i="6" s="1"/>
  <c r="I864" i="6"/>
  <c r="E864" i="6" s="1"/>
  <c r="I865" i="6"/>
  <c r="E865" i="6" s="1"/>
  <c r="I866" i="6"/>
  <c r="E866" i="6" s="1"/>
  <c r="I867" i="6"/>
  <c r="E867" i="6" s="1"/>
  <c r="I868" i="6"/>
  <c r="E868" i="6" s="1"/>
  <c r="I869" i="6"/>
  <c r="E869" i="6" s="1"/>
  <c r="I870" i="6"/>
  <c r="E870" i="6" s="1"/>
  <c r="I871" i="6"/>
  <c r="E871" i="6" s="1"/>
  <c r="I872" i="6"/>
  <c r="E872" i="6" s="1"/>
  <c r="I873" i="6"/>
  <c r="E873" i="6" s="1"/>
  <c r="I874" i="6"/>
  <c r="E874" i="6" s="1"/>
  <c r="I875" i="6"/>
  <c r="E875" i="6" s="1"/>
  <c r="I876" i="6"/>
  <c r="E876" i="6" s="1"/>
  <c r="I877" i="6"/>
  <c r="E877" i="6" s="1"/>
  <c r="I878" i="6"/>
  <c r="E878" i="6" s="1"/>
  <c r="I879" i="6"/>
  <c r="E879" i="6" s="1"/>
  <c r="I880" i="6"/>
  <c r="E880" i="6" s="1"/>
  <c r="I881" i="6"/>
  <c r="E881" i="6" s="1"/>
  <c r="I882" i="6"/>
  <c r="E882" i="6" s="1"/>
  <c r="I883" i="6"/>
  <c r="E883" i="6" s="1"/>
  <c r="I884" i="6"/>
  <c r="E884" i="6" s="1"/>
  <c r="I885" i="6"/>
  <c r="E885" i="6" s="1"/>
  <c r="I886" i="6"/>
  <c r="E886" i="6" s="1"/>
  <c r="I887" i="6"/>
  <c r="E887" i="6" s="1"/>
  <c r="I888" i="6"/>
  <c r="E888" i="6" s="1"/>
  <c r="I889" i="6"/>
  <c r="E889" i="6" s="1"/>
  <c r="I890" i="6"/>
  <c r="E890" i="6" s="1"/>
  <c r="I891" i="6"/>
  <c r="E891" i="6" s="1"/>
  <c r="I892" i="6"/>
  <c r="E892" i="6" s="1"/>
  <c r="I893" i="6"/>
  <c r="E893" i="6" s="1"/>
  <c r="I894" i="6"/>
  <c r="E894" i="6" s="1"/>
  <c r="I895" i="6"/>
  <c r="E895" i="6" s="1"/>
  <c r="I896" i="6"/>
  <c r="E896" i="6" s="1"/>
  <c r="I897" i="6"/>
  <c r="E897" i="6" s="1"/>
  <c r="I898" i="6"/>
  <c r="E898" i="6" s="1"/>
  <c r="I899" i="6"/>
  <c r="E899" i="6" s="1"/>
  <c r="I900" i="6"/>
  <c r="E900" i="6" s="1"/>
  <c r="I901" i="6"/>
  <c r="E901" i="6" s="1"/>
  <c r="I902" i="6"/>
  <c r="E902" i="6" s="1"/>
  <c r="I903" i="6"/>
  <c r="E903" i="6" s="1"/>
  <c r="I904" i="6"/>
  <c r="E904" i="6" s="1"/>
  <c r="I905" i="6"/>
  <c r="E905" i="6" s="1"/>
  <c r="I906" i="6"/>
  <c r="E906" i="6" s="1"/>
  <c r="I907" i="6"/>
  <c r="E907" i="6" s="1"/>
  <c r="I908" i="6"/>
  <c r="E908" i="6" s="1"/>
  <c r="I909" i="6"/>
  <c r="E909" i="6" s="1"/>
  <c r="I910" i="6"/>
  <c r="E910" i="6" s="1"/>
  <c r="I911" i="6"/>
  <c r="E911" i="6" s="1"/>
  <c r="I912" i="6"/>
  <c r="E912" i="6" s="1"/>
  <c r="I913" i="6"/>
  <c r="E913" i="6" s="1"/>
  <c r="I914" i="6"/>
  <c r="E914" i="6" s="1"/>
  <c r="I915" i="6"/>
  <c r="E915" i="6" s="1"/>
  <c r="I916" i="6"/>
  <c r="E916" i="6" s="1"/>
  <c r="I917" i="6"/>
  <c r="E917" i="6" s="1"/>
  <c r="I918" i="6"/>
  <c r="E918" i="6" s="1"/>
  <c r="I919" i="6"/>
  <c r="E919" i="6" s="1"/>
  <c r="I920" i="6"/>
  <c r="E920" i="6" s="1"/>
  <c r="I921" i="6"/>
  <c r="E921" i="6" s="1"/>
  <c r="I922" i="6"/>
  <c r="E922" i="6" s="1"/>
  <c r="I923" i="6"/>
  <c r="E923" i="6" s="1"/>
  <c r="I924" i="6"/>
  <c r="E924" i="6" s="1"/>
  <c r="I925" i="6"/>
  <c r="E925" i="6" s="1"/>
  <c r="I926" i="6"/>
  <c r="E926" i="6" s="1"/>
  <c r="I927" i="6"/>
  <c r="E927" i="6" s="1"/>
  <c r="I928" i="6"/>
  <c r="E928" i="6" s="1"/>
  <c r="I929" i="6"/>
  <c r="E929" i="6" s="1"/>
  <c r="I930" i="6"/>
  <c r="E930" i="6" s="1"/>
  <c r="I931" i="6"/>
  <c r="E931" i="6" s="1"/>
  <c r="I932" i="6"/>
  <c r="E932" i="6" s="1"/>
  <c r="I933" i="6"/>
  <c r="E933" i="6" s="1"/>
  <c r="I934" i="6"/>
  <c r="E934" i="6" s="1"/>
  <c r="I935" i="6"/>
  <c r="E935" i="6" s="1"/>
  <c r="I936" i="6"/>
  <c r="E936" i="6" s="1"/>
  <c r="I937" i="6"/>
  <c r="E937" i="6" s="1"/>
  <c r="I938" i="6"/>
  <c r="E938" i="6" s="1"/>
  <c r="I939" i="6"/>
  <c r="E939" i="6" s="1"/>
  <c r="I940" i="6"/>
  <c r="E940" i="6" s="1"/>
  <c r="I941" i="6"/>
  <c r="E941" i="6" s="1"/>
  <c r="I942" i="6"/>
  <c r="E942" i="6" s="1"/>
  <c r="I943" i="6"/>
  <c r="E943" i="6" s="1"/>
  <c r="I944" i="6"/>
  <c r="E944" i="6" s="1"/>
  <c r="I945" i="6"/>
  <c r="E945" i="6" s="1"/>
  <c r="I946" i="6"/>
  <c r="E946" i="6" s="1"/>
  <c r="I947" i="6"/>
  <c r="E947" i="6" s="1"/>
  <c r="I948" i="6"/>
  <c r="E948" i="6" s="1"/>
  <c r="I949" i="6"/>
  <c r="E949" i="6" s="1"/>
  <c r="I950" i="6"/>
  <c r="E950" i="6" s="1"/>
  <c r="I951" i="6"/>
  <c r="E951" i="6" s="1"/>
  <c r="I952" i="6"/>
  <c r="E952" i="6" s="1"/>
  <c r="I953" i="6"/>
  <c r="E953" i="6" s="1"/>
  <c r="I954" i="6"/>
  <c r="E954" i="6" s="1"/>
  <c r="I955" i="6"/>
  <c r="E955" i="6" s="1"/>
  <c r="I956" i="6"/>
  <c r="E956" i="6" s="1"/>
  <c r="I957" i="6"/>
  <c r="E957" i="6" s="1"/>
  <c r="I958" i="6"/>
  <c r="E958" i="6" s="1"/>
  <c r="I959" i="6"/>
  <c r="E959" i="6" s="1"/>
  <c r="I960" i="6"/>
  <c r="E960" i="6" s="1"/>
  <c r="I961" i="6"/>
  <c r="E961" i="6" s="1"/>
  <c r="I962" i="6"/>
  <c r="E962" i="6" s="1"/>
  <c r="I963" i="6"/>
  <c r="E963" i="6" s="1"/>
  <c r="I964" i="6"/>
  <c r="E964" i="6" s="1"/>
  <c r="I965" i="6"/>
  <c r="E965" i="6" s="1"/>
  <c r="I966" i="6"/>
  <c r="E966" i="6" s="1"/>
  <c r="I967" i="6"/>
  <c r="E967" i="6" s="1"/>
  <c r="I968" i="6"/>
  <c r="E968" i="6" s="1"/>
  <c r="I969" i="6"/>
  <c r="E969" i="6" s="1"/>
  <c r="I970" i="6"/>
  <c r="E970" i="6" s="1"/>
  <c r="I971" i="6"/>
  <c r="E971" i="6" s="1"/>
  <c r="I972" i="6"/>
  <c r="E972" i="6" s="1"/>
  <c r="I973" i="6"/>
  <c r="E973" i="6" s="1"/>
  <c r="I974" i="6"/>
  <c r="E974" i="6" s="1"/>
  <c r="I975" i="6"/>
  <c r="E975" i="6" s="1"/>
  <c r="I976" i="6"/>
  <c r="E976" i="6" s="1"/>
  <c r="I977" i="6"/>
  <c r="E977" i="6" s="1"/>
  <c r="I978" i="6"/>
  <c r="E978" i="6" s="1"/>
  <c r="I979" i="6"/>
  <c r="E979" i="6" s="1"/>
  <c r="I980" i="6"/>
  <c r="E980" i="6" s="1"/>
  <c r="I981" i="6"/>
  <c r="E981" i="6" s="1"/>
  <c r="I982" i="6"/>
  <c r="E982" i="6" s="1"/>
  <c r="I983" i="6"/>
  <c r="E983" i="6" s="1"/>
  <c r="I984" i="6"/>
  <c r="E984" i="6" s="1"/>
  <c r="I985" i="6"/>
  <c r="E985" i="6" s="1"/>
  <c r="I986" i="6"/>
  <c r="E986" i="6" s="1"/>
  <c r="I987" i="6"/>
  <c r="E987" i="6" s="1"/>
  <c r="I988" i="6"/>
  <c r="E988" i="6" s="1"/>
  <c r="I989" i="6"/>
  <c r="E989" i="6" s="1"/>
  <c r="I990" i="6"/>
  <c r="E990" i="6" s="1"/>
  <c r="I991" i="6"/>
  <c r="E991" i="6" s="1"/>
  <c r="I992" i="6"/>
  <c r="E992" i="6" s="1"/>
  <c r="I993" i="6"/>
  <c r="E993" i="6" s="1"/>
  <c r="I994" i="6"/>
  <c r="E994" i="6" s="1"/>
  <c r="I995" i="6"/>
  <c r="E995" i="6" s="1"/>
  <c r="I996" i="6"/>
  <c r="E996" i="6" s="1"/>
  <c r="I997" i="6"/>
  <c r="E997" i="6" s="1"/>
  <c r="I998" i="6"/>
  <c r="E998" i="6" s="1"/>
  <c r="I999" i="6"/>
  <c r="E999" i="6" s="1"/>
  <c r="I1000" i="6"/>
  <c r="E1000" i="6" s="1"/>
  <c r="I1001" i="6"/>
  <c r="E1001" i="6" s="1"/>
  <c r="I1002" i="6"/>
  <c r="E1002" i="6" s="1"/>
  <c r="I1003" i="6"/>
  <c r="E1003" i="6" s="1"/>
  <c r="I1004" i="6"/>
  <c r="E1004" i="6" s="1"/>
  <c r="I1005" i="6"/>
  <c r="E1005" i="6" s="1"/>
  <c r="I1006" i="6"/>
  <c r="E1006" i="6" s="1"/>
  <c r="I1007" i="6"/>
  <c r="E1007" i="6" s="1"/>
  <c r="I1008" i="6"/>
  <c r="E1008" i="6" s="1"/>
  <c r="I1009" i="6"/>
  <c r="E1009" i="6" s="1"/>
  <c r="I1010" i="6"/>
  <c r="E1010" i="6" s="1"/>
  <c r="I1011" i="6"/>
  <c r="E1011" i="6" s="1"/>
  <c r="I1012" i="6"/>
  <c r="E1012" i="6" s="1"/>
  <c r="I1013" i="6"/>
  <c r="E1013" i="6" s="1"/>
  <c r="I1014" i="6"/>
  <c r="E1014" i="6" s="1"/>
  <c r="I1015" i="6"/>
  <c r="E1015" i="6" s="1"/>
  <c r="I1016" i="6"/>
  <c r="E1016" i="6" s="1"/>
  <c r="I1017" i="6"/>
  <c r="E1017" i="6" s="1"/>
  <c r="I1018" i="6"/>
  <c r="E1018" i="6" s="1"/>
  <c r="I1019" i="6"/>
  <c r="E1019" i="6" s="1"/>
  <c r="I1020" i="6"/>
  <c r="E1020" i="6" s="1"/>
  <c r="I1021" i="6"/>
  <c r="E1021" i="6" s="1"/>
  <c r="I1022" i="6"/>
  <c r="E1022" i="6" s="1"/>
  <c r="I1023" i="6"/>
  <c r="E1023" i="6" s="1"/>
  <c r="I1024" i="6"/>
  <c r="E1024" i="6" s="1"/>
  <c r="I1025" i="6"/>
  <c r="E1025" i="6" s="1"/>
  <c r="I1026" i="6"/>
  <c r="E1026" i="6" s="1"/>
  <c r="I1027" i="6"/>
  <c r="E1027" i="6" s="1"/>
  <c r="I1028" i="6"/>
  <c r="E1028" i="6" s="1"/>
  <c r="I1029" i="6"/>
  <c r="E1029" i="6" s="1"/>
  <c r="I1030" i="6"/>
  <c r="E1030" i="6" s="1"/>
  <c r="I1031" i="6"/>
  <c r="E1031" i="6" s="1"/>
  <c r="I1032" i="6"/>
  <c r="E1032" i="6" s="1"/>
  <c r="I1033" i="6"/>
  <c r="E1033" i="6" s="1"/>
  <c r="I1034" i="6"/>
  <c r="E1034" i="6" s="1"/>
  <c r="I1035" i="6"/>
  <c r="E1035" i="6" s="1"/>
  <c r="I1036" i="6"/>
  <c r="E1036" i="6" s="1"/>
  <c r="I1037" i="6"/>
  <c r="E1037" i="6" s="1"/>
  <c r="I1038" i="6"/>
  <c r="E1038" i="6" s="1"/>
  <c r="I1039" i="6"/>
  <c r="E1039" i="6" s="1"/>
  <c r="I1040" i="6"/>
  <c r="E1040" i="6" s="1"/>
  <c r="I1041" i="6"/>
  <c r="E1041" i="6" s="1"/>
  <c r="I1042" i="6"/>
  <c r="E1042" i="6" s="1"/>
  <c r="I1043" i="6"/>
  <c r="E1043" i="6" s="1"/>
  <c r="I1044" i="6"/>
  <c r="E1044" i="6" s="1"/>
  <c r="I1045" i="6"/>
  <c r="E1045" i="6" s="1"/>
  <c r="I1046" i="6"/>
  <c r="E1046" i="6" s="1"/>
  <c r="I1047" i="6"/>
  <c r="E1047" i="6" s="1"/>
  <c r="I1048" i="6"/>
  <c r="E1048" i="6" s="1"/>
  <c r="I1049" i="6"/>
  <c r="E1049" i="6" s="1"/>
  <c r="I1050" i="6"/>
  <c r="E1050" i="6" s="1"/>
  <c r="I1051" i="6"/>
  <c r="E1051" i="6" s="1"/>
  <c r="I1052" i="6"/>
  <c r="E1052" i="6" s="1"/>
  <c r="I1053" i="6"/>
  <c r="E1053" i="6" s="1"/>
  <c r="I1054" i="6"/>
  <c r="E1054" i="6" s="1"/>
  <c r="I1055" i="6"/>
  <c r="E1055" i="6" s="1"/>
  <c r="I1056" i="6"/>
  <c r="E1056" i="6" s="1"/>
  <c r="I1057" i="6"/>
  <c r="E1057" i="6" s="1"/>
  <c r="I1058" i="6"/>
  <c r="E1058" i="6" s="1"/>
  <c r="I1059" i="6"/>
  <c r="E1059" i="6" s="1"/>
  <c r="I1060" i="6"/>
  <c r="E1060" i="6" s="1"/>
  <c r="I1061" i="6"/>
  <c r="E1061" i="6" s="1"/>
  <c r="I1062" i="6"/>
  <c r="E1062" i="6" s="1"/>
  <c r="I1063" i="6"/>
  <c r="E1063" i="6" s="1"/>
  <c r="I1064" i="6"/>
  <c r="E1064" i="6" s="1"/>
  <c r="I1065" i="6"/>
  <c r="E1065" i="6" s="1"/>
  <c r="I1066" i="6"/>
  <c r="E1066" i="6" s="1"/>
  <c r="I1067" i="6"/>
  <c r="E1067" i="6" s="1"/>
  <c r="I1068" i="6"/>
  <c r="E1068" i="6" s="1"/>
  <c r="I1069" i="6"/>
  <c r="E1069" i="6" s="1"/>
  <c r="I1070" i="6"/>
  <c r="E1070" i="6" s="1"/>
  <c r="I1071" i="6"/>
  <c r="E1071" i="6" s="1"/>
  <c r="I1072" i="6"/>
  <c r="E1072" i="6" s="1"/>
  <c r="I1073" i="6"/>
  <c r="E1073" i="6" s="1"/>
  <c r="I1074" i="6"/>
  <c r="E1074" i="6" s="1"/>
  <c r="I1075" i="6"/>
  <c r="E1075" i="6" s="1"/>
  <c r="I1076" i="6"/>
  <c r="E1076" i="6" s="1"/>
  <c r="I1077" i="6"/>
  <c r="E1077" i="6" s="1"/>
  <c r="I1078" i="6"/>
  <c r="E1078" i="6" s="1"/>
  <c r="I1079" i="6"/>
  <c r="E1079" i="6" s="1"/>
  <c r="I1080" i="6"/>
  <c r="E1080" i="6" s="1"/>
  <c r="I1081" i="6"/>
  <c r="E1081" i="6" s="1"/>
  <c r="I1082" i="6"/>
  <c r="E1082" i="6" s="1"/>
  <c r="I1083" i="6"/>
  <c r="E1083" i="6" s="1"/>
  <c r="I1084" i="6"/>
  <c r="E1084" i="6" s="1"/>
  <c r="I1085" i="6"/>
  <c r="E1085" i="6" s="1"/>
  <c r="I1086" i="6"/>
  <c r="E1086" i="6" s="1"/>
  <c r="I1087" i="6"/>
  <c r="E1087" i="6" s="1"/>
  <c r="I1088" i="6"/>
  <c r="E1088" i="6" s="1"/>
  <c r="I1089" i="6"/>
  <c r="E1089" i="6" s="1"/>
  <c r="I1090" i="6"/>
  <c r="E1090" i="6" s="1"/>
  <c r="I1091" i="6"/>
  <c r="E1091" i="6" s="1"/>
  <c r="I1092" i="6"/>
  <c r="E1092" i="6" s="1"/>
  <c r="I1093" i="6"/>
  <c r="E1093" i="6" s="1"/>
  <c r="I1094" i="6"/>
  <c r="E1094" i="6" s="1"/>
  <c r="I1095" i="6"/>
  <c r="E1095" i="6" s="1"/>
  <c r="I1096" i="6"/>
  <c r="E1096" i="6" s="1"/>
  <c r="I1097" i="6"/>
  <c r="E1097" i="6" s="1"/>
  <c r="I1098" i="6"/>
  <c r="E1098" i="6" s="1"/>
  <c r="I1099" i="6"/>
  <c r="E1099" i="6" s="1"/>
  <c r="I1100" i="6"/>
  <c r="E1100" i="6" s="1"/>
  <c r="I1101" i="6"/>
  <c r="E1101" i="6" s="1"/>
  <c r="I1102" i="6"/>
  <c r="E1102" i="6" s="1"/>
  <c r="I1103" i="6"/>
  <c r="E1103" i="6" s="1"/>
  <c r="I1104" i="6"/>
  <c r="E1104" i="6" s="1"/>
  <c r="I1105" i="6"/>
  <c r="E1105" i="6" s="1"/>
  <c r="I1106" i="6"/>
  <c r="E1106" i="6" s="1"/>
  <c r="I1107" i="6"/>
  <c r="E1107" i="6" s="1"/>
  <c r="I1108" i="6"/>
  <c r="E1108" i="6" s="1"/>
  <c r="I1109" i="6"/>
  <c r="E1109" i="6" s="1"/>
  <c r="I1110" i="6"/>
  <c r="E1110" i="6" s="1"/>
  <c r="I1111" i="6"/>
  <c r="E1111" i="6" s="1"/>
  <c r="I1112" i="6"/>
  <c r="E1112" i="6" s="1"/>
  <c r="I1113" i="6"/>
  <c r="E1113" i="6" s="1"/>
  <c r="I1114" i="6"/>
  <c r="E1114" i="6" s="1"/>
  <c r="I1115" i="6"/>
  <c r="E1115" i="6" s="1"/>
  <c r="I1116" i="6"/>
  <c r="E1116" i="6" s="1"/>
  <c r="I1117" i="6"/>
  <c r="E1117" i="6" s="1"/>
  <c r="I1118" i="6"/>
  <c r="E1118" i="6" s="1"/>
  <c r="I1119" i="6"/>
  <c r="E1119" i="6" s="1"/>
  <c r="I1120" i="6"/>
  <c r="E1120" i="6" s="1"/>
  <c r="I1121" i="6"/>
  <c r="E1121" i="6" s="1"/>
  <c r="I1122" i="6"/>
  <c r="E1122" i="6" s="1"/>
  <c r="I1123" i="6"/>
  <c r="E1123" i="6" s="1"/>
  <c r="I1124" i="6"/>
  <c r="E1124" i="6" s="1"/>
  <c r="I1125" i="6"/>
  <c r="E1125" i="6" s="1"/>
  <c r="I1126" i="6"/>
  <c r="E1126" i="6" s="1"/>
  <c r="I1127" i="6"/>
  <c r="E1127" i="6" s="1"/>
  <c r="I1128" i="6"/>
  <c r="E1128" i="6" s="1"/>
  <c r="I1129" i="6"/>
  <c r="E1129" i="6" s="1"/>
  <c r="I1130" i="6"/>
  <c r="E1130" i="6" s="1"/>
  <c r="I1131" i="6"/>
  <c r="E1131" i="6" s="1"/>
  <c r="I1132" i="6"/>
  <c r="E1132" i="6" s="1"/>
  <c r="I1133" i="6"/>
  <c r="E1133" i="6" s="1"/>
  <c r="I1134" i="6"/>
  <c r="E1134" i="6" s="1"/>
  <c r="I1135" i="6"/>
  <c r="E1135" i="6" s="1"/>
  <c r="I1136" i="6"/>
  <c r="E1136" i="6" s="1"/>
  <c r="I1137" i="6"/>
  <c r="E1137" i="6" s="1"/>
  <c r="I1138" i="6"/>
  <c r="E1138" i="6" s="1"/>
  <c r="I1139" i="6"/>
  <c r="E1139" i="6" s="1"/>
  <c r="I1140" i="6"/>
  <c r="E1140" i="6" s="1"/>
  <c r="I1141" i="6"/>
  <c r="E1141" i="6" s="1"/>
  <c r="I1142" i="6"/>
  <c r="E1142" i="6" s="1"/>
  <c r="I1143" i="6"/>
  <c r="E1143" i="6" s="1"/>
  <c r="I1144" i="6"/>
  <c r="E1144" i="6" s="1"/>
  <c r="I1145" i="6"/>
  <c r="E1145" i="6" s="1"/>
  <c r="I1146" i="6"/>
  <c r="E1146" i="6" s="1"/>
  <c r="I1147" i="6"/>
  <c r="E1147" i="6" s="1"/>
  <c r="I1148" i="6"/>
  <c r="E1148" i="6" s="1"/>
  <c r="I1149" i="6"/>
  <c r="E1149" i="6" s="1"/>
  <c r="I1150" i="6"/>
  <c r="E1150" i="6" s="1"/>
  <c r="I1151" i="6"/>
  <c r="E1151" i="6" s="1"/>
  <c r="I1152" i="6"/>
  <c r="E1152" i="6" s="1"/>
  <c r="I1153" i="6"/>
  <c r="E1153" i="6" s="1"/>
  <c r="I1154" i="6"/>
  <c r="E1154" i="6" s="1"/>
  <c r="I1155" i="6"/>
  <c r="E1155" i="6" s="1"/>
  <c r="I1156" i="6"/>
  <c r="E1156" i="6" s="1"/>
  <c r="I1157" i="6"/>
  <c r="E1157" i="6" s="1"/>
  <c r="I1158" i="6"/>
  <c r="E1158" i="6" s="1"/>
  <c r="I1159" i="6"/>
  <c r="E1159" i="6" s="1"/>
  <c r="I1160" i="6"/>
  <c r="E1160" i="6" s="1"/>
  <c r="I1161" i="6"/>
  <c r="E1161" i="6" s="1"/>
  <c r="I1162" i="6"/>
  <c r="E1162" i="6" s="1"/>
  <c r="I1163" i="6"/>
  <c r="E1163" i="6" s="1"/>
  <c r="I1164" i="6"/>
  <c r="E1164" i="6" s="1"/>
  <c r="I1165" i="6"/>
  <c r="E1165" i="6" s="1"/>
  <c r="I1166" i="6"/>
  <c r="E1166" i="6" s="1"/>
  <c r="I1167" i="6"/>
  <c r="E1167" i="6" s="1"/>
  <c r="I1168" i="6"/>
  <c r="E1168" i="6" s="1"/>
  <c r="I1169" i="6"/>
  <c r="E1169" i="6" s="1"/>
  <c r="I1170" i="6"/>
  <c r="E1170" i="6" s="1"/>
  <c r="I1171" i="6"/>
  <c r="E1171" i="6" s="1"/>
  <c r="I1172" i="6"/>
  <c r="E1172" i="6" s="1"/>
  <c r="I1173" i="6"/>
  <c r="E1173" i="6" s="1"/>
  <c r="I1174" i="6"/>
  <c r="E1174" i="6" s="1"/>
  <c r="I1175" i="6"/>
  <c r="E1175" i="6" s="1"/>
  <c r="I1176" i="6"/>
  <c r="E1176" i="6" s="1"/>
  <c r="I1177" i="6"/>
  <c r="E1177" i="6" s="1"/>
  <c r="I1178" i="6"/>
  <c r="E1178" i="6" s="1"/>
  <c r="I1179" i="6"/>
  <c r="E1179" i="6" s="1"/>
  <c r="I1180" i="6"/>
  <c r="E1180" i="6" s="1"/>
  <c r="I1181" i="6"/>
  <c r="E1181" i="6" s="1"/>
  <c r="I1182" i="6"/>
  <c r="E1182" i="6" s="1"/>
  <c r="I1183" i="6"/>
  <c r="E1183" i="6" s="1"/>
  <c r="I1184" i="6"/>
  <c r="E1184" i="6" s="1"/>
  <c r="I1185" i="6"/>
  <c r="E1185" i="6" s="1"/>
  <c r="I1186" i="6"/>
  <c r="E1186" i="6" s="1"/>
  <c r="I1187" i="6"/>
  <c r="E1187" i="6" s="1"/>
  <c r="I1188" i="6"/>
  <c r="E1188" i="6" s="1"/>
  <c r="I1189" i="6"/>
  <c r="E1189" i="6" s="1"/>
  <c r="I1190" i="6"/>
  <c r="E1190" i="6" s="1"/>
  <c r="I1191" i="6"/>
  <c r="E1191" i="6" s="1"/>
  <c r="I1192" i="6"/>
  <c r="E1192" i="6" s="1"/>
  <c r="I1193" i="6"/>
  <c r="E1193" i="6" s="1"/>
  <c r="I1194" i="6"/>
  <c r="E1194" i="6" s="1"/>
  <c r="I1195" i="6"/>
  <c r="E1195" i="6" s="1"/>
  <c r="I1196" i="6"/>
  <c r="E1196" i="6" s="1"/>
  <c r="I1197" i="6"/>
  <c r="E1197" i="6" s="1"/>
  <c r="I1198" i="6"/>
  <c r="E1198" i="6" s="1"/>
  <c r="I1199" i="6"/>
  <c r="E1199" i="6" s="1"/>
  <c r="I1200" i="6"/>
  <c r="E1200" i="6" s="1"/>
  <c r="I1201" i="6"/>
  <c r="E1201" i="6" s="1"/>
  <c r="I1202" i="6"/>
  <c r="E1202" i="6" s="1"/>
  <c r="I1203" i="6"/>
  <c r="E1203" i="6" s="1"/>
  <c r="I1204" i="6"/>
  <c r="E1204" i="6" s="1"/>
  <c r="I1205" i="6"/>
  <c r="E1205" i="6" s="1"/>
  <c r="I1206" i="6"/>
  <c r="E1206" i="6" s="1"/>
  <c r="I1207" i="6"/>
  <c r="E1207" i="6" s="1"/>
  <c r="I1208" i="6"/>
  <c r="E1208" i="6" s="1"/>
  <c r="I1209" i="6"/>
  <c r="E1209" i="6" s="1"/>
  <c r="I1210" i="6"/>
  <c r="E1210" i="6" s="1"/>
  <c r="I1211" i="6"/>
  <c r="E1211" i="6" s="1"/>
  <c r="I1212" i="6"/>
  <c r="E1212" i="6" s="1"/>
  <c r="I1213" i="6"/>
  <c r="E1213" i="6" s="1"/>
  <c r="I1214" i="6"/>
  <c r="E1214" i="6" s="1"/>
  <c r="I1215" i="6"/>
  <c r="E1215" i="6" s="1"/>
  <c r="I1216" i="6"/>
  <c r="E1216" i="6" s="1"/>
  <c r="I1217" i="6"/>
  <c r="E1217" i="6" s="1"/>
  <c r="I1218" i="6"/>
  <c r="E1218" i="6" s="1"/>
  <c r="I1219" i="6"/>
  <c r="E1219" i="6" s="1"/>
  <c r="I1220" i="6"/>
  <c r="E1220" i="6" s="1"/>
  <c r="I1221" i="6"/>
  <c r="E1221" i="6" s="1"/>
  <c r="I1222" i="6"/>
  <c r="E1222" i="6" s="1"/>
  <c r="I1223" i="6"/>
  <c r="E1223" i="6" s="1"/>
  <c r="I1224" i="6"/>
  <c r="E1224" i="6" s="1"/>
  <c r="I1225" i="6"/>
  <c r="E1225" i="6" s="1"/>
  <c r="I1226" i="6"/>
  <c r="E1226" i="6" s="1"/>
  <c r="I1227" i="6"/>
  <c r="E1227" i="6" s="1"/>
  <c r="I1228" i="6"/>
  <c r="E1228" i="6" s="1"/>
  <c r="I1229" i="6"/>
  <c r="E1229" i="6" s="1"/>
  <c r="I1230" i="6"/>
  <c r="E1230" i="6" s="1"/>
  <c r="I1231" i="6"/>
  <c r="E1231" i="6" s="1"/>
  <c r="I1232" i="6"/>
  <c r="E1232" i="6" s="1"/>
  <c r="I1233" i="6"/>
  <c r="E1233" i="6" s="1"/>
  <c r="I1234" i="6"/>
  <c r="E1234" i="6" s="1"/>
  <c r="I1235" i="6"/>
  <c r="E1235" i="6" s="1"/>
  <c r="I1236" i="6"/>
  <c r="E1236" i="6" s="1"/>
  <c r="I1237" i="6"/>
  <c r="E1237" i="6" s="1"/>
  <c r="I1238" i="6"/>
  <c r="E1238" i="6" s="1"/>
  <c r="I1239" i="6"/>
  <c r="E1239" i="6" s="1"/>
  <c r="I1240" i="6"/>
  <c r="E1240" i="6" s="1"/>
  <c r="I1241" i="6"/>
  <c r="E1241" i="6" s="1"/>
  <c r="I1242" i="6"/>
  <c r="E1242" i="6" s="1"/>
  <c r="I1243" i="6"/>
  <c r="E1243" i="6" s="1"/>
  <c r="I1244" i="6"/>
  <c r="E1244" i="6" s="1"/>
  <c r="I1245" i="6"/>
  <c r="E1245" i="6" s="1"/>
  <c r="I1246" i="6"/>
  <c r="E1246" i="6" s="1"/>
  <c r="I1247" i="6"/>
  <c r="E1247" i="6" s="1"/>
  <c r="I1248" i="6"/>
  <c r="E1248" i="6" s="1"/>
  <c r="I1249" i="6"/>
  <c r="E1249" i="6" s="1"/>
  <c r="I1250" i="6"/>
  <c r="E1250" i="6" s="1"/>
  <c r="I1251" i="6"/>
  <c r="E1251" i="6" s="1"/>
  <c r="I1252" i="6"/>
  <c r="E1252" i="6" s="1"/>
  <c r="I1253" i="6"/>
  <c r="E1253" i="6" s="1"/>
  <c r="I1254" i="6"/>
  <c r="E1254" i="6" s="1"/>
  <c r="I1255" i="6"/>
  <c r="E1255" i="6" s="1"/>
  <c r="I1256" i="6"/>
  <c r="E1256" i="6" s="1"/>
  <c r="I1257" i="6"/>
  <c r="E1257" i="6" s="1"/>
  <c r="I1258" i="6"/>
  <c r="E1258" i="6" s="1"/>
  <c r="I1259" i="6"/>
  <c r="E1259" i="6" s="1"/>
  <c r="I1260" i="6"/>
  <c r="E1260" i="6" s="1"/>
  <c r="I1261" i="6"/>
  <c r="E1261" i="6" s="1"/>
  <c r="I1262" i="6"/>
  <c r="E1262" i="6" s="1"/>
  <c r="I1263" i="6"/>
  <c r="E1263" i="6" s="1"/>
  <c r="I1264" i="6"/>
  <c r="E1264" i="6" s="1"/>
  <c r="I1265" i="6"/>
  <c r="E1265" i="6" s="1"/>
  <c r="I1266" i="6"/>
  <c r="E1266" i="6" s="1"/>
  <c r="I1267" i="6"/>
  <c r="E1267" i="6" s="1"/>
  <c r="I1268" i="6"/>
  <c r="E1268" i="6" s="1"/>
  <c r="I1269" i="6"/>
  <c r="E1269" i="6" s="1"/>
  <c r="I1270" i="6"/>
  <c r="E1270" i="6" s="1"/>
  <c r="I1271" i="6"/>
  <c r="E1271" i="6" s="1"/>
  <c r="I1272" i="6"/>
  <c r="E1272" i="6" s="1"/>
  <c r="I1273" i="6"/>
  <c r="E1273" i="6" s="1"/>
  <c r="I1274" i="6"/>
  <c r="E1274" i="6" s="1"/>
  <c r="I1275" i="6"/>
  <c r="E1275" i="6" s="1"/>
  <c r="I1276" i="6"/>
  <c r="E1276" i="6" s="1"/>
  <c r="I1277" i="6"/>
  <c r="E1277" i="6" s="1"/>
  <c r="I1278" i="6"/>
  <c r="E1278" i="6" s="1"/>
  <c r="I1279" i="6"/>
  <c r="E1279" i="6" s="1"/>
  <c r="I1280" i="6"/>
  <c r="E1280" i="6" s="1"/>
  <c r="I1281" i="6"/>
  <c r="E1281" i="6" s="1"/>
  <c r="I1282" i="6"/>
  <c r="E1282" i="6" s="1"/>
  <c r="I1283" i="6"/>
  <c r="E1283" i="6" s="1"/>
  <c r="I1284" i="6"/>
  <c r="E1284" i="6" s="1"/>
  <c r="I1285" i="6"/>
  <c r="E1285" i="6" s="1"/>
  <c r="I1286" i="6"/>
  <c r="E1286" i="6" s="1"/>
  <c r="I1287" i="6"/>
  <c r="E1287" i="6" s="1"/>
  <c r="I1288" i="6"/>
  <c r="E1288" i="6" s="1"/>
  <c r="I1289" i="6"/>
  <c r="E1289" i="6" s="1"/>
  <c r="I1290" i="6"/>
  <c r="E1290" i="6" s="1"/>
  <c r="I1291" i="6"/>
  <c r="E1291" i="6" s="1"/>
  <c r="I1292" i="6"/>
  <c r="E1292" i="6" s="1"/>
  <c r="I1293" i="6"/>
  <c r="E1293" i="6" s="1"/>
  <c r="I1294" i="6"/>
  <c r="E1294" i="6" s="1"/>
  <c r="I1295" i="6"/>
  <c r="E1295" i="6" s="1"/>
  <c r="I1296" i="6"/>
  <c r="E1296" i="6" s="1"/>
  <c r="I1297" i="6"/>
  <c r="E1297" i="6" s="1"/>
  <c r="I1298" i="6"/>
  <c r="E1298" i="6" s="1"/>
  <c r="I1299" i="6"/>
  <c r="E1299" i="6" s="1"/>
  <c r="I1300" i="6"/>
  <c r="E1300" i="6" s="1"/>
  <c r="I1301" i="6"/>
  <c r="E1301" i="6" s="1"/>
  <c r="I1302" i="6"/>
  <c r="E1302" i="6" s="1"/>
  <c r="I1303" i="6"/>
  <c r="E1303" i="6" s="1"/>
  <c r="I1304" i="6"/>
  <c r="E1304" i="6" s="1"/>
  <c r="I1305" i="6"/>
  <c r="E1305" i="6" s="1"/>
  <c r="I1306" i="6"/>
  <c r="E1306" i="6" s="1"/>
  <c r="I1307" i="6"/>
  <c r="E1307" i="6" s="1"/>
  <c r="I1308" i="6"/>
  <c r="E1308" i="6" s="1"/>
  <c r="I1309" i="6"/>
  <c r="E1309" i="6" s="1"/>
  <c r="I1310" i="6"/>
  <c r="E1310" i="6" s="1"/>
  <c r="I1311" i="6"/>
  <c r="E1311" i="6" s="1"/>
  <c r="I1312" i="6"/>
  <c r="E1312" i="6" s="1"/>
  <c r="I1313" i="6"/>
  <c r="E1313" i="6" s="1"/>
  <c r="I1314" i="6"/>
  <c r="E1314" i="6" s="1"/>
  <c r="I1315" i="6"/>
  <c r="E1315" i="6" s="1"/>
  <c r="I1316" i="6"/>
  <c r="E1316" i="6" s="1"/>
  <c r="I1317" i="6"/>
  <c r="E1317" i="6" s="1"/>
  <c r="I1318" i="6"/>
  <c r="E1318" i="6" s="1"/>
  <c r="I1319" i="6"/>
  <c r="E1319" i="6" s="1"/>
  <c r="I1320" i="6"/>
  <c r="E1320" i="6" s="1"/>
  <c r="I1321" i="6"/>
  <c r="E1321" i="6" s="1"/>
  <c r="I1322" i="6"/>
  <c r="E1322" i="6" s="1"/>
  <c r="I1323" i="6"/>
  <c r="E1323" i="6" s="1"/>
  <c r="I1324" i="6"/>
  <c r="E1324" i="6" s="1"/>
  <c r="I1325" i="6"/>
  <c r="E1325" i="6" s="1"/>
  <c r="I1326" i="6"/>
  <c r="E1326" i="6" s="1"/>
  <c r="I1327" i="6"/>
  <c r="E1327" i="6" s="1"/>
  <c r="I1328" i="6"/>
  <c r="E1328" i="6" s="1"/>
  <c r="I1329" i="6"/>
  <c r="E1329" i="6" s="1"/>
  <c r="I1330" i="6"/>
  <c r="E1330" i="6" s="1"/>
  <c r="I1331" i="6"/>
  <c r="E1331" i="6" s="1"/>
  <c r="I1332" i="6"/>
  <c r="E1332" i="6" s="1"/>
  <c r="I1333" i="6"/>
  <c r="E1333" i="6" s="1"/>
  <c r="I1334" i="6"/>
  <c r="E1334" i="6" s="1"/>
  <c r="I1335" i="6"/>
  <c r="E1335" i="6" s="1"/>
  <c r="I1336" i="6"/>
  <c r="E1336" i="6" s="1"/>
  <c r="I1337" i="6"/>
  <c r="E1337" i="6" s="1"/>
  <c r="I1338" i="6"/>
  <c r="E1338" i="6" s="1"/>
  <c r="I1339" i="6"/>
  <c r="E1339" i="6" s="1"/>
  <c r="I1340" i="6"/>
  <c r="E1340" i="6" s="1"/>
  <c r="I1341" i="6"/>
  <c r="E1341" i="6" s="1"/>
  <c r="I1342" i="6"/>
  <c r="E1342" i="6" s="1"/>
  <c r="I1343" i="6"/>
  <c r="E1343" i="6" s="1"/>
  <c r="I1344" i="6"/>
  <c r="E1344" i="6" s="1"/>
  <c r="I1345" i="6"/>
  <c r="E1345" i="6" s="1"/>
  <c r="I1346" i="6"/>
  <c r="E1346" i="6" s="1"/>
  <c r="I1347" i="6"/>
  <c r="E1347" i="6" s="1"/>
  <c r="I1348" i="6"/>
  <c r="E1348" i="6" s="1"/>
  <c r="I1349" i="6"/>
  <c r="E1349" i="6" s="1"/>
  <c r="I1350" i="6"/>
  <c r="E1350" i="6" s="1"/>
  <c r="I1351" i="6"/>
  <c r="E1351" i="6" s="1"/>
  <c r="I1352" i="6"/>
  <c r="E1352" i="6" s="1"/>
  <c r="I1353" i="6"/>
  <c r="E1353" i="6" s="1"/>
  <c r="I1354" i="6"/>
  <c r="E1354" i="6" s="1"/>
  <c r="I1355" i="6"/>
  <c r="E1355" i="6" s="1"/>
  <c r="I1356" i="6"/>
  <c r="E1356" i="6" s="1"/>
  <c r="I1357" i="6"/>
  <c r="E1357" i="6" s="1"/>
  <c r="I1358" i="6"/>
  <c r="E1358" i="6" s="1"/>
  <c r="I1359" i="6"/>
  <c r="E1359" i="6" s="1"/>
  <c r="I1360" i="6"/>
  <c r="E1360" i="6" s="1"/>
  <c r="I1361" i="6"/>
  <c r="E1361" i="6" s="1"/>
  <c r="I1362" i="6"/>
  <c r="E1362" i="6" s="1"/>
  <c r="I1363" i="6"/>
  <c r="E1363" i="6" s="1"/>
  <c r="I1364" i="6"/>
  <c r="E1364" i="6" s="1"/>
  <c r="I1365" i="6"/>
  <c r="E1365" i="6" s="1"/>
  <c r="I1366" i="6"/>
  <c r="E1366" i="6" s="1"/>
  <c r="I1367" i="6"/>
  <c r="E1367" i="6" s="1"/>
  <c r="I1368" i="6"/>
  <c r="E1368" i="6" s="1"/>
  <c r="I1369" i="6"/>
  <c r="E1369" i="6" s="1"/>
  <c r="I1370" i="6"/>
  <c r="E1370" i="6" s="1"/>
  <c r="I1371" i="6"/>
  <c r="E1371" i="6" s="1"/>
  <c r="I1372" i="6"/>
  <c r="E1372" i="6" s="1"/>
  <c r="I1373" i="6"/>
  <c r="E1373" i="6" s="1"/>
  <c r="I1374" i="6"/>
  <c r="E1374" i="6" s="1"/>
  <c r="I1375" i="6"/>
  <c r="E1375" i="6" s="1"/>
  <c r="I1376" i="6"/>
  <c r="E1376" i="6" s="1"/>
  <c r="I1377" i="6"/>
  <c r="E1377" i="6" s="1"/>
  <c r="I1378" i="6"/>
  <c r="E1378" i="6" s="1"/>
  <c r="I1379" i="6"/>
  <c r="E1379" i="6" s="1"/>
  <c r="I1380" i="6"/>
  <c r="E1380" i="6" s="1"/>
  <c r="I1381" i="6"/>
  <c r="E1381" i="6" s="1"/>
  <c r="I1382" i="6"/>
  <c r="E1382" i="6" s="1"/>
  <c r="I1383" i="6"/>
  <c r="E1383" i="6" s="1"/>
  <c r="I1384" i="6"/>
  <c r="E1384" i="6" s="1"/>
  <c r="I1385" i="6"/>
  <c r="E1385" i="6" s="1"/>
  <c r="I1386" i="6"/>
  <c r="E1386" i="6" s="1"/>
  <c r="I1387" i="6"/>
  <c r="E1387" i="6" s="1"/>
  <c r="I1388" i="6"/>
  <c r="E1388" i="6" s="1"/>
  <c r="I1389" i="6"/>
  <c r="E1389" i="6" s="1"/>
  <c r="I1390" i="6"/>
  <c r="E1390" i="6" s="1"/>
  <c r="I1391" i="6"/>
  <c r="E1391" i="6" s="1"/>
  <c r="I1392" i="6"/>
  <c r="E1392" i="6" s="1"/>
  <c r="I1393" i="6"/>
  <c r="E1393" i="6" s="1"/>
  <c r="I1394" i="6"/>
  <c r="E1394" i="6" s="1"/>
  <c r="I1395" i="6"/>
  <c r="E1395" i="6" s="1"/>
  <c r="I1396" i="6"/>
  <c r="E1396" i="6" s="1"/>
  <c r="I1397" i="6"/>
  <c r="E1397" i="6" s="1"/>
  <c r="I1398" i="6"/>
  <c r="E1398" i="6" s="1"/>
  <c r="I1399" i="6"/>
  <c r="E1399" i="6" s="1"/>
  <c r="I1400" i="6"/>
  <c r="E1400" i="6" s="1"/>
  <c r="I1401" i="6"/>
  <c r="E1401" i="6" s="1"/>
  <c r="I1402" i="6"/>
  <c r="E1402" i="6" s="1"/>
  <c r="I1403" i="6"/>
  <c r="E1403" i="6" s="1"/>
  <c r="I1404" i="6"/>
  <c r="E1404" i="6" s="1"/>
  <c r="I1405" i="6"/>
  <c r="E1405" i="6" s="1"/>
  <c r="I1406" i="6"/>
  <c r="E1406" i="6" s="1"/>
  <c r="I1407" i="6"/>
  <c r="E1407" i="6" s="1"/>
  <c r="I1408" i="6"/>
  <c r="E1408" i="6" s="1"/>
  <c r="I1409" i="6"/>
  <c r="E1409" i="6" s="1"/>
  <c r="I1410" i="6"/>
  <c r="E1410" i="6" s="1"/>
  <c r="I1411" i="6"/>
  <c r="E1411" i="6" s="1"/>
  <c r="I1412" i="6"/>
  <c r="E1412" i="6" s="1"/>
  <c r="I1413" i="6"/>
  <c r="E1413" i="6" s="1"/>
  <c r="I1414" i="6"/>
  <c r="E1414" i="6" s="1"/>
  <c r="I1415" i="6"/>
  <c r="E1415" i="6" s="1"/>
  <c r="I1416" i="6"/>
  <c r="E1416" i="6" s="1"/>
  <c r="I1417" i="6"/>
  <c r="E1417" i="6" s="1"/>
  <c r="I1418" i="6"/>
  <c r="E1418" i="6" s="1"/>
  <c r="I1419" i="6"/>
  <c r="E1419" i="6" s="1"/>
  <c r="I1420" i="6"/>
  <c r="E1420" i="6" s="1"/>
  <c r="I1421" i="6"/>
  <c r="E1421" i="6" s="1"/>
  <c r="I1422" i="6"/>
  <c r="E1422" i="6" s="1"/>
  <c r="I1423" i="6"/>
  <c r="E1423" i="6" s="1"/>
  <c r="I1424" i="6"/>
  <c r="E1424" i="6" s="1"/>
  <c r="I1425" i="6"/>
  <c r="E1425" i="6" s="1"/>
  <c r="I1426" i="6"/>
  <c r="E1426" i="6" s="1"/>
  <c r="I1427" i="6"/>
  <c r="E1427" i="6" s="1"/>
  <c r="I1428" i="6"/>
  <c r="E1428" i="6" s="1"/>
  <c r="I1429" i="6"/>
  <c r="E1429" i="6" s="1"/>
  <c r="I1430" i="6"/>
  <c r="E1430" i="6" s="1"/>
  <c r="I1431" i="6"/>
  <c r="E1431" i="6" s="1"/>
  <c r="I1432" i="6"/>
  <c r="E1432" i="6" s="1"/>
  <c r="I1433" i="6"/>
  <c r="E1433" i="6" s="1"/>
  <c r="I1434" i="6"/>
  <c r="E1434" i="6" s="1"/>
  <c r="I1435" i="6"/>
  <c r="E1435" i="6" s="1"/>
  <c r="I1436" i="6"/>
  <c r="E1436" i="6" s="1"/>
  <c r="I1437" i="6"/>
  <c r="E1437" i="6" s="1"/>
  <c r="I1438" i="6"/>
  <c r="E1438" i="6" s="1"/>
  <c r="I1439" i="6"/>
  <c r="E1439" i="6" s="1"/>
  <c r="I1440" i="6"/>
  <c r="E1440" i="6" s="1"/>
  <c r="I1441" i="6"/>
  <c r="E1441" i="6" s="1"/>
  <c r="I1442" i="6"/>
  <c r="E1442" i="6" s="1"/>
  <c r="I1443" i="6"/>
  <c r="E1443" i="6" s="1"/>
  <c r="I1444" i="6"/>
  <c r="E1444" i="6" s="1"/>
  <c r="I1445" i="6"/>
  <c r="E1445" i="6" s="1"/>
  <c r="I1446" i="6"/>
  <c r="E1446" i="6" s="1"/>
  <c r="I1447" i="6"/>
  <c r="E1447" i="6" s="1"/>
  <c r="I1448" i="6"/>
  <c r="E1448" i="6" s="1"/>
  <c r="I1449" i="6"/>
  <c r="E1449" i="6" s="1"/>
  <c r="I1450" i="6"/>
  <c r="E1450" i="6" s="1"/>
  <c r="I1451" i="6"/>
  <c r="E1451" i="6" s="1"/>
  <c r="I1452" i="6"/>
  <c r="E1452" i="6" s="1"/>
  <c r="I1453" i="6"/>
  <c r="E1453" i="6" s="1"/>
  <c r="I1454" i="6"/>
  <c r="E1454" i="6" s="1"/>
  <c r="I1455" i="6"/>
  <c r="E1455" i="6" s="1"/>
  <c r="I1456" i="6"/>
  <c r="E1456" i="6" s="1"/>
  <c r="I1457" i="6"/>
  <c r="E1457" i="6" s="1"/>
  <c r="I1458" i="6"/>
  <c r="E1458" i="6" s="1"/>
  <c r="I1459" i="6"/>
  <c r="E1459" i="6" s="1"/>
  <c r="I1460" i="6"/>
  <c r="E1460" i="6" s="1"/>
  <c r="I1461" i="6"/>
  <c r="E1461" i="6" s="1"/>
  <c r="I1462" i="6"/>
  <c r="E1462" i="6" s="1"/>
  <c r="I1463" i="6"/>
  <c r="E1463" i="6" s="1"/>
  <c r="I1464" i="6"/>
  <c r="E1464" i="6" s="1"/>
  <c r="I1465" i="6"/>
  <c r="E1465" i="6" s="1"/>
  <c r="I1466" i="6"/>
  <c r="E1466" i="6" s="1"/>
  <c r="I1467" i="6"/>
  <c r="E1467" i="6" s="1"/>
  <c r="I1468" i="6"/>
  <c r="E1468" i="6" s="1"/>
  <c r="I1469" i="6"/>
  <c r="E1469" i="6" s="1"/>
  <c r="I1470" i="6"/>
  <c r="E1470" i="6" s="1"/>
  <c r="I1471" i="6"/>
  <c r="E1471" i="6" s="1"/>
  <c r="I1472" i="6"/>
  <c r="E1472" i="6" s="1"/>
  <c r="I1473" i="6"/>
  <c r="E1473" i="6" s="1"/>
  <c r="I1474" i="6"/>
  <c r="E1474" i="6" s="1"/>
  <c r="I1475" i="6"/>
  <c r="E1475" i="6" s="1"/>
  <c r="I1476" i="6"/>
  <c r="E1476" i="6" s="1"/>
  <c r="I1477" i="6"/>
  <c r="E1477" i="6" s="1"/>
  <c r="I1478" i="6"/>
  <c r="E1478" i="6" s="1"/>
  <c r="I1479" i="6"/>
  <c r="E1479" i="6" s="1"/>
  <c r="I1480" i="6"/>
  <c r="E1480" i="6" s="1"/>
  <c r="I1481" i="6"/>
  <c r="E1481" i="6" s="1"/>
  <c r="I1482" i="6"/>
  <c r="E1482" i="6" s="1"/>
  <c r="I1483" i="6"/>
  <c r="E1483" i="6" s="1"/>
  <c r="I1484" i="6"/>
  <c r="E1484" i="6" s="1"/>
  <c r="I1485" i="6"/>
  <c r="E1485" i="6" s="1"/>
  <c r="I1486" i="6"/>
  <c r="E1486" i="6" s="1"/>
  <c r="I1487" i="6"/>
  <c r="E1487" i="6" s="1"/>
  <c r="I1488" i="6"/>
  <c r="E1488" i="6" s="1"/>
  <c r="I1489" i="6"/>
  <c r="E1489" i="6" s="1"/>
  <c r="I1490" i="6"/>
  <c r="E1490" i="6" s="1"/>
  <c r="I1491" i="6"/>
  <c r="E1491" i="6" s="1"/>
  <c r="I1492" i="6"/>
  <c r="E1492" i="6" s="1"/>
  <c r="I1493" i="6"/>
  <c r="E1493" i="6" s="1"/>
  <c r="I1494" i="6"/>
  <c r="E1494" i="6" s="1"/>
  <c r="I1495" i="6"/>
  <c r="E1495" i="6" s="1"/>
  <c r="I1496" i="6"/>
  <c r="E1496" i="6" s="1"/>
  <c r="I1497" i="6"/>
  <c r="E1497" i="6" s="1"/>
  <c r="I1498" i="6"/>
  <c r="E1498" i="6" s="1"/>
  <c r="I1499" i="6"/>
  <c r="E1499" i="6" s="1"/>
  <c r="I1500" i="6"/>
  <c r="E1500" i="6" s="1"/>
  <c r="I1501" i="6"/>
  <c r="E1501" i="6" s="1"/>
  <c r="I1502" i="6"/>
  <c r="E1502" i="6" s="1"/>
  <c r="I1503" i="6"/>
  <c r="E1503" i="6" s="1"/>
  <c r="I1504" i="6"/>
  <c r="E1504" i="6" s="1"/>
  <c r="I1505" i="6"/>
  <c r="E1505" i="6" s="1"/>
  <c r="I1506" i="6"/>
  <c r="E1506" i="6" s="1"/>
  <c r="I1507" i="6"/>
  <c r="E1507" i="6" s="1"/>
  <c r="I1508" i="6"/>
  <c r="E1508" i="6" s="1"/>
  <c r="I1509" i="6"/>
  <c r="E1509" i="6" s="1"/>
  <c r="I1510" i="6"/>
  <c r="E1510" i="6" s="1"/>
  <c r="I1511" i="6"/>
  <c r="E1511" i="6" s="1"/>
  <c r="I1512" i="6"/>
  <c r="E1512" i="6" s="1"/>
  <c r="I1513" i="6"/>
  <c r="E1513" i="6" s="1"/>
  <c r="I1514" i="6"/>
  <c r="E1514" i="6" s="1"/>
  <c r="I1515" i="6"/>
  <c r="E1515" i="6" s="1"/>
  <c r="I1516" i="6"/>
  <c r="E1516" i="6" s="1"/>
  <c r="I1517" i="6"/>
  <c r="E1517" i="6" s="1"/>
  <c r="I1518" i="6"/>
  <c r="E1518" i="6" s="1"/>
  <c r="I1519" i="6"/>
  <c r="E1519" i="6" s="1"/>
  <c r="I1520" i="6"/>
  <c r="E1520" i="6" s="1"/>
  <c r="I1521" i="6"/>
  <c r="E1521" i="6" s="1"/>
  <c r="I1522" i="6"/>
  <c r="E1522" i="6" s="1"/>
  <c r="I1523" i="6"/>
  <c r="E1523" i="6" s="1"/>
  <c r="I1524" i="6"/>
  <c r="E1524" i="6" s="1"/>
  <c r="I1525" i="6"/>
  <c r="E1525" i="6" s="1"/>
  <c r="I1526" i="6"/>
  <c r="E1526" i="6" s="1"/>
  <c r="I1527" i="6"/>
  <c r="E1527" i="6" s="1"/>
  <c r="I1528" i="6"/>
  <c r="E1528" i="6" s="1"/>
  <c r="I1529" i="6"/>
  <c r="E1529" i="6" s="1"/>
  <c r="I1530" i="6"/>
  <c r="E1530" i="6" s="1"/>
  <c r="I1531" i="6"/>
  <c r="E1531" i="6" s="1"/>
  <c r="I1532" i="6"/>
  <c r="E1532" i="6" s="1"/>
  <c r="I1533" i="6"/>
  <c r="E1533" i="6" s="1"/>
  <c r="I1534" i="6"/>
  <c r="E1534" i="6" s="1"/>
  <c r="I1535" i="6"/>
  <c r="E1535" i="6" s="1"/>
  <c r="I1536" i="6"/>
  <c r="E1536" i="6" s="1"/>
  <c r="I1537" i="6"/>
  <c r="E1537" i="6" s="1"/>
  <c r="I1538" i="6"/>
  <c r="E1538" i="6" s="1"/>
  <c r="I1539" i="6"/>
  <c r="E1539" i="6" s="1"/>
  <c r="I1540" i="6"/>
  <c r="E1540" i="6" s="1"/>
  <c r="I1541" i="6"/>
  <c r="E1541" i="6" s="1"/>
  <c r="I1542" i="6"/>
  <c r="E1542" i="6" s="1"/>
  <c r="I1543" i="6"/>
  <c r="E1543" i="6" s="1"/>
  <c r="I1544" i="6"/>
  <c r="E1544" i="6" s="1"/>
  <c r="I1545" i="6"/>
  <c r="E1545" i="6" s="1"/>
  <c r="I1546" i="6"/>
  <c r="E1546" i="6" s="1"/>
  <c r="I1547" i="6"/>
  <c r="E1547" i="6" s="1"/>
  <c r="I1548" i="6"/>
  <c r="E1548" i="6" s="1"/>
  <c r="I1549" i="6"/>
  <c r="E1549" i="6" s="1"/>
  <c r="I1550" i="6"/>
  <c r="E1550" i="6" s="1"/>
  <c r="I1551" i="6"/>
  <c r="E1551" i="6" s="1"/>
  <c r="I1552" i="6"/>
  <c r="E1552" i="6" s="1"/>
  <c r="I1553" i="6"/>
  <c r="E1553" i="6" s="1"/>
  <c r="I1554" i="6"/>
  <c r="E1554" i="6" s="1"/>
  <c r="I1555" i="6"/>
  <c r="E1555" i="6" s="1"/>
  <c r="I1556" i="6"/>
  <c r="E1556" i="6" s="1"/>
  <c r="I1557" i="6"/>
  <c r="E1557" i="6" s="1"/>
  <c r="I1558" i="6"/>
  <c r="E1558" i="6" s="1"/>
  <c r="I1559" i="6"/>
  <c r="E1559" i="6" s="1"/>
  <c r="I1560" i="6"/>
  <c r="E1560" i="6" s="1"/>
  <c r="I1561" i="6"/>
  <c r="E1561" i="6" s="1"/>
  <c r="I1562" i="6"/>
  <c r="E1562" i="6" s="1"/>
  <c r="I1563" i="6"/>
  <c r="E1563" i="6" s="1"/>
  <c r="I1564" i="6"/>
  <c r="E1564" i="6" s="1"/>
  <c r="I1565" i="6"/>
  <c r="E1565" i="6" s="1"/>
  <c r="I1566" i="6"/>
  <c r="E1566" i="6" s="1"/>
  <c r="I1567" i="6"/>
  <c r="E1567" i="6" s="1"/>
  <c r="I1568" i="6"/>
  <c r="E1568" i="6" s="1"/>
  <c r="I1569" i="6"/>
  <c r="E1569" i="6" s="1"/>
  <c r="I1570" i="6"/>
  <c r="E1570" i="6" s="1"/>
  <c r="I1571" i="6"/>
  <c r="E1571" i="6" s="1"/>
  <c r="I1572" i="6"/>
  <c r="E1572" i="6" s="1"/>
  <c r="I1573" i="6"/>
  <c r="E1573" i="6" s="1"/>
  <c r="I1574" i="6"/>
  <c r="E1574" i="6" s="1"/>
  <c r="I1575" i="6"/>
  <c r="E1575" i="6" s="1"/>
  <c r="I1576" i="6"/>
  <c r="E1576" i="6" s="1"/>
  <c r="I1577" i="6"/>
  <c r="E1577" i="6" s="1"/>
  <c r="I1578" i="6"/>
  <c r="E1578" i="6" s="1"/>
  <c r="I1579" i="6"/>
  <c r="E1579" i="6" s="1"/>
  <c r="I1580" i="6"/>
  <c r="E1580" i="6" s="1"/>
  <c r="I1581" i="6"/>
  <c r="E1581" i="6" s="1"/>
  <c r="I1582" i="6"/>
  <c r="E1582" i="6" s="1"/>
  <c r="I1583" i="6"/>
  <c r="E1583" i="6" s="1"/>
  <c r="I1584" i="6"/>
  <c r="E1584" i="6" s="1"/>
  <c r="I1585" i="6"/>
  <c r="E1585" i="6" s="1"/>
  <c r="I1586" i="6"/>
  <c r="E1586" i="6" s="1"/>
  <c r="I1587" i="6"/>
  <c r="E1587" i="6" s="1"/>
  <c r="I1588" i="6"/>
  <c r="E1588" i="6" s="1"/>
  <c r="I1589" i="6"/>
  <c r="E1589" i="6" s="1"/>
  <c r="I1590" i="6"/>
  <c r="E1590" i="6" s="1"/>
  <c r="I1591" i="6"/>
  <c r="E1591" i="6" s="1"/>
  <c r="I1592" i="6"/>
  <c r="E1592" i="6" s="1"/>
  <c r="I1593" i="6"/>
  <c r="E1593" i="6" s="1"/>
  <c r="I1594" i="6"/>
  <c r="E1594" i="6" s="1"/>
  <c r="I1595" i="6"/>
  <c r="E1595" i="6" s="1"/>
  <c r="I1596" i="6"/>
  <c r="E1596" i="6" s="1"/>
  <c r="I1597" i="6"/>
  <c r="E1597" i="6" s="1"/>
  <c r="I1598" i="6"/>
  <c r="E1598" i="6" s="1"/>
  <c r="I1599" i="6"/>
  <c r="E1599" i="6" s="1"/>
  <c r="I1600" i="6"/>
  <c r="E1600" i="6" s="1"/>
  <c r="I1601" i="6"/>
  <c r="E1601" i="6" s="1"/>
  <c r="I1602" i="6"/>
  <c r="E1602" i="6" s="1"/>
  <c r="I1603" i="6"/>
  <c r="E1603" i="6" s="1"/>
  <c r="I1604" i="6"/>
  <c r="E1604" i="6" s="1"/>
  <c r="I1605" i="6"/>
  <c r="E1605" i="6" s="1"/>
  <c r="I1606" i="6"/>
  <c r="E1606" i="6" s="1"/>
  <c r="I1607" i="6"/>
  <c r="E1607" i="6" s="1"/>
  <c r="I1608" i="6"/>
  <c r="E1608" i="6" s="1"/>
  <c r="I1609" i="6"/>
  <c r="E1609" i="6" s="1"/>
  <c r="I1610" i="6"/>
  <c r="E1610" i="6" s="1"/>
  <c r="I1611" i="6"/>
  <c r="E1611" i="6" s="1"/>
  <c r="I1612" i="6"/>
  <c r="E1612" i="6" s="1"/>
  <c r="I1613" i="6"/>
  <c r="E1613" i="6" s="1"/>
  <c r="I1614" i="6"/>
  <c r="E1614" i="6" s="1"/>
  <c r="I1615" i="6"/>
  <c r="E1615" i="6" s="1"/>
  <c r="I1616" i="6"/>
  <c r="E1616" i="6" s="1"/>
  <c r="I1617" i="6"/>
  <c r="E1617" i="6" s="1"/>
  <c r="I1618" i="6"/>
  <c r="E1618" i="6" s="1"/>
  <c r="I1619" i="6"/>
  <c r="E1619" i="6" s="1"/>
  <c r="I1620" i="6"/>
  <c r="E1620" i="6" s="1"/>
  <c r="I1621" i="6"/>
  <c r="E1621" i="6" s="1"/>
  <c r="I1622" i="6"/>
  <c r="E1622" i="6" s="1"/>
  <c r="I1623" i="6"/>
  <c r="E1623" i="6" s="1"/>
  <c r="I1624" i="6"/>
  <c r="E1624" i="6" s="1"/>
  <c r="I1625" i="6"/>
  <c r="E1625" i="6" s="1"/>
  <c r="I1626" i="6"/>
  <c r="E1626" i="6" s="1"/>
  <c r="I1627" i="6"/>
  <c r="E1627" i="6" s="1"/>
  <c r="I1628" i="6"/>
  <c r="E1628" i="6" s="1"/>
  <c r="I1629" i="6"/>
  <c r="E1629" i="6" s="1"/>
  <c r="I1630" i="6"/>
  <c r="E1630" i="6" s="1"/>
  <c r="I1631" i="6"/>
  <c r="E1631" i="6" s="1"/>
  <c r="I1632" i="6"/>
  <c r="E1632" i="6" s="1"/>
  <c r="I1633" i="6"/>
  <c r="E1633" i="6" s="1"/>
  <c r="I1634" i="6"/>
  <c r="E1634" i="6" s="1"/>
  <c r="I1635" i="6"/>
  <c r="E1635" i="6" s="1"/>
  <c r="I1636" i="6"/>
  <c r="E1636" i="6" s="1"/>
  <c r="I1637" i="6"/>
  <c r="E1637" i="6" s="1"/>
  <c r="I1638" i="6"/>
  <c r="E1638" i="6" s="1"/>
  <c r="I1639" i="6"/>
  <c r="E1639" i="6" s="1"/>
  <c r="I1640" i="6"/>
  <c r="E1640" i="6" s="1"/>
  <c r="I1641" i="6"/>
  <c r="E1641" i="6" s="1"/>
  <c r="I1642" i="6"/>
  <c r="E1642" i="6" s="1"/>
  <c r="I1643" i="6"/>
  <c r="E1643" i="6" s="1"/>
  <c r="I1644" i="6"/>
  <c r="E1644" i="6" s="1"/>
  <c r="I1645" i="6"/>
  <c r="E1645" i="6" s="1"/>
  <c r="I1646" i="6"/>
  <c r="E1646" i="6" s="1"/>
  <c r="I1647" i="6"/>
  <c r="E1647" i="6" s="1"/>
  <c r="I1648" i="6"/>
  <c r="E1648" i="6" s="1"/>
  <c r="I1649" i="6"/>
  <c r="E1649" i="6" s="1"/>
  <c r="I1650" i="6"/>
  <c r="E1650" i="6" s="1"/>
  <c r="I1651" i="6"/>
  <c r="E1651" i="6" s="1"/>
  <c r="I1652" i="6"/>
  <c r="E1652" i="6" s="1"/>
  <c r="I1653" i="6"/>
  <c r="E1653" i="6" s="1"/>
  <c r="I1654" i="6"/>
  <c r="E1654" i="6" s="1"/>
  <c r="I1655" i="6"/>
  <c r="E1655" i="6" s="1"/>
  <c r="I1656" i="6"/>
  <c r="E1656" i="6" s="1"/>
  <c r="I1657" i="6"/>
  <c r="E1657" i="6" s="1"/>
  <c r="I1658" i="6"/>
  <c r="E1658" i="6" s="1"/>
  <c r="I1659" i="6"/>
  <c r="E1659" i="6" s="1"/>
  <c r="I1660" i="6"/>
  <c r="E1660" i="6" s="1"/>
  <c r="I1661" i="6"/>
  <c r="E1661" i="6" s="1"/>
  <c r="I1662" i="6"/>
  <c r="E1662" i="6" s="1"/>
  <c r="I1663" i="6"/>
  <c r="E1663" i="6" s="1"/>
  <c r="I1664" i="6"/>
  <c r="E1664" i="6" s="1"/>
  <c r="I1665" i="6"/>
  <c r="E1665" i="6" s="1"/>
  <c r="I1666" i="6"/>
  <c r="E1666" i="6" s="1"/>
  <c r="I1667" i="6"/>
  <c r="E1667" i="6" s="1"/>
  <c r="I1668" i="6"/>
  <c r="E1668" i="6" s="1"/>
  <c r="I1669" i="6"/>
  <c r="E1669" i="6" s="1"/>
  <c r="I1670" i="6"/>
  <c r="E1670" i="6" s="1"/>
  <c r="I1671" i="6"/>
  <c r="E1671" i="6" s="1"/>
  <c r="I1672" i="6"/>
  <c r="E1672" i="6" s="1"/>
  <c r="I1673" i="6"/>
  <c r="E1673" i="6" s="1"/>
  <c r="I1674" i="6"/>
  <c r="E1674" i="6" s="1"/>
  <c r="I1675" i="6"/>
  <c r="E1675" i="6" s="1"/>
  <c r="I1676" i="6"/>
  <c r="E1676" i="6" s="1"/>
  <c r="I1677" i="6"/>
  <c r="E1677" i="6" s="1"/>
  <c r="I1678" i="6"/>
  <c r="E1678" i="6" s="1"/>
  <c r="I1679" i="6"/>
  <c r="E1679" i="6" s="1"/>
  <c r="I1680" i="6"/>
  <c r="E1680" i="6" s="1"/>
  <c r="I1681" i="6"/>
  <c r="E1681" i="6" s="1"/>
  <c r="I1682" i="6"/>
  <c r="E1682" i="6" s="1"/>
  <c r="I1683" i="6"/>
  <c r="E1683" i="6" s="1"/>
  <c r="I1684" i="6"/>
  <c r="E1684" i="6" s="1"/>
  <c r="I1685" i="6"/>
  <c r="E1685" i="6" s="1"/>
  <c r="I1686" i="6"/>
  <c r="E1686" i="6" s="1"/>
  <c r="I1687" i="6"/>
  <c r="E1687" i="6" s="1"/>
  <c r="I1688" i="6"/>
  <c r="E1688" i="6" s="1"/>
  <c r="I1689" i="6"/>
  <c r="E1689" i="6" s="1"/>
  <c r="I1690" i="6"/>
  <c r="E1690" i="6" s="1"/>
  <c r="I1691" i="6"/>
  <c r="E1691" i="6" s="1"/>
  <c r="I1692" i="6"/>
  <c r="E1692" i="6" s="1"/>
  <c r="I1693" i="6"/>
  <c r="E1693" i="6" s="1"/>
  <c r="I1694" i="6"/>
  <c r="E1694" i="6" s="1"/>
  <c r="I1695" i="6"/>
  <c r="E1695" i="6" s="1"/>
  <c r="I1696" i="6"/>
  <c r="E1696" i="6" s="1"/>
  <c r="I1697" i="6"/>
  <c r="E1697" i="6" s="1"/>
  <c r="I1698" i="6"/>
  <c r="E1698" i="6" s="1"/>
  <c r="I1699" i="6"/>
  <c r="E1699" i="6" s="1"/>
  <c r="I1700" i="6"/>
  <c r="E1700" i="6" s="1"/>
  <c r="I1701" i="6"/>
  <c r="E1701" i="6" s="1"/>
  <c r="I1702" i="6"/>
  <c r="E1702" i="6" s="1"/>
  <c r="I1703" i="6"/>
  <c r="E1703" i="6" s="1"/>
  <c r="I1704" i="6"/>
  <c r="E1704" i="6" s="1"/>
  <c r="I1705" i="6"/>
  <c r="E1705" i="6" s="1"/>
  <c r="I1706" i="6"/>
  <c r="E1706" i="6" s="1"/>
  <c r="I1707" i="6"/>
  <c r="E1707" i="6" s="1"/>
  <c r="I1708" i="6"/>
  <c r="E1708" i="6" s="1"/>
  <c r="I1709" i="6"/>
  <c r="E1709" i="6" s="1"/>
  <c r="I1710" i="6"/>
  <c r="E1710" i="6" s="1"/>
  <c r="I1711" i="6"/>
  <c r="E1711" i="6" s="1"/>
  <c r="I1712" i="6"/>
  <c r="E1712" i="6" s="1"/>
  <c r="I1713" i="6"/>
  <c r="E1713" i="6" s="1"/>
  <c r="I1714" i="6"/>
  <c r="E1714" i="6" s="1"/>
  <c r="I1715" i="6"/>
  <c r="E1715" i="6" s="1"/>
  <c r="I1716" i="6"/>
  <c r="E1716" i="6" s="1"/>
  <c r="I1717" i="6"/>
  <c r="E1717" i="6" s="1"/>
  <c r="I1718" i="6"/>
  <c r="E1718" i="6" s="1"/>
  <c r="I1719" i="6"/>
  <c r="E1719" i="6" s="1"/>
  <c r="I1720" i="6"/>
  <c r="E1720" i="6" s="1"/>
  <c r="I1721" i="6"/>
  <c r="E1721" i="6" s="1"/>
  <c r="I1722" i="6"/>
  <c r="E1722" i="6" s="1"/>
  <c r="I1723" i="6"/>
  <c r="E1723" i="6" s="1"/>
  <c r="I1724" i="6"/>
  <c r="E1724" i="6" s="1"/>
  <c r="I1725" i="6"/>
  <c r="E1725" i="6" s="1"/>
  <c r="I1726" i="6"/>
  <c r="E1726" i="6" s="1"/>
  <c r="I1727" i="6"/>
  <c r="E1727" i="6" s="1"/>
  <c r="I1728" i="6"/>
  <c r="E1728" i="6" s="1"/>
  <c r="I1729" i="6"/>
  <c r="E1729" i="6" s="1"/>
  <c r="I1730" i="6"/>
  <c r="E1730" i="6" s="1"/>
  <c r="I1731" i="6"/>
  <c r="E1731" i="6" s="1"/>
  <c r="I1732" i="6"/>
  <c r="E1732" i="6" s="1"/>
  <c r="I1733" i="6"/>
  <c r="E1733" i="6" s="1"/>
  <c r="I1734" i="6"/>
  <c r="E1734" i="6" s="1"/>
  <c r="I1735" i="6"/>
  <c r="E1735" i="6" s="1"/>
  <c r="I1736" i="6"/>
  <c r="E1736" i="6" s="1"/>
  <c r="I1737" i="6"/>
  <c r="E1737" i="6" s="1"/>
  <c r="I1738" i="6"/>
  <c r="E1738" i="6" s="1"/>
  <c r="I1739" i="6"/>
  <c r="E1739" i="6" s="1"/>
  <c r="I1740" i="6"/>
  <c r="E1740" i="6" s="1"/>
  <c r="I1741" i="6"/>
  <c r="E1741" i="6" s="1"/>
  <c r="I1742" i="6"/>
  <c r="E1742" i="6" s="1"/>
  <c r="I1743" i="6"/>
  <c r="E1743" i="6" s="1"/>
  <c r="I1744" i="6"/>
  <c r="E1744" i="6" s="1"/>
  <c r="I1745" i="6"/>
  <c r="E1745" i="6" s="1"/>
  <c r="I1746" i="6"/>
  <c r="E1746" i="6" s="1"/>
  <c r="I1747" i="6"/>
  <c r="E1747" i="6" s="1"/>
  <c r="I1748" i="6"/>
  <c r="E1748" i="6" s="1"/>
  <c r="I1749" i="6"/>
  <c r="E1749" i="6" s="1"/>
  <c r="I1750" i="6"/>
  <c r="E1750" i="6" s="1"/>
  <c r="I1751" i="6"/>
  <c r="E1751" i="6" s="1"/>
  <c r="I1752" i="6"/>
  <c r="E1752" i="6" s="1"/>
  <c r="I1753" i="6"/>
  <c r="E1753" i="6" s="1"/>
  <c r="I1754" i="6"/>
  <c r="E1754" i="6" s="1"/>
  <c r="I1755" i="6"/>
  <c r="E1755" i="6" s="1"/>
  <c r="I1756" i="6"/>
  <c r="E1756" i="6" s="1"/>
  <c r="I1757" i="6"/>
  <c r="E1757" i="6" s="1"/>
  <c r="I1758" i="6"/>
  <c r="E1758" i="6" s="1"/>
  <c r="I1759" i="6"/>
  <c r="E1759" i="6" s="1"/>
  <c r="I1760" i="6"/>
  <c r="E1760" i="6" s="1"/>
  <c r="I1761" i="6"/>
  <c r="E1761" i="6" s="1"/>
  <c r="I1762" i="6"/>
  <c r="E1762" i="6" s="1"/>
  <c r="I1763" i="6"/>
  <c r="E1763" i="6" s="1"/>
  <c r="I1764" i="6"/>
  <c r="E1764" i="6" s="1"/>
  <c r="I1765" i="6"/>
  <c r="E1765" i="6" s="1"/>
  <c r="I1766" i="6"/>
  <c r="E1766" i="6" s="1"/>
  <c r="I1767" i="6"/>
  <c r="E1767" i="6" s="1"/>
  <c r="I1768" i="6"/>
  <c r="E1768" i="6" s="1"/>
  <c r="I1769" i="6"/>
  <c r="E1769" i="6" s="1"/>
  <c r="I1770" i="6"/>
  <c r="E1770" i="6" s="1"/>
  <c r="I1771" i="6"/>
  <c r="E1771" i="6" s="1"/>
  <c r="I1772" i="6"/>
  <c r="E1772" i="6" s="1"/>
  <c r="I1773" i="6"/>
  <c r="E1773" i="6" s="1"/>
  <c r="I1774" i="6"/>
  <c r="E1774" i="6" s="1"/>
  <c r="I1775" i="6"/>
  <c r="E1775" i="6" s="1"/>
  <c r="I1776" i="6"/>
  <c r="E1776" i="6" s="1"/>
  <c r="I1777" i="6"/>
  <c r="E1777" i="6" s="1"/>
  <c r="I1778" i="6"/>
  <c r="E1778" i="6" s="1"/>
  <c r="I1779" i="6"/>
  <c r="E1779" i="6" s="1"/>
  <c r="I1780" i="6"/>
  <c r="E1780" i="6" s="1"/>
  <c r="I1781" i="6"/>
  <c r="E1781" i="6" s="1"/>
  <c r="I1782" i="6"/>
  <c r="E1782" i="6" s="1"/>
  <c r="I1783" i="6"/>
  <c r="E1783" i="6" s="1"/>
  <c r="I1784" i="6"/>
  <c r="E1784" i="6" s="1"/>
  <c r="I1785" i="6"/>
  <c r="E1785" i="6" s="1"/>
  <c r="I1786" i="6"/>
  <c r="E1786" i="6" s="1"/>
  <c r="I1787" i="6"/>
  <c r="E1787" i="6" s="1"/>
  <c r="I1788" i="6"/>
  <c r="E1788" i="6" s="1"/>
  <c r="I1789" i="6"/>
  <c r="E1789" i="6" s="1"/>
  <c r="I1790" i="6"/>
  <c r="E1790" i="6" s="1"/>
  <c r="I1791" i="6"/>
  <c r="E1791" i="6" s="1"/>
  <c r="I1792" i="6"/>
  <c r="E1792" i="6" s="1"/>
  <c r="I1793" i="6"/>
  <c r="E1793" i="6" s="1"/>
  <c r="I1794" i="6"/>
  <c r="E1794" i="6" s="1"/>
  <c r="I1795" i="6"/>
  <c r="E1795" i="6" s="1"/>
  <c r="I1796" i="6"/>
  <c r="E1796" i="6" s="1"/>
  <c r="I1797" i="6"/>
  <c r="E1797" i="6" s="1"/>
  <c r="I1798" i="6"/>
  <c r="E1798" i="6" s="1"/>
  <c r="I1799" i="6"/>
  <c r="E1799" i="6" s="1"/>
  <c r="I1800" i="6"/>
  <c r="E1800" i="6" s="1"/>
  <c r="I1801" i="6"/>
  <c r="E1801" i="6" s="1"/>
  <c r="I1802" i="6"/>
  <c r="E1802" i="6" s="1"/>
  <c r="I1803" i="6"/>
  <c r="E1803" i="6" s="1"/>
  <c r="I1804" i="6"/>
  <c r="E1804" i="6" s="1"/>
  <c r="I1805" i="6"/>
  <c r="E1805" i="6" s="1"/>
  <c r="I1806" i="6"/>
  <c r="E1806" i="6" s="1"/>
  <c r="I1807" i="6"/>
  <c r="E1807" i="6" s="1"/>
  <c r="I1808" i="6"/>
  <c r="E1808" i="6" s="1"/>
  <c r="I1809" i="6"/>
  <c r="E1809" i="6" s="1"/>
  <c r="I1810" i="6"/>
  <c r="E1810" i="6" s="1"/>
  <c r="I1811" i="6"/>
  <c r="E1811" i="6" s="1"/>
  <c r="I1812" i="6"/>
  <c r="E1812" i="6" s="1"/>
  <c r="I1813" i="6"/>
  <c r="E1813" i="6" s="1"/>
  <c r="I1814" i="6"/>
  <c r="E1814" i="6" s="1"/>
  <c r="I1815" i="6"/>
  <c r="E1815" i="6" s="1"/>
  <c r="I1816" i="6"/>
  <c r="E1816" i="6" s="1"/>
  <c r="I1817" i="6"/>
  <c r="E1817" i="6" s="1"/>
  <c r="I1818" i="6"/>
  <c r="E1818" i="6" s="1"/>
  <c r="I1819" i="6"/>
  <c r="E1819" i="6" s="1"/>
  <c r="I1820" i="6"/>
  <c r="E1820" i="6" s="1"/>
  <c r="I1821" i="6"/>
  <c r="E1821" i="6" s="1"/>
  <c r="I1822" i="6"/>
  <c r="E1822" i="6" s="1"/>
  <c r="I1823" i="6"/>
  <c r="E1823" i="6" s="1"/>
  <c r="I1824" i="6"/>
  <c r="E1824" i="6" s="1"/>
  <c r="I1825" i="6"/>
  <c r="E1825" i="6" s="1"/>
  <c r="I1826" i="6"/>
  <c r="E1826" i="6" s="1"/>
  <c r="I1827" i="6"/>
  <c r="E1827" i="6" s="1"/>
  <c r="I1828" i="6"/>
  <c r="E1828" i="6" s="1"/>
  <c r="I1829" i="6"/>
  <c r="E1829" i="6" s="1"/>
  <c r="I1830" i="6"/>
  <c r="E1830" i="6" s="1"/>
  <c r="I1831" i="6"/>
  <c r="E1831" i="6" s="1"/>
  <c r="I1832" i="6"/>
  <c r="E1832" i="6" s="1"/>
  <c r="I1833" i="6"/>
  <c r="E1833" i="6" s="1"/>
  <c r="I1834" i="6"/>
  <c r="E1834" i="6" s="1"/>
  <c r="I1835" i="6"/>
  <c r="E1835" i="6" s="1"/>
  <c r="I1836" i="6"/>
  <c r="E1836" i="6" s="1"/>
  <c r="I1837" i="6"/>
  <c r="E1837" i="6" s="1"/>
  <c r="I1838" i="6"/>
  <c r="E1838" i="6" s="1"/>
  <c r="I1839" i="6"/>
  <c r="E1839" i="6" s="1"/>
  <c r="I1840" i="6"/>
  <c r="E1840" i="6" s="1"/>
  <c r="I1841" i="6"/>
  <c r="E1841" i="6" s="1"/>
  <c r="I1842" i="6"/>
  <c r="E1842" i="6" s="1"/>
  <c r="I1843" i="6"/>
  <c r="E1843" i="6" s="1"/>
  <c r="I1844" i="6"/>
  <c r="E1844" i="6" s="1"/>
  <c r="I1845" i="6"/>
  <c r="E1845" i="6" s="1"/>
  <c r="I1846" i="6"/>
  <c r="E1846" i="6" s="1"/>
  <c r="I1847" i="6"/>
  <c r="E1847" i="6" s="1"/>
  <c r="I1848" i="6"/>
  <c r="E1848" i="6" s="1"/>
  <c r="I1849" i="6"/>
  <c r="E1849" i="6" s="1"/>
  <c r="I1850" i="6"/>
  <c r="E1850" i="6" s="1"/>
  <c r="I1851" i="6"/>
  <c r="E1851" i="6" s="1"/>
  <c r="I1852" i="6"/>
  <c r="E1852" i="6" s="1"/>
  <c r="I1853" i="6"/>
  <c r="E1853" i="6" s="1"/>
  <c r="I1854" i="6"/>
  <c r="E1854" i="6" s="1"/>
  <c r="I1855" i="6"/>
  <c r="E1855" i="6" s="1"/>
  <c r="I1856" i="6"/>
  <c r="E1856" i="6" s="1"/>
  <c r="I1857" i="6"/>
  <c r="E1857" i="6" s="1"/>
  <c r="I1858" i="6"/>
  <c r="E1858" i="6" s="1"/>
  <c r="I1859" i="6"/>
  <c r="E1859" i="6" s="1"/>
  <c r="I1860" i="6"/>
  <c r="E1860" i="6" s="1"/>
  <c r="I1861" i="6"/>
  <c r="E1861" i="6" s="1"/>
  <c r="I1862" i="6"/>
  <c r="E1862" i="6" s="1"/>
  <c r="I1863" i="6"/>
  <c r="E1863" i="6" s="1"/>
  <c r="I1864" i="6"/>
  <c r="E1864" i="6" s="1"/>
  <c r="I1865" i="6"/>
  <c r="E1865" i="6" s="1"/>
  <c r="I1866" i="6"/>
  <c r="E1866" i="6" s="1"/>
  <c r="I1867" i="6"/>
  <c r="E1867" i="6" s="1"/>
  <c r="I1868" i="6"/>
  <c r="E1868" i="6" s="1"/>
  <c r="I1869" i="6"/>
  <c r="E1869" i="6" s="1"/>
  <c r="I1870" i="6"/>
  <c r="E1870" i="6" s="1"/>
  <c r="I1871" i="6"/>
  <c r="E1871" i="6" s="1"/>
  <c r="I1872" i="6"/>
  <c r="E1872" i="6" s="1"/>
  <c r="I1873" i="6"/>
  <c r="E1873" i="6" s="1"/>
  <c r="I1874" i="6"/>
  <c r="E1874" i="6" s="1"/>
  <c r="I1875" i="6"/>
  <c r="E1875" i="6" s="1"/>
  <c r="I1876" i="6"/>
  <c r="E1876" i="6" s="1"/>
  <c r="I1877" i="6"/>
  <c r="E1877" i="6" s="1"/>
  <c r="I1878" i="6"/>
  <c r="E1878" i="6" s="1"/>
  <c r="I1879" i="6"/>
  <c r="E1879" i="6" s="1"/>
  <c r="I1880" i="6"/>
  <c r="E1880" i="6" s="1"/>
  <c r="I1881" i="6"/>
  <c r="E1881" i="6" s="1"/>
  <c r="I1882" i="6"/>
  <c r="E1882" i="6" s="1"/>
  <c r="I1883" i="6"/>
  <c r="E1883" i="6" s="1"/>
  <c r="I1884" i="6"/>
  <c r="E1884" i="6" s="1"/>
  <c r="I1885" i="6"/>
  <c r="E1885" i="6" s="1"/>
  <c r="I1886" i="6"/>
  <c r="E1886" i="6" s="1"/>
  <c r="I1887" i="6"/>
  <c r="E1887" i="6" s="1"/>
  <c r="I1888" i="6"/>
  <c r="E1888" i="6" s="1"/>
  <c r="I1889" i="6"/>
  <c r="E1889" i="6" s="1"/>
  <c r="I1890" i="6"/>
  <c r="E1890" i="6" s="1"/>
  <c r="I1891" i="6"/>
  <c r="E1891" i="6" s="1"/>
  <c r="I1892" i="6"/>
  <c r="E1892" i="6" s="1"/>
  <c r="I1893" i="6"/>
  <c r="E1893" i="6" s="1"/>
  <c r="I1894" i="6"/>
  <c r="E1894" i="6" s="1"/>
  <c r="I1895" i="6"/>
  <c r="E1895" i="6" s="1"/>
  <c r="I1896" i="6"/>
  <c r="E1896" i="6" s="1"/>
  <c r="I1897" i="6"/>
  <c r="E1897" i="6" s="1"/>
  <c r="I1898" i="6"/>
  <c r="E1898" i="6" s="1"/>
  <c r="I1899" i="6"/>
  <c r="E1899" i="6" s="1"/>
  <c r="I1900" i="6"/>
  <c r="E1900" i="6" s="1"/>
  <c r="I1901" i="6"/>
  <c r="E1901" i="6" s="1"/>
  <c r="I1902" i="6"/>
  <c r="E1902" i="6" s="1"/>
  <c r="I1903" i="6"/>
  <c r="E1903" i="6" s="1"/>
  <c r="I1904" i="6"/>
  <c r="E1904" i="6" s="1"/>
  <c r="I1905" i="6"/>
  <c r="E1905" i="6" s="1"/>
  <c r="I1906" i="6"/>
  <c r="E1906" i="6" s="1"/>
  <c r="I1907" i="6"/>
  <c r="E1907" i="6" s="1"/>
  <c r="I1908" i="6"/>
  <c r="E1908" i="6" s="1"/>
  <c r="I1909" i="6"/>
  <c r="E1909" i="6" s="1"/>
  <c r="I1910" i="6"/>
  <c r="E1910" i="6" s="1"/>
  <c r="I1911" i="6"/>
  <c r="E1911" i="6" s="1"/>
  <c r="I1912" i="6"/>
  <c r="E1912" i="6" s="1"/>
  <c r="I1913" i="6"/>
  <c r="E1913" i="6" s="1"/>
  <c r="I1914" i="6"/>
  <c r="E1914" i="6" s="1"/>
  <c r="I1915" i="6"/>
  <c r="E1915" i="6" s="1"/>
  <c r="I1916" i="6"/>
  <c r="E1916" i="6" s="1"/>
  <c r="I1917" i="6"/>
  <c r="E1917" i="6" s="1"/>
  <c r="I1918" i="6"/>
  <c r="E1918" i="6" s="1"/>
  <c r="I1919" i="6"/>
  <c r="E1919" i="6" s="1"/>
  <c r="I1920" i="6"/>
  <c r="E1920" i="6" s="1"/>
  <c r="I1921" i="6"/>
  <c r="E1921" i="6" s="1"/>
  <c r="I1922" i="6"/>
  <c r="E1922" i="6" s="1"/>
  <c r="I1923" i="6"/>
  <c r="E1923" i="6" s="1"/>
  <c r="I1924" i="6"/>
  <c r="E1924" i="6" s="1"/>
  <c r="I1925" i="6"/>
  <c r="E1925" i="6" s="1"/>
  <c r="I1926" i="6"/>
  <c r="E1926" i="6" s="1"/>
  <c r="I1927" i="6"/>
  <c r="E1927" i="6" s="1"/>
  <c r="I1928" i="6"/>
  <c r="E1928" i="6" s="1"/>
  <c r="I1929" i="6"/>
  <c r="E1929" i="6" s="1"/>
  <c r="I1930" i="6"/>
  <c r="E1930" i="6" s="1"/>
  <c r="I1931" i="6"/>
  <c r="E1931" i="6" s="1"/>
  <c r="I1932" i="6"/>
  <c r="E1932" i="6" s="1"/>
  <c r="I1933" i="6"/>
  <c r="E1933" i="6" s="1"/>
  <c r="I1934" i="6"/>
  <c r="E1934" i="6" s="1"/>
  <c r="I1935" i="6"/>
  <c r="E1935" i="6" s="1"/>
  <c r="I1936" i="6"/>
  <c r="E1936" i="6" s="1"/>
  <c r="I1937" i="6"/>
  <c r="E1937" i="6" s="1"/>
  <c r="I1938" i="6"/>
  <c r="E1938" i="6" s="1"/>
  <c r="I1939" i="6"/>
  <c r="E1939" i="6" s="1"/>
  <c r="I1940" i="6"/>
  <c r="E1940" i="6" s="1"/>
  <c r="I1941" i="6"/>
  <c r="E1941" i="6" s="1"/>
  <c r="I1942" i="6"/>
  <c r="E1942" i="6" s="1"/>
  <c r="I1943" i="6"/>
  <c r="E1943" i="6" s="1"/>
  <c r="I1944" i="6"/>
  <c r="E1944" i="6" s="1"/>
  <c r="I1945" i="6"/>
  <c r="E1945" i="6" s="1"/>
  <c r="I1946" i="6"/>
  <c r="E1946" i="6" s="1"/>
  <c r="I1947" i="6"/>
  <c r="E1947" i="6" s="1"/>
  <c r="I1948" i="6"/>
  <c r="E1948" i="6" s="1"/>
  <c r="I1949" i="6"/>
  <c r="E1949" i="6" s="1"/>
  <c r="I1950" i="6"/>
  <c r="E1950" i="6" s="1"/>
  <c r="I1951" i="6"/>
  <c r="E1951" i="6" s="1"/>
  <c r="I1952" i="6"/>
  <c r="E1952" i="6" s="1"/>
  <c r="I1953" i="6"/>
  <c r="E1953" i="6" s="1"/>
  <c r="I1954" i="6"/>
  <c r="E1954" i="6" s="1"/>
  <c r="I1955" i="6"/>
  <c r="E1955" i="6" s="1"/>
  <c r="I1956" i="6"/>
  <c r="E1956" i="6" s="1"/>
  <c r="I1957" i="6"/>
  <c r="E1957" i="6" s="1"/>
  <c r="I1958" i="6"/>
  <c r="E1958" i="6" s="1"/>
  <c r="I1959" i="6"/>
  <c r="E1959" i="6" s="1"/>
  <c r="I1960" i="6"/>
  <c r="E1960" i="6" s="1"/>
  <c r="I1961" i="6"/>
  <c r="E1961" i="6" s="1"/>
  <c r="I1962" i="6"/>
  <c r="E1962" i="6" s="1"/>
  <c r="I1963" i="6"/>
  <c r="E1963" i="6" s="1"/>
  <c r="I1964" i="6"/>
  <c r="E1964" i="6" s="1"/>
  <c r="I1965" i="6"/>
  <c r="E1965" i="6" s="1"/>
  <c r="I1966" i="6"/>
  <c r="E1966" i="6" s="1"/>
  <c r="I1967" i="6"/>
  <c r="E1967" i="6" s="1"/>
  <c r="I1968" i="6"/>
  <c r="E1968" i="6" s="1"/>
  <c r="I1969" i="6"/>
  <c r="E1969" i="6" s="1"/>
  <c r="I1970" i="6"/>
  <c r="E1970" i="6" s="1"/>
  <c r="I1971" i="6"/>
  <c r="E1971" i="6" s="1"/>
  <c r="I1972" i="6"/>
  <c r="E1972" i="6" s="1"/>
  <c r="I1973" i="6"/>
  <c r="E1973" i="6" s="1"/>
  <c r="I1974" i="6"/>
  <c r="E1974" i="6" s="1"/>
  <c r="I1975" i="6"/>
  <c r="E1975" i="6" s="1"/>
  <c r="I1976" i="6"/>
  <c r="E1976" i="6" s="1"/>
  <c r="I1977" i="6"/>
  <c r="E1977" i="6" s="1"/>
  <c r="I1978" i="6"/>
  <c r="E1978" i="6" s="1"/>
  <c r="I1979" i="6"/>
  <c r="E1979" i="6" s="1"/>
  <c r="I1980" i="6"/>
  <c r="E1980" i="6" s="1"/>
  <c r="I1981" i="6"/>
  <c r="E1981" i="6" s="1"/>
  <c r="I1982" i="6"/>
  <c r="E1982" i="6" s="1"/>
  <c r="I1983" i="6"/>
  <c r="E1983" i="6" s="1"/>
  <c r="I1984" i="6"/>
  <c r="E1984" i="6" s="1"/>
  <c r="I1985" i="6"/>
  <c r="E1985" i="6" s="1"/>
  <c r="I1986" i="6"/>
  <c r="E1986" i="6" s="1"/>
  <c r="I1987" i="6"/>
  <c r="E1987" i="6" s="1"/>
  <c r="I1988" i="6"/>
  <c r="E1988" i="6" s="1"/>
  <c r="I1989" i="6"/>
  <c r="E1989" i="6" s="1"/>
  <c r="I1990" i="6"/>
  <c r="E1990" i="6" s="1"/>
  <c r="I1991" i="6"/>
  <c r="E1991" i="6" s="1"/>
  <c r="I1992" i="6"/>
  <c r="E1992" i="6" s="1"/>
  <c r="I1993" i="6"/>
  <c r="E1993" i="6" s="1"/>
  <c r="I1994" i="6"/>
  <c r="E1994" i="6" s="1"/>
  <c r="I1995" i="6"/>
  <c r="E1995" i="6" s="1"/>
  <c r="I1996" i="6"/>
  <c r="E1996" i="6" s="1"/>
  <c r="I1997" i="6"/>
  <c r="E1997" i="6" s="1"/>
  <c r="I1998" i="6"/>
  <c r="E1998" i="6" s="1"/>
  <c r="I1999" i="6"/>
  <c r="E1999" i="6" s="1"/>
  <c r="I2000" i="6"/>
  <c r="E2000" i="6" s="1"/>
  <c r="I2001" i="6"/>
  <c r="E2001" i="6" s="1"/>
  <c r="I2002" i="6"/>
  <c r="E2002" i="6" s="1"/>
  <c r="I2003" i="6"/>
  <c r="E2003" i="6" s="1"/>
  <c r="I2004" i="6"/>
  <c r="E2004" i="6" s="1"/>
  <c r="I2005" i="6"/>
  <c r="E2005" i="6" s="1"/>
  <c r="I2006" i="6"/>
  <c r="E2006" i="6" s="1"/>
  <c r="I2007" i="6"/>
  <c r="E2007" i="6" s="1"/>
  <c r="I2008" i="6"/>
  <c r="E2008" i="6" s="1"/>
  <c r="I2009" i="6"/>
  <c r="E2009" i="6" s="1"/>
  <c r="I2010" i="6"/>
  <c r="E2010" i="6" s="1"/>
  <c r="I2011" i="6"/>
  <c r="E2011" i="6" s="1"/>
  <c r="I2012" i="6"/>
  <c r="E2012" i="6" s="1"/>
  <c r="I2013" i="6"/>
  <c r="E2013" i="6" s="1"/>
  <c r="I2014" i="6"/>
  <c r="E2014" i="6" s="1"/>
  <c r="I2015" i="6"/>
  <c r="E2015" i="6" s="1"/>
  <c r="I2016" i="6"/>
  <c r="E2016" i="6" s="1"/>
  <c r="I2017" i="6"/>
  <c r="E2017" i="6" s="1"/>
  <c r="I2018" i="6"/>
  <c r="E2018" i="6" s="1"/>
  <c r="I2019" i="6"/>
  <c r="E2019" i="6" s="1"/>
  <c r="I2020" i="6"/>
  <c r="E2020" i="6" s="1"/>
  <c r="I2021" i="6"/>
  <c r="E2021" i="6" s="1"/>
  <c r="I2022" i="6"/>
  <c r="E2022" i="6" s="1"/>
  <c r="I2023" i="6"/>
  <c r="E2023" i="6" s="1"/>
  <c r="I2024" i="6"/>
  <c r="E2024" i="6" s="1"/>
  <c r="I2025" i="6"/>
  <c r="E2025" i="6" s="1"/>
  <c r="I2026" i="6"/>
  <c r="E2026" i="6" s="1"/>
  <c r="I2027" i="6"/>
  <c r="E2027" i="6" s="1"/>
  <c r="I2028" i="6"/>
  <c r="E2028" i="6" s="1"/>
  <c r="I2029" i="6"/>
  <c r="E2029" i="6" s="1"/>
  <c r="I2030" i="6"/>
  <c r="E2030" i="6" s="1"/>
  <c r="I2031" i="6"/>
  <c r="E2031" i="6" s="1"/>
  <c r="I2032" i="6"/>
  <c r="E2032" i="6" s="1"/>
  <c r="I2033" i="6"/>
  <c r="E2033" i="6" s="1"/>
  <c r="I2034" i="6"/>
  <c r="E2034" i="6" s="1"/>
  <c r="I2035" i="6"/>
  <c r="E2035" i="6" s="1"/>
  <c r="I2036" i="6"/>
  <c r="E2036" i="6" s="1"/>
  <c r="I2037" i="6"/>
  <c r="E2037" i="6" s="1"/>
  <c r="I2038" i="6"/>
  <c r="E2038" i="6" s="1"/>
  <c r="I2039" i="6"/>
  <c r="E2039" i="6" s="1"/>
  <c r="I2040" i="6"/>
  <c r="E2040" i="6" s="1"/>
  <c r="I2041" i="6"/>
  <c r="E2041" i="6" s="1"/>
  <c r="I2042" i="6"/>
  <c r="E2042" i="6" s="1"/>
  <c r="I2043" i="6"/>
  <c r="E2043" i="6" s="1"/>
  <c r="I2044" i="6"/>
  <c r="E2044" i="6" s="1"/>
  <c r="I2045" i="6"/>
  <c r="E2045" i="6" s="1"/>
  <c r="I2046" i="6"/>
  <c r="E2046" i="6" s="1"/>
  <c r="I2047" i="6"/>
  <c r="E2047" i="6" s="1"/>
  <c r="I2048" i="6"/>
  <c r="E2048" i="6" s="1"/>
  <c r="I2049" i="6"/>
  <c r="E2049" i="6" s="1"/>
  <c r="I2050" i="6"/>
  <c r="E2050" i="6" s="1"/>
  <c r="I2051" i="6"/>
  <c r="E2051" i="6" s="1"/>
  <c r="I2052" i="6"/>
  <c r="E2052" i="6" s="1"/>
  <c r="I2053" i="6"/>
  <c r="E2053" i="6" s="1"/>
  <c r="I2054" i="6"/>
  <c r="E2054" i="6" s="1"/>
  <c r="I2055" i="6"/>
  <c r="E2055" i="6" s="1"/>
  <c r="I2056" i="6"/>
  <c r="E2056" i="6" s="1"/>
  <c r="I2057" i="6"/>
  <c r="E2057" i="6" s="1"/>
  <c r="I2058" i="6"/>
  <c r="E2058" i="6" s="1"/>
  <c r="I2059" i="6"/>
  <c r="E2059" i="6" s="1"/>
  <c r="I2060" i="6"/>
  <c r="E2060" i="6" s="1"/>
  <c r="I2061" i="6"/>
  <c r="E2061" i="6" s="1"/>
  <c r="I2062" i="6"/>
  <c r="E2062" i="6" s="1"/>
  <c r="I2063" i="6"/>
  <c r="E2063" i="6" s="1"/>
  <c r="I2064" i="6"/>
  <c r="E2064" i="6" s="1"/>
  <c r="I2065" i="6"/>
  <c r="E2065" i="6" s="1"/>
  <c r="I2066" i="6"/>
  <c r="E2066" i="6" s="1"/>
  <c r="I2067" i="6"/>
  <c r="E2067" i="6" s="1"/>
  <c r="I2068" i="6"/>
  <c r="E2068" i="6" s="1"/>
  <c r="I2069" i="6"/>
  <c r="E2069" i="6" s="1"/>
  <c r="I2070" i="6"/>
  <c r="E2070" i="6" s="1"/>
  <c r="I2071" i="6"/>
  <c r="E2071" i="6" s="1"/>
  <c r="I2072" i="6"/>
  <c r="E2072" i="6" s="1"/>
  <c r="I2073" i="6"/>
  <c r="E2073" i="6" s="1"/>
  <c r="I2074" i="6"/>
  <c r="E2074" i="6" s="1"/>
  <c r="I2075" i="6"/>
  <c r="E2075" i="6" s="1"/>
  <c r="I2076" i="6"/>
  <c r="E2076" i="6" s="1"/>
  <c r="I2077" i="6"/>
  <c r="E2077" i="6" s="1"/>
  <c r="I2078" i="6"/>
  <c r="E2078" i="6" s="1"/>
  <c r="I2079" i="6"/>
  <c r="E2079" i="6" s="1"/>
  <c r="I2080" i="6"/>
  <c r="E2080" i="6" s="1"/>
  <c r="I2081" i="6"/>
  <c r="E2081" i="6" s="1"/>
  <c r="I2082" i="6"/>
  <c r="E2082" i="6" s="1"/>
  <c r="I2083" i="6"/>
  <c r="E2083" i="6" s="1"/>
  <c r="I2084" i="6"/>
  <c r="E2084" i="6" s="1"/>
  <c r="I2085" i="6"/>
  <c r="E2085" i="6" s="1"/>
  <c r="I2086" i="6"/>
  <c r="E2086" i="6" s="1"/>
  <c r="I2087" i="6"/>
  <c r="E2087" i="6" s="1"/>
  <c r="I2088" i="6"/>
  <c r="E2088" i="6" s="1"/>
  <c r="I2089" i="6"/>
  <c r="E2089" i="6" s="1"/>
  <c r="I2090" i="6"/>
  <c r="E2090" i="6" s="1"/>
  <c r="I2091" i="6"/>
  <c r="E2091" i="6" s="1"/>
  <c r="I2092" i="6"/>
  <c r="E2092" i="6" s="1"/>
  <c r="I2093" i="6"/>
  <c r="E2093" i="6" s="1"/>
  <c r="I2094" i="6"/>
  <c r="E2094" i="6" s="1"/>
  <c r="I2095" i="6"/>
  <c r="E2095" i="6" s="1"/>
  <c r="I2096" i="6"/>
  <c r="E2096" i="6" s="1"/>
  <c r="I2097" i="6"/>
  <c r="E2097" i="6" s="1"/>
  <c r="I2098" i="6"/>
  <c r="E2098" i="6" s="1"/>
  <c r="I2099" i="6"/>
  <c r="E2099" i="6" s="1"/>
  <c r="I2100" i="6"/>
  <c r="E2100" i="6" s="1"/>
  <c r="I2101" i="6"/>
  <c r="E2101" i="6" s="1"/>
  <c r="I2102" i="6"/>
  <c r="E2102" i="6" s="1"/>
  <c r="I2103" i="6"/>
  <c r="E2103" i="6" s="1"/>
  <c r="I2104" i="6"/>
  <c r="E2104" i="6" s="1"/>
  <c r="I2105" i="6"/>
  <c r="E2105" i="6" s="1"/>
  <c r="I2106" i="6"/>
  <c r="E2106" i="6" s="1"/>
  <c r="I2107" i="6"/>
  <c r="E2107" i="6" s="1"/>
  <c r="I2108" i="6"/>
  <c r="E2108" i="6" s="1"/>
  <c r="I2109" i="6"/>
  <c r="E2109" i="6" s="1"/>
  <c r="I2110" i="6"/>
  <c r="E2110" i="6" s="1"/>
  <c r="I2111" i="6"/>
  <c r="E2111" i="6" s="1"/>
  <c r="I2112" i="6"/>
  <c r="E2112" i="6" s="1"/>
  <c r="I2113" i="6"/>
  <c r="E2113" i="6" s="1"/>
  <c r="I2114" i="6"/>
  <c r="E2114" i="6" s="1"/>
  <c r="I2115" i="6"/>
  <c r="E2115" i="6" s="1"/>
  <c r="I2116" i="6"/>
  <c r="E2116" i="6" s="1"/>
  <c r="I2117" i="6"/>
  <c r="E2117" i="6" s="1"/>
  <c r="I2118" i="6"/>
  <c r="E2118" i="6" s="1"/>
  <c r="I2119" i="6"/>
  <c r="E2119" i="6" s="1"/>
  <c r="I2120" i="6"/>
  <c r="E2120" i="6" s="1"/>
  <c r="I2121" i="6"/>
  <c r="E2121" i="6" s="1"/>
  <c r="I2122" i="6"/>
  <c r="E2122" i="6" s="1"/>
  <c r="I2123" i="6"/>
  <c r="E2123" i="6" s="1"/>
  <c r="I2124" i="6"/>
  <c r="E2124" i="6" s="1"/>
  <c r="I2125" i="6"/>
  <c r="E2125" i="6" s="1"/>
  <c r="I2126" i="6"/>
  <c r="E2126" i="6" s="1"/>
  <c r="I2127" i="6"/>
  <c r="E2127" i="6" s="1"/>
  <c r="I2128" i="6"/>
  <c r="E2128" i="6" s="1"/>
  <c r="I2129" i="6"/>
  <c r="E2129" i="6" s="1"/>
  <c r="I2130" i="6"/>
  <c r="E2130" i="6" s="1"/>
  <c r="I2131" i="6"/>
  <c r="E2131" i="6" s="1"/>
  <c r="I2132" i="6"/>
  <c r="E2132" i="6" s="1"/>
  <c r="I2133" i="6"/>
  <c r="E2133" i="6" s="1"/>
  <c r="I2134" i="6"/>
  <c r="E2134" i="6" s="1"/>
  <c r="I2135" i="6"/>
  <c r="E2135" i="6" s="1"/>
  <c r="I2136" i="6"/>
  <c r="E2136" i="6" s="1"/>
  <c r="I2137" i="6"/>
  <c r="E2137" i="6" s="1"/>
  <c r="I2138" i="6"/>
  <c r="E2138" i="6" s="1"/>
  <c r="I2139" i="6"/>
  <c r="E2139" i="6" s="1"/>
  <c r="I2140" i="6"/>
  <c r="E2140" i="6" s="1"/>
  <c r="I2141" i="6"/>
  <c r="E2141" i="6" s="1"/>
  <c r="I2142" i="6"/>
  <c r="E2142" i="6" s="1"/>
  <c r="I2143" i="6"/>
  <c r="E2143" i="6" s="1"/>
  <c r="I2144" i="6"/>
  <c r="E2144" i="6" s="1"/>
  <c r="I2145" i="6"/>
  <c r="E2145" i="6" s="1"/>
  <c r="I2146" i="6"/>
  <c r="E2146" i="6" s="1"/>
  <c r="I2147" i="6"/>
  <c r="E2147" i="6" s="1"/>
  <c r="I2148" i="6"/>
  <c r="E2148" i="6" s="1"/>
  <c r="I2149" i="6"/>
  <c r="E2149" i="6" s="1"/>
  <c r="I2150" i="6"/>
  <c r="E2150" i="6" s="1"/>
  <c r="I2151" i="6"/>
  <c r="E2151" i="6" s="1"/>
  <c r="I2152" i="6"/>
  <c r="E2152" i="6" s="1"/>
  <c r="I2153" i="6"/>
  <c r="E2153" i="6" s="1"/>
  <c r="I2154" i="6"/>
  <c r="E2154" i="6" s="1"/>
  <c r="I2155" i="6"/>
  <c r="E2155" i="6" s="1"/>
  <c r="I2156" i="6"/>
  <c r="E2156" i="6" s="1"/>
  <c r="I2157" i="6"/>
  <c r="E2157" i="6" s="1"/>
  <c r="I2158" i="6"/>
  <c r="E2158" i="6" s="1"/>
  <c r="I2159" i="6"/>
  <c r="E2159" i="6" s="1"/>
  <c r="I2160" i="6"/>
  <c r="E2160" i="6" s="1"/>
  <c r="I2161" i="6"/>
  <c r="E2161" i="6" s="1"/>
  <c r="I2162" i="6"/>
  <c r="E2162" i="6" s="1"/>
  <c r="I2163" i="6"/>
  <c r="E2163" i="6" s="1"/>
  <c r="I2164" i="6"/>
  <c r="E2164" i="6" s="1"/>
  <c r="I2165" i="6"/>
  <c r="E2165" i="6" s="1"/>
  <c r="I2166" i="6"/>
  <c r="E2166" i="6" s="1"/>
  <c r="I2167" i="6"/>
  <c r="E2167" i="6" s="1"/>
  <c r="I2168" i="6"/>
  <c r="E2168" i="6" s="1"/>
  <c r="I2169" i="6"/>
  <c r="E2169" i="6" s="1"/>
  <c r="I2170" i="6"/>
  <c r="E2170" i="6" s="1"/>
  <c r="I2171" i="6"/>
  <c r="E2171" i="6" s="1"/>
  <c r="I2172" i="6"/>
  <c r="E2172" i="6" s="1"/>
  <c r="I2173" i="6"/>
  <c r="E2173" i="6" s="1"/>
  <c r="I2174" i="6"/>
  <c r="E2174" i="6" s="1"/>
  <c r="I2175" i="6"/>
  <c r="E2175" i="6" s="1"/>
  <c r="I2176" i="6"/>
  <c r="E2176" i="6" s="1"/>
  <c r="I2177" i="6"/>
  <c r="E2177" i="6" s="1"/>
  <c r="I2178" i="6"/>
  <c r="E2178" i="6" s="1"/>
  <c r="I2179" i="6"/>
  <c r="E2179" i="6" s="1"/>
  <c r="I2180" i="6"/>
  <c r="E2180" i="6" s="1"/>
  <c r="I2181" i="6"/>
  <c r="E2181" i="6" s="1"/>
  <c r="I2182" i="6"/>
  <c r="E2182" i="6" s="1"/>
  <c r="I2183" i="6"/>
  <c r="E2183" i="6" s="1"/>
  <c r="I2184" i="6"/>
  <c r="E2184" i="6" s="1"/>
  <c r="I2185" i="6"/>
  <c r="E2185" i="6" s="1"/>
  <c r="I2186" i="6"/>
  <c r="E2186" i="6" s="1"/>
  <c r="I2187" i="6"/>
  <c r="E2187" i="6" s="1"/>
  <c r="I2188" i="6"/>
  <c r="E2188" i="6" s="1"/>
  <c r="I2189" i="6"/>
  <c r="E2189" i="6" s="1"/>
  <c r="I2190" i="6"/>
  <c r="E2190" i="6" s="1"/>
  <c r="I2191" i="6"/>
  <c r="E2191" i="6" s="1"/>
  <c r="I2192" i="6"/>
  <c r="E2192" i="6" s="1"/>
  <c r="I2193" i="6"/>
  <c r="E2193" i="6" s="1"/>
  <c r="I2194" i="6"/>
  <c r="E2194" i="6" s="1"/>
  <c r="I2195" i="6"/>
  <c r="E2195" i="6" s="1"/>
  <c r="I2196" i="6"/>
  <c r="E2196" i="6" s="1"/>
  <c r="I2197" i="6"/>
  <c r="E2197" i="6" s="1"/>
  <c r="I2198" i="6"/>
  <c r="E2198" i="6" s="1"/>
  <c r="I2199" i="6"/>
  <c r="E2199" i="6" s="1"/>
  <c r="I2200" i="6"/>
  <c r="E2200" i="6" s="1"/>
  <c r="I2201" i="6"/>
  <c r="E2201" i="6" s="1"/>
  <c r="I2202" i="6"/>
  <c r="E2202" i="6" s="1"/>
  <c r="I2203" i="6"/>
  <c r="E2203" i="6" s="1"/>
  <c r="I2204" i="6"/>
  <c r="E2204" i="6" s="1"/>
  <c r="I2205" i="6"/>
  <c r="E2205" i="6" s="1"/>
  <c r="I2206" i="6"/>
  <c r="E2206" i="6" s="1"/>
  <c r="I2207" i="6"/>
  <c r="E2207" i="6" s="1"/>
  <c r="I2208" i="6"/>
  <c r="E2208" i="6" s="1"/>
  <c r="I2209" i="6"/>
  <c r="E2209" i="6" s="1"/>
  <c r="I2210" i="6"/>
  <c r="E2210" i="6" s="1"/>
  <c r="I2211" i="6"/>
  <c r="E2211" i="6" s="1"/>
  <c r="I2212" i="6"/>
  <c r="E2212" i="6" s="1"/>
  <c r="I2213" i="6"/>
  <c r="E2213" i="6" s="1"/>
  <c r="I2214" i="6"/>
  <c r="E2214" i="6" s="1"/>
  <c r="I2215" i="6"/>
  <c r="E2215" i="6" s="1"/>
  <c r="I2216" i="6"/>
  <c r="E2216" i="6" s="1"/>
  <c r="I2217" i="6"/>
  <c r="E2217" i="6" s="1"/>
  <c r="I2218" i="6"/>
  <c r="E2218" i="6" s="1"/>
  <c r="I2219" i="6"/>
  <c r="E2219" i="6" s="1"/>
  <c r="I2220" i="6"/>
  <c r="E2220" i="6" s="1"/>
  <c r="I2221" i="6"/>
  <c r="E2221" i="6" s="1"/>
  <c r="I2222" i="6"/>
  <c r="E2222" i="6" s="1"/>
  <c r="I2223" i="6"/>
  <c r="E2223" i="6" s="1"/>
  <c r="I2224" i="6"/>
  <c r="E2224" i="6" s="1"/>
  <c r="I2225" i="6"/>
  <c r="E2225" i="6" s="1"/>
  <c r="I2226" i="6"/>
  <c r="E2226" i="6" s="1"/>
  <c r="I2227" i="6"/>
  <c r="E2227" i="6" s="1"/>
  <c r="I2228" i="6"/>
  <c r="E2228" i="6" s="1"/>
  <c r="I2229" i="6"/>
  <c r="E2229" i="6" s="1"/>
  <c r="I2230" i="6"/>
  <c r="E2230" i="6" s="1"/>
  <c r="I2231" i="6"/>
  <c r="E2231" i="6" s="1"/>
  <c r="I2232" i="6"/>
  <c r="E2232" i="6" s="1"/>
  <c r="I2233" i="6"/>
  <c r="E2233" i="6" s="1"/>
  <c r="I2234" i="6"/>
  <c r="E2234" i="6" s="1"/>
  <c r="I2235" i="6"/>
  <c r="E2235" i="6" s="1"/>
  <c r="I2236" i="6"/>
  <c r="E2236" i="6" s="1"/>
  <c r="I2237" i="6"/>
  <c r="E2237" i="6" s="1"/>
  <c r="I2238" i="6"/>
  <c r="E2238" i="6" s="1"/>
  <c r="I2239" i="6"/>
  <c r="E2239" i="6" s="1"/>
  <c r="I2240" i="6"/>
  <c r="E2240" i="6" s="1"/>
  <c r="I2241" i="6"/>
  <c r="E2241" i="6" s="1"/>
  <c r="I2242" i="6"/>
  <c r="E2242" i="6" s="1"/>
  <c r="I2243" i="6"/>
  <c r="E2243" i="6" s="1"/>
  <c r="I2244" i="6"/>
  <c r="E2244" i="6" s="1"/>
  <c r="I2245" i="6"/>
  <c r="E2245" i="6" s="1"/>
  <c r="I2246" i="6"/>
  <c r="E2246" i="6" s="1"/>
  <c r="I2247" i="6"/>
  <c r="E2247" i="6" s="1"/>
  <c r="I2248" i="6"/>
  <c r="E2248" i="6" s="1"/>
  <c r="I2249" i="6"/>
  <c r="E2249" i="6" s="1"/>
  <c r="I2250" i="6"/>
  <c r="E2250" i="6" s="1"/>
  <c r="I2251" i="6"/>
  <c r="E2251" i="6" s="1"/>
  <c r="I2252" i="6"/>
  <c r="E2252" i="6" s="1"/>
  <c r="I2253" i="6"/>
  <c r="E2253" i="6" s="1"/>
  <c r="I2254" i="6"/>
  <c r="E2254" i="6" s="1"/>
  <c r="I2255" i="6"/>
  <c r="E2255" i="6" s="1"/>
  <c r="I2256" i="6"/>
  <c r="E2256" i="6" s="1"/>
  <c r="I2257" i="6"/>
  <c r="E2257" i="6" s="1"/>
  <c r="I2258" i="6"/>
  <c r="E2258" i="6" s="1"/>
  <c r="I2259" i="6"/>
  <c r="E2259" i="6" s="1"/>
  <c r="I2260" i="6"/>
  <c r="E2260" i="6" s="1"/>
  <c r="I2261" i="6"/>
  <c r="E2261" i="6" s="1"/>
  <c r="I2262" i="6"/>
  <c r="E2262" i="6" s="1"/>
  <c r="I2263" i="6"/>
  <c r="E2263" i="6" s="1"/>
  <c r="I2264" i="6"/>
  <c r="E2264" i="6" s="1"/>
  <c r="I2265" i="6"/>
  <c r="E2265" i="6" s="1"/>
  <c r="I2266" i="6"/>
  <c r="E2266" i="6" s="1"/>
  <c r="I2267" i="6"/>
  <c r="E2267" i="6" s="1"/>
  <c r="I2268" i="6"/>
  <c r="E2268" i="6" s="1"/>
  <c r="I2269" i="6"/>
  <c r="E2269" i="6" s="1"/>
  <c r="I2270" i="6"/>
  <c r="E2270" i="6" s="1"/>
  <c r="I2271" i="6"/>
  <c r="E2271" i="6" s="1"/>
  <c r="I2272" i="6"/>
  <c r="E2272" i="6" s="1"/>
  <c r="I2273" i="6"/>
  <c r="E2273" i="6" s="1"/>
  <c r="I2274" i="6"/>
  <c r="E2274" i="6" s="1"/>
  <c r="I2275" i="6"/>
  <c r="E2275" i="6" s="1"/>
  <c r="I2276" i="6"/>
  <c r="E2276" i="6" s="1"/>
  <c r="I2277" i="6"/>
  <c r="E2277" i="6" s="1"/>
  <c r="I2278" i="6"/>
  <c r="E2278" i="6" s="1"/>
  <c r="I2279" i="6"/>
  <c r="E2279" i="6" s="1"/>
  <c r="I2280" i="6"/>
  <c r="E2280" i="6" s="1"/>
  <c r="I2281" i="6"/>
  <c r="E2281" i="6" s="1"/>
  <c r="I2282" i="6"/>
  <c r="E2282" i="6" s="1"/>
  <c r="I2283" i="6"/>
  <c r="E2283" i="6" s="1"/>
  <c r="I2284" i="6"/>
  <c r="E2284" i="6" s="1"/>
  <c r="I2285" i="6"/>
  <c r="E2285" i="6" s="1"/>
  <c r="I2286" i="6"/>
  <c r="E2286" i="6" s="1"/>
  <c r="I2287" i="6"/>
  <c r="E2287" i="6" s="1"/>
  <c r="I2288" i="6"/>
  <c r="E2288" i="6" s="1"/>
  <c r="I2289" i="6"/>
  <c r="E2289" i="6" s="1"/>
  <c r="I2290" i="6"/>
  <c r="E2290" i="6" s="1"/>
  <c r="I2291" i="6"/>
  <c r="E2291" i="6" s="1"/>
  <c r="I2292" i="6"/>
  <c r="E2292" i="6" s="1"/>
  <c r="I2293" i="6"/>
  <c r="E2293" i="6" s="1"/>
  <c r="I2294" i="6"/>
  <c r="E2294" i="6" s="1"/>
  <c r="I2295" i="6"/>
  <c r="E2295" i="6" s="1"/>
  <c r="I2296" i="6"/>
  <c r="E2296" i="6" s="1"/>
  <c r="I2297" i="6"/>
  <c r="E2297" i="6" s="1"/>
  <c r="I2298" i="6"/>
  <c r="E2298" i="6" s="1"/>
  <c r="I2299" i="6"/>
  <c r="E2299" i="6" s="1"/>
  <c r="I2300" i="6"/>
  <c r="E2300" i="6" s="1"/>
  <c r="I2301" i="6"/>
  <c r="E2301" i="6" s="1"/>
  <c r="I2302" i="6"/>
  <c r="E2302" i="6" s="1"/>
  <c r="I2303" i="6"/>
  <c r="E2303" i="6" s="1"/>
  <c r="I2304" i="6"/>
  <c r="E2304" i="6" s="1"/>
  <c r="I2305" i="6"/>
  <c r="E2305" i="6" s="1"/>
  <c r="I2306" i="6"/>
  <c r="E2306" i="6" s="1"/>
  <c r="I2307" i="6"/>
  <c r="E2307" i="6" s="1"/>
  <c r="I2308" i="6"/>
  <c r="E2308" i="6" s="1"/>
  <c r="I2309" i="6"/>
  <c r="E2309" i="6" s="1"/>
  <c r="I2310" i="6"/>
  <c r="E2310" i="6" s="1"/>
  <c r="I2311" i="6"/>
  <c r="E2311" i="6" s="1"/>
  <c r="I2312" i="6"/>
  <c r="E2312" i="6" s="1"/>
  <c r="I2313" i="6"/>
  <c r="E2313" i="6" s="1"/>
  <c r="I2314" i="6"/>
  <c r="E2314" i="6" s="1"/>
  <c r="I2315" i="6"/>
  <c r="E2315" i="6" s="1"/>
  <c r="I2316" i="6"/>
  <c r="E2316" i="6" s="1"/>
  <c r="I2317" i="6"/>
  <c r="E2317" i="6" s="1"/>
  <c r="I2318" i="6"/>
  <c r="E2318" i="6" s="1"/>
  <c r="I2319" i="6"/>
  <c r="E2319" i="6" s="1"/>
  <c r="I2320" i="6"/>
  <c r="E2320" i="6" s="1"/>
  <c r="I2321" i="6"/>
  <c r="E2321" i="6" s="1"/>
  <c r="I2322" i="6"/>
  <c r="E2322" i="6" s="1"/>
  <c r="I2323" i="6"/>
  <c r="E2323" i="6" s="1"/>
  <c r="I2324" i="6"/>
  <c r="E2324" i="6" s="1"/>
  <c r="I2325" i="6"/>
  <c r="E2325" i="6" s="1"/>
  <c r="I2326" i="6"/>
  <c r="E2326" i="6" s="1"/>
  <c r="I2327" i="6"/>
  <c r="E2327" i="6" s="1"/>
  <c r="I2328" i="6"/>
  <c r="E2328" i="6" s="1"/>
  <c r="I2329" i="6"/>
  <c r="E2329" i="6" s="1"/>
  <c r="I2330" i="6"/>
  <c r="E2330" i="6" s="1"/>
  <c r="I2331" i="6"/>
  <c r="E2331" i="6" s="1"/>
  <c r="I2332" i="6"/>
  <c r="E2332" i="6" s="1"/>
  <c r="I2333" i="6"/>
  <c r="E2333" i="6" s="1"/>
  <c r="I2334" i="6"/>
  <c r="E2334" i="6" s="1"/>
  <c r="I2335" i="6"/>
  <c r="E2335" i="6" s="1"/>
  <c r="I2336" i="6"/>
  <c r="E2336" i="6" s="1"/>
  <c r="I2337" i="6"/>
  <c r="E2337" i="6" s="1"/>
  <c r="I2338" i="6"/>
  <c r="E2338" i="6" s="1"/>
  <c r="I2339" i="6"/>
  <c r="E2339" i="6" s="1"/>
  <c r="I2340" i="6"/>
  <c r="E2340" i="6" s="1"/>
  <c r="I2341" i="6"/>
  <c r="E2341" i="6" s="1"/>
  <c r="I2342" i="6"/>
  <c r="E2342" i="6" s="1"/>
  <c r="I2343" i="6"/>
  <c r="E2343" i="6" s="1"/>
  <c r="I2344" i="6"/>
  <c r="E2344" i="6" s="1"/>
  <c r="I2345" i="6"/>
  <c r="E2345" i="6" s="1"/>
  <c r="I2346" i="6"/>
  <c r="E2346" i="6" s="1"/>
  <c r="I2347" i="6"/>
  <c r="E2347" i="6" s="1"/>
  <c r="I2348" i="6"/>
  <c r="E2348" i="6" s="1"/>
  <c r="I2349" i="6"/>
  <c r="E2349" i="6" s="1"/>
  <c r="I2350" i="6"/>
  <c r="E2350" i="6" s="1"/>
  <c r="I2351" i="6"/>
  <c r="E2351" i="6" s="1"/>
  <c r="I2352" i="6"/>
  <c r="E2352" i="6" s="1"/>
  <c r="I2353" i="6"/>
  <c r="E2353" i="6" s="1"/>
  <c r="I2354" i="6"/>
  <c r="E2354" i="6" s="1"/>
  <c r="I2355" i="6"/>
  <c r="E2355" i="6" s="1"/>
  <c r="I2356" i="6"/>
  <c r="E2356" i="6" s="1"/>
  <c r="I2357" i="6"/>
  <c r="E2357" i="6" s="1"/>
  <c r="I2358" i="6"/>
  <c r="E2358" i="6" s="1"/>
  <c r="I2359" i="6"/>
  <c r="E2359" i="6" s="1"/>
  <c r="I2360" i="6"/>
  <c r="E2360" i="6" s="1"/>
  <c r="I2361" i="6"/>
  <c r="E2361" i="6" s="1"/>
  <c r="I2362" i="6"/>
  <c r="E2362" i="6" s="1"/>
  <c r="I2363" i="6"/>
  <c r="E2363" i="6" s="1"/>
  <c r="I2364" i="6"/>
  <c r="E2364" i="6" s="1"/>
  <c r="I2365" i="6"/>
  <c r="E2365" i="6" s="1"/>
  <c r="I2366" i="6"/>
  <c r="E2366" i="6" s="1"/>
  <c r="I2367" i="6"/>
  <c r="E2367" i="6" s="1"/>
  <c r="I2368" i="6"/>
  <c r="E2368" i="6" s="1"/>
  <c r="I2369" i="6"/>
  <c r="E2369" i="6" s="1"/>
  <c r="I2370" i="6"/>
  <c r="E2370" i="6" s="1"/>
  <c r="I2371" i="6"/>
  <c r="E2371" i="6" s="1"/>
  <c r="I2372" i="6"/>
  <c r="E2372" i="6" s="1"/>
  <c r="I2373" i="6"/>
  <c r="E2373" i="6" s="1"/>
  <c r="I2374" i="6"/>
  <c r="E2374" i="6" s="1"/>
  <c r="I2375" i="6"/>
  <c r="E2375" i="6" s="1"/>
  <c r="I2376" i="6"/>
  <c r="E2376" i="6" s="1"/>
  <c r="I2377" i="6"/>
  <c r="E2377" i="6" s="1"/>
  <c r="I2378" i="6"/>
  <c r="E2378" i="6" s="1"/>
  <c r="I2379" i="6"/>
  <c r="E2379" i="6" s="1"/>
  <c r="I2380" i="6"/>
  <c r="E2380" i="6" s="1"/>
  <c r="I2381" i="6"/>
  <c r="E2381" i="6" s="1"/>
  <c r="I2382" i="6"/>
  <c r="E2382" i="6" s="1"/>
  <c r="I2383" i="6"/>
  <c r="E2383" i="6" s="1"/>
  <c r="I2384" i="6"/>
  <c r="E2384" i="6" s="1"/>
  <c r="I2385" i="6"/>
  <c r="E2385" i="6" s="1"/>
  <c r="I2386" i="6"/>
  <c r="E2386" i="6" s="1"/>
  <c r="I2387" i="6"/>
  <c r="E2387" i="6" s="1"/>
  <c r="I2388" i="6"/>
  <c r="E2388" i="6" s="1"/>
  <c r="I2389" i="6"/>
  <c r="E2389" i="6" s="1"/>
  <c r="I2390" i="6"/>
  <c r="E2390" i="6" s="1"/>
  <c r="I2391" i="6"/>
  <c r="E2391" i="6" s="1"/>
  <c r="I2392" i="6"/>
  <c r="E2392" i="6" s="1"/>
  <c r="I2393" i="6"/>
  <c r="E2393" i="6" s="1"/>
  <c r="I2394" i="6"/>
  <c r="E2394" i="6" s="1"/>
  <c r="I2395" i="6"/>
  <c r="E2395" i="6" s="1"/>
  <c r="I2396" i="6"/>
  <c r="E2396" i="6" s="1"/>
  <c r="I2397" i="6"/>
  <c r="E2397" i="6" s="1"/>
  <c r="I2398" i="6"/>
  <c r="E2398" i="6" s="1"/>
  <c r="I2399" i="6"/>
  <c r="E2399" i="6" s="1"/>
  <c r="I2400" i="6"/>
  <c r="E2400" i="6" s="1"/>
  <c r="I2401" i="6"/>
  <c r="E2401" i="6" s="1"/>
  <c r="I2402" i="6"/>
  <c r="E2402" i="6" s="1"/>
  <c r="I2403" i="6"/>
  <c r="E2403" i="6" s="1"/>
  <c r="I2404" i="6"/>
  <c r="E2404" i="6" s="1"/>
  <c r="I2405" i="6"/>
  <c r="E2405" i="6" s="1"/>
  <c r="I2406" i="6"/>
  <c r="E2406" i="6" s="1"/>
  <c r="I2407" i="6"/>
  <c r="E2407" i="6" s="1"/>
  <c r="I2408" i="6"/>
  <c r="E2408" i="6" s="1"/>
  <c r="I2409" i="6"/>
  <c r="E2409" i="6" s="1"/>
  <c r="I2410" i="6"/>
  <c r="E2410" i="6" s="1"/>
  <c r="I2411" i="6"/>
  <c r="E2411" i="6" s="1"/>
  <c r="I2412" i="6"/>
  <c r="E2412" i="6" s="1"/>
  <c r="I2413" i="6"/>
  <c r="E2413" i="6" s="1"/>
  <c r="I2414" i="6"/>
  <c r="E2414" i="6" s="1"/>
  <c r="I2415" i="6"/>
  <c r="E2415" i="6" s="1"/>
  <c r="I2416" i="6"/>
  <c r="E2416" i="6" s="1"/>
  <c r="I2417" i="6"/>
  <c r="E2417" i="6" s="1"/>
  <c r="I2418" i="6"/>
  <c r="E2418" i="6" s="1"/>
  <c r="I2419" i="6"/>
  <c r="E2419" i="6" s="1"/>
  <c r="I2420" i="6"/>
  <c r="E2420" i="6" s="1"/>
  <c r="I2421" i="6"/>
  <c r="E2421" i="6" s="1"/>
  <c r="I2422" i="6"/>
  <c r="E2422" i="6" s="1"/>
  <c r="I2423" i="6"/>
  <c r="E2423" i="6" s="1"/>
  <c r="I2424" i="6"/>
  <c r="E2424" i="6" s="1"/>
  <c r="I2425" i="6"/>
  <c r="E2425" i="6" s="1"/>
  <c r="I2426" i="6"/>
  <c r="E2426" i="6" s="1"/>
  <c r="I2427" i="6"/>
  <c r="E2427" i="6" s="1"/>
  <c r="I2428" i="6"/>
  <c r="E2428" i="6" s="1"/>
  <c r="I2429" i="6"/>
  <c r="E2429" i="6" s="1"/>
  <c r="I2430" i="6"/>
  <c r="E2430" i="6" s="1"/>
  <c r="I2431" i="6"/>
  <c r="E2431" i="6" s="1"/>
  <c r="I2432" i="6"/>
  <c r="E2432" i="6" s="1"/>
  <c r="I2433" i="6"/>
  <c r="E2433" i="6" s="1"/>
  <c r="I2434" i="6"/>
  <c r="E2434" i="6" s="1"/>
  <c r="I2435" i="6"/>
  <c r="E2435" i="6" s="1"/>
  <c r="I2436" i="6"/>
  <c r="E2436" i="6" s="1"/>
  <c r="I2437" i="6"/>
  <c r="E2437" i="6" s="1"/>
  <c r="I2438" i="6"/>
  <c r="E2438" i="6" s="1"/>
  <c r="I2439" i="6"/>
  <c r="E2439" i="6" s="1"/>
  <c r="I2440" i="6"/>
  <c r="E2440" i="6" s="1"/>
  <c r="I2441" i="6"/>
  <c r="E2441" i="6" s="1"/>
  <c r="I2442" i="6"/>
  <c r="E2442" i="6" s="1"/>
  <c r="I2443" i="6"/>
  <c r="E2443" i="6" s="1"/>
  <c r="I2444" i="6"/>
  <c r="E2444" i="6" s="1"/>
  <c r="I2445" i="6"/>
  <c r="E2445" i="6" s="1"/>
  <c r="I2446" i="6"/>
  <c r="E2446" i="6" s="1"/>
  <c r="I2447" i="6"/>
  <c r="E2447" i="6" s="1"/>
  <c r="I2448" i="6"/>
  <c r="E2448" i="6" s="1"/>
  <c r="I2449" i="6"/>
  <c r="E2449" i="6" s="1"/>
  <c r="I2450" i="6"/>
  <c r="E2450" i="6" s="1"/>
  <c r="I2451" i="6"/>
  <c r="E2451" i="6" s="1"/>
  <c r="I2452" i="6"/>
  <c r="E2452" i="6" s="1"/>
  <c r="I2453" i="6"/>
  <c r="E2453" i="6" s="1"/>
  <c r="I2454" i="6"/>
  <c r="E2454" i="6" s="1"/>
  <c r="I2455" i="6"/>
  <c r="E2455" i="6" s="1"/>
  <c r="I2456" i="6"/>
  <c r="E2456" i="6" s="1"/>
  <c r="I2457" i="6"/>
  <c r="E2457" i="6" s="1"/>
  <c r="I2458" i="6"/>
  <c r="E2458" i="6" s="1"/>
  <c r="I2459" i="6"/>
  <c r="E2459" i="6" s="1"/>
  <c r="I2460" i="6"/>
  <c r="E2460" i="6" s="1"/>
  <c r="I2461" i="6"/>
  <c r="E2461" i="6" s="1"/>
  <c r="I2462" i="6"/>
  <c r="E2462" i="6" s="1"/>
  <c r="I2463" i="6"/>
  <c r="E2463" i="6" s="1"/>
  <c r="I2464" i="6"/>
  <c r="E2464" i="6" s="1"/>
  <c r="I2465" i="6"/>
  <c r="E2465" i="6" s="1"/>
  <c r="I2466" i="6"/>
  <c r="E2466" i="6" s="1"/>
  <c r="I2467" i="6"/>
  <c r="E2467" i="6" s="1"/>
  <c r="I2468" i="6"/>
  <c r="E2468" i="6" s="1"/>
  <c r="I2469" i="6"/>
  <c r="E2469" i="6" s="1"/>
  <c r="I2470" i="6"/>
  <c r="E2470" i="6" s="1"/>
  <c r="I2471" i="6"/>
  <c r="E2471" i="6" s="1"/>
  <c r="I2472" i="6"/>
  <c r="E2472" i="6" s="1"/>
  <c r="I2473" i="6"/>
  <c r="E2473" i="6" s="1"/>
  <c r="I2474" i="6"/>
  <c r="E2474" i="6" s="1"/>
  <c r="I2475" i="6"/>
  <c r="E2475" i="6" s="1"/>
  <c r="I2476" i="6"/>
  <c r="E2476" i="6" s="1"/>
  <c r="I2477" i="6"/>
  <c r="E2477" i="6" s="1"/>
  <c r="I2478" i="6"/>
  <c r="E2478" i="6" s="1"/>
  <c r="I2479" i="6"/>
  <c r="E2479" i="6" s="1"/>
  <c r="I2480" i="6"/>
  <c r="E2480" i="6" s="1"/>
  <c r="I2481" i="6"/>
  <c r="E2481" i="6" s="1"/>
  <c r="I2482" i="6"/>
  <c r="E2482" i="6" s="1"/>
  <c r="I2483" i="6"/>
  <c r="E2483" i="6" s="1"/>
  <c r="I2484" i="6"/>
  <c r="E2484" i="6" s="1"/>
  <c r="I2485" i="6"/>
  <c r="E2485" i="6" s="1"/>
  <c r="I2486" i="6"/>
  <c r="E2486" i="6" s="1"/>
  <c r="I2487" i="6"/>
  <c r="E2487" i="6" s="1"/>
  <c r="I2488" i="6"/>
  <c r="E2488" i="6" s="1"/>
  <c r="I2489" i="6"/>
  <c r="E2489" i="6" s="1"/>
  <c r="I2490" i="6"/>
  <c r="E2490" i="6" s="1"/>
  <c r="I2491" i="6"/>
  <c r="E2491" i="6" s="1"/>
  <c r="I2492" i="6"/>
  <c r="E2492" i="6" s="1"/>
  <c r="I2493" i="6"/>
  <c r="E2493" i="6" s="1"/>
  <c r="I2494" i="6"/>
  <c r="E2494" i="6" s="1"/>
  <c r="I2495" i="6"/>
  <c r="E2495" i="6" s="1"/>
  <c r="I2496" i="6"/>
  <c r="E2496" i="6" s="1"/>
  <c r="I2497" i="6"/>
  <c r="E2497" i="6" s="1"/>
  <c r="I2498" i="6"/>
  <c r="E2498" i="6" s="1"/>
  <c r="I2499" i="6"/>
  <c r="E2499" i="6" s="1"/>
  <c r="I2500" i="6"/>
  <c r="E2500" i="6" s="1"/>
  <c r="I2501" i="6"/>
  <c r="E2501" i="6" s="1"/>
  <c r="I2502" i="6"/>
  <c r="E2502" i="6" s="1"/>
  <c r="I2503" i="6"/>
  <c r="E2503" i="6" s="1"/>
  <c r="I2504" i="6"/>
  <c r="E2504" i="6" s="1"/>
  <c r="I2505" i="6"/>
  <c r="E2505" i="6" s="1"/>
  <c r="I2506" i="6"/>
  <c r="E2506" i="6" s="1"/>
  <c r="I2507" i="6"/>
  <c r="E2507" i="6" s="1"/>
  <c r="I2508" i="6"/>
  <c r="E2508" i="6" s="1"/>
  <c r="I2509" i="6"/>
  <c r="E2509" i="6" s="1"/>
  <c r="I2510" i="6"/>
  <c r="E2510" i="6" s="1"/>
  <c r="I2511" i="6"/>
  <c r="E2511" i="6" s="1"/>
  <c r="I2512" i="6"/>
  <c r="E2512" i="6" s="1"/>
  <c r="I2513" i="6"/>
  <c r="E2513" i="6" s="1"/>
  <c r="I2514" i="6"/>
  <c r="E2514" i="6" s="1"/>
  <c r="I2515" i="6"/>
  <c r="E2515" i="6" s="1"/>
  <c r="I2516" i="6"/>
  <c r="E2516" i="6" s="1"/>
  <c r="I2517" i="6"/>
  <c r="E2517" i="6" s="1"/>
  <c r="I2518" i="6"/>
  <c r="E2518" i="6" s="1"/>
  <c r="I2519" i="6"/>
  <c r="E2519" i="6" s="1"/>
  <c r="I2520" i="6"/>
  <c r="E2520" i="6" s="1"/>
  <c r="I2521" i="6"/>
  <c r="E2521" i="6" s="1"/>
  <c r="I2522" i="6"/>
  <c r="E2522" i="6" s="1"/>
  <c r="I2523" i="6"/>
  <c r="E2523" i="6" s="1"/>
  <c r="I2524" i="6"/>
  <c r="E2524" i="6" s="1"/>
  <c r="I2525" i="6"/>
  <c r="E2525" i="6" s="1"/>
  <c r="I2526" i="6"/>
  <c r="E2526" i="6" s="1"/>
  <c r="I2527" i="6"/>
  <c r="E2527" i="6" s="1"/>
  <c r="I2528" i="6"/>
  <c r="E2528" i="6" s="1"/>
  <c r="I2529" i="6"/>
  <c r="E2529" i="6" s="1"/>
  <c r="I2530" i="6"/>
  <c r="E2530" i="6" s="1"/>
  <c r="I2531" i="6"/>
  <c r="E2531" i="6" s="1"/>
  <c r="I2532" i="6"/>
  <c r="E2532" i="6" s="1"/>
  <c r="I2533" i="6"/>
  <c r="E2533" i="6" s="1"/>
  <c r="I2534" i="6"/>
  <c r="E2534" i="6" s="1"/>
  <c r="I2535" i="6"/>
  <c r="E2535" i="6" s="1"/>
  <c r="I2536" i="6"/>
  <c r="E2536" i="6" s="1"/>
  <c r="I2537" i="6"/>
  <c r="E2537" i="6" s="1"/>
  <c r="I2538" i="6"/>
  <c r="E2538" i="6" s="1"/>
  <c r="I2539" i="6"/>
  <c r="E2539" i="6" s="1"/>
  <c r="I2540" i="6"/>
  <c r="E2540" i="6" s="1"/>
  <c r="I2541" i="6"/>
  <c r="E2541" i="6" s="1"/>
  <c r="I2542" i="6"/>
  <c r="E2542" i="6" s="1"/>
  <c r="I2543" i="6"/>
  <c r="E2543" i="6" s="1"/>
  <c r="I2544" i="6"/>
  <c r="E2544" i="6" s="1"/>
  <c r="I2545" i="6"/>
  <c r="E2545" i="6" s="1"/>
  <c r="I2546" i="6"/>
  <c r="E2546" i="6" s="1"/>
  <c r="I2547" i="6"/>
  <c r="E2547" i="6" s="1"/>
  <c r="I2548" i="6"/>
  <c r="E2548" i="6" s="1"/>
  <c r="I2549" i="6"/>
  <c r="E2549" i="6" s="1"/>
  <c r="I2550" i="6"/>
  <c r="E2550" i="6" s="1"/>
  <c r="I2551" i="6"/>
  <c r="E2551" i="6" s="1"/>
  <c r="I2552" i="6"/>
  <c r="E2552" i="6" s="1"/>
  <c r="I2553" i="6"/>
  <c r="E2553" i="6" s="1"/>
  <c r="I2554" i="6"/>
  <c r="E2554" i="6" s="1"/>
  <c r="I2555" i="6"/>
  <c r="E2555" i="6" s="1"/>
  <c r="I2556" i="6"/>
  <c r="E2556" i="6" s="1"/>
  <c r="I2557" i="6"/>
  <c r="E2557" i="6" s="1"/>
  <c r="I2558" i="6"/>
  <c r="E2558" i="6" s="1"/>
  <c r="I2559" i="6"/>
  <c r="E2559" i="6" s="1"/>
  <c r="I2560" i="6"/>
  <c r="E2560" i="6" s="1"/>
  <c r="I2561" i="6"/>
  <c r="E2561" i="6" s="1"/>
  <c r="I2562" i="6"/>
  <c r="E2562" i="6" s="1"/>
  <c r="I2563" i="6"/>
  <c r="E2563" i="6" s="1"/>
  <c r="I2564" i="6"/>
  <c r="E2564" i="6" s="1"/>
  <c r="I2565" i="6"/>
  <c r="E2565" i="6" s="1"/>
  <c r="I2566" i="6"/>
  <c r="E2566" i="6" s="1"/>
  <c r="I2567" i="6"/>
  <c r="E2567" i="6" s="1"/>
  <c r="I2568" i="6"/>
  <c r="E2568" i="6" s="1"/>
  <c r="I2569" i="6"/>
  <c r="E2569" i="6" s="1"/>
  <c r="I2570" i="6"/>
  <c r="E2570" i="6" s="1"/>
  <c r="I2571" i="6"/>
  <c r="E2571" i="6" s="1"/>
  <c r="I2572" i="6"/>
  <c r="E2572" i="6" s="1"/>
  <c r="I2573" i="6"/>
  <c r="E2573" i="6" s="1"/>
  <c r="I2574" i="6"/>
  <c r="E2574" i="6" s="1"/>
  <c r="I2575" i="6"/>
  <c r="E2575" i="6" s="1"/>
  <c r="I2576" i="6"/>
  <c r="E2576" i="6" s="1"/>
  <c r="I2577" i="6"/>
  <c r="E2577" i="6" s="1"/>
  <c r="I2578" i="6"/>
  <c r="E2578" i="6" s="1"/>
  <c r="I2579" i="6"/>
  <c r="E2579" i="6" s="1"/>
  <c r="I2580" i="6"/>
  <c r="E2580" i="6" s="1"/>
  <c r="I2581" i="6"/>
  <c r="E2581" i="6" s="1"/>
  <c r="I2582" i="6"/>
  <c r="E2582" i="6" s="1"/>
  <c r="I2583" i="6"/>
  <c r="E2583" i="6" s="1"/>
  <c r="I2584" i="6"/>
  <c r="E2584" i="6" s="1"/>
  <c r="I2585" i="6"/>
  <c r="E2585" i="6" s="1"/>
  <c r="I2586" i="6"/>
  <c r="E2586" i="6" s="1"/>
  <c r="I2587" i="6"/>
  <c r="E2587" i="6" s="1"/>
  <c r="I2588" i="6"/>
  <c r="E2588" i="6" s="1"/>
  <c r="I2589" i="6"/>
  <c r="E2589" i="6" s="1"/>
  <c r="I2590" i="6"/>
  <c r="E2590" i="6" s="1"/>
  <c r="I2591" i="6"/>
  <c r="E2591" i="6" s="1"/>
  <c r="I2592" i="6"/>
  <c r="E2592" i="6" s="1"/>
  <c r="I2593" i="6"/>
  <c r="E2593" i="6" s="1"/>
  <c r="I2594" i="6"/>
  <c r="E2594" i="6" s="1"/>
  <c r="I2595" i="6"/>
  <c r="E2595" i="6" s="1"/>
  <c r="I2596" i="6"/>
  <c r="E2596" i="6" s="1"/>
  <c r="I2597" i="6"/>
  <c r="E2597" i="6" s="1"/>
  <c r="I2598" i="6"/>
  <c r="E2598" i="6" s="1"/>
  <c r="I2599" i="6"/>
  <c r="E2599" i="6" s="1"/>
  <c r="I2600" i="6"/>
  <c r="E2600" i="6" s="1"/>
  <c r="I2601" i="6"/>
  <c r="E2601" i="6" s="1"/>
  <c r="I2602" i="6"/>
  <c r="E2602" i="6" s="1"/>
  <c r="I2603" i="6"/>
  <c r="E2603" i="6" s="1"/>
  <c r="I2604" i="6"/>
  <c r="E2604" i="6" s="1"/>
  <c r="I2605" i="6"/>
  <c r="E2605" i="6" s="1"/>
  <c r="I2606" i="6"/>
  <c r="E2606" i="6" s="1"/>
  <c r="I2607" i="6"/>
  <c r="E2607" i="6" s="1"/>
  <c r="I2608" i="6"/>
  <c r="E2608" i="6" s="1"/>
  <c r="I2609" i="6"/>
  <c r="E2609" i="6" s="1"/>
  <c r="I2610" i="6"/>
  <c r="E2610" i="6" s="1"/>
  <c r="I2611" i="6"/>
  <c r="E2611" i="6" s="1"/>
  <c r="I2612" i="6"/>
  <c r="E2612" i="6" s="1"/>
  <c r="I2613" i="6"/>
  <c r="E2613" i="6" s="1"/>
  <c r="I2614" i="6"/>
  <c r="E2614" i="6" s="1"/>
  <c r="I2615" i="6"/>
  <c r="E2615" i="6" s="1"/>
  <c r="I2616" i="6"/>
  <c r="E2616" i="6" s="1"/>
  <c r="I2617" i="6"/>
  <c r="E2617" i="6" s="1"/>
  <c r="I2618" i="6"/>
  <c r="E2618" i="6" s="1"/>
  <c r="I2619" i="6"/>
  <c r="E2619" i="6" s="1"/>
  <c r="I2620" i="6"/>
  <c r="E2620" i="6" s="1"/>
  <c r="I2621" i="6"/>
  <c r="E2621" i="6" s="1"/>
  <c r="I2622" i="6"/>
  <c r="E2622" i="6" s="1"/>
  <c r="I2623" i="6"/>
  <c r="E2623" i="6" s="1"/>
  <c r="I2624" i="6"/>
  <c r="E2624" i="6" s="1"/>
  <c r="I2625" i="6"/>
  <c r="E2625" i="6" s="1"/>
  <c r="I2626" i="6"/>
  <c r="E2626" i="6" s="1"/>
  <c r="I2627" i="6"/>
  <c r="E2627" i="6" s="1"/>
  <c r="I2628" i="6"/>
  <c r="E2628" i="6" s="1"/>
  <c r="I2629" i="6"/>
  <c r="E2629" i="6" s="1"/>
  <c r="I2630" i="6"/>
  <c r="E2630" i="6" s="1"/>
  <c r="I2631" i="6"/>
  <c r="E2631" i="6" s="1"/>
  <c r="I2632" i="6"/>
  <c r="E2632" i="6" s="1"/>
  <c r="I2633" i="6"/>
  <c r="E2633" i="6" s="1"/>
  <c r="I2634" i="6"/>
  <c r="E2634" i="6" s="1"/>
  <c r="I2635" i="6"/>
  <c r="E2635" i="6" s="1"/>
  <c r="I2636" i="6"/>
  <c r="E2636" i="6" s="1"/>
  <c r="I2637" i="6"/>
  <c r="E2637" i="6" s="1"/>
  <c r="I2638" i="6"/>
  <c r="E2638" i="6" s="1"/>
  <c r="I2639" i="6"/>
  <c r="E2639" i="6" s="1"/>
  <c r="I2640" i="6"/>
  <c r="E2640" i="6" s="1"/>
  <c r="I2641" i="6"/>
  <c r="E2641" i="6" s="1"/>
  <c r="I2642" i="6"/>
  <c r="E2642" i="6" s="1"/>
  <c r="I2643" i="6"/>
  <c r="E2643" i="6" s="1"/>
  <c r="I2644" i="6"/>
  <c r="E2644" i="6" s="1"/>
  <c r="I2645" i="6"/>
  <c r="E2645" i="6" s="1"/>
  <c r="I2646" i="6"/>
  <c r="E2646" i="6" s="1"/>
  <c r="I2647" i="6"/>
  <c r="E2647" i="6" s="1"/>
  <c r="I2648" i="6"/>
  <c r="E2648" i="6" s="1"/>
  <c r="I2649" i="6"/>
  <c r="E2649" i="6" s="1"/>
  <c r="I2650" i="6"/>
  <c r="E2650" i="6" s="1"/>
  <c r="I2651" i="6"/>
  <c r="E2651" i="6" s="1"/>
  <c r="I2652" i="6"/>
  <c r="E2652" i="6" s="1"/>
  <c r="I2653" i="6"/>
  <c r="E2653" i="6" s="1"/>
  <c r="I2654" i="6"/>
  <c r="E2654" i="6" s="1"/>
  <c r="I2655" i="6"/>
  <c r="E2655" i="6" s="1"/>
  <c r="I2656" i="6"/>
  <c r="E2656" i="6" s="1"/>
  <c r="I2657" i="6"/>
  <c r="E2657" i="6" s="1"/>
  <c r="I2658" i="6"/>
  <c r="E2658" i="6" s="1"/>
  <c r="I2659" i="6"/>
  <c r="E2659" i="6" s="1"/>
  <c r="I2660" i="6"/>
  <c r="E2660" i="6" s="1"/>
  <c r="I2661" i="6"/>
  <c r="E2661" i="6" s="1"/>
  <c r="I2662" i="6"/>
  <c r="E2662" i="6" s="1"/>
  <c r="I2663" i="6"/>
  <c r="E2663" i="6" s="1"/>
  <c r="I2664" i="6"/>
  <c r="E2664" i="6" s="1"/>
  <c r="I2665" i="6"/>
  <c r="E2665" i="6" s="1"/>
  <c r="I2666" i="6"/>
  <c r="E2666" i="6" s="1"/>
  <c r="I2667" i="6"/>
  <c r="E2667" i="6" s="1"/>
  <c r="I2668" i="6"/>
  <c r="E2668" i="6" s="1"/>
  <c r="I2669" i="6"/>
  <c r="E2669" i="6" s="1"/>
  <c r="I2670" i="6"/>
  <c r="E2670" i="6" s="1"/>
  <c r="I2671" i="6"/>
  <c r="E2671" i="6" s="1"/>
  <c r="I2672" i="6"/>
  <c r="E2672" i="6" s="1"/>
  <c r="I2673" i="6"/>
  <c r="E2673" i="6" s="1"/>
  <c r="I2674" i="6"/>
  <c r="E2674" i="6" s="1"/>
  <c r="I2675" i="6"/>
  <c r="E2675" i="6" s="1"/>
  <c r="I2676" i="6"/>
  <c r="E2676" i="6" s="1"/>
  <c r="I2677" i="6"/>
  <c r="E2677" i="6" s="1"/>
  <c r="I2678" i="6"/>
  <c r="E2678" i="6" s="1"/>
  <c r="I2679" i="6"/>
  <c r="E2679" i="6" s="1"/>
  <c r="I2680" i="6"/>
  <c r="E2680" i="6" s="1"/>
  <c r="I2681" i="6"/>
  <c r="E2681" i="6" s="1"/>
  <c r="I2682" i="6"/>
  <c r="E2682" i="6" s="1"/>
  <c r="I2683" i="6"/>
  <c r="E2683" i="6" s="1"/>
  <c r="I2684" i="6"/>
  <c r="E2684" i="6" s="1"/>
  <c r="I2685" i="6"/>
  <c r="E2685" i="6" s="1"/>
  <c r="I2686" i="6"/>
  <c r="E2686" i="6" s="1"/>
  <c r="I2687" i="6"/>
  <c r="E2687" i="6" s="1"/>
  <c r="I2688" i="6"/>
  <c r="E2688" i="6" s="1"/>
  <c r="I2689" i="6"/>
  <c r="E2689" i="6" s="1"/>
  <c r="I2690" i="6"/>
  <c r="E2690" i="6" s="1"/>
  <c r="I2691" i="6"/>
  <c r="E2691" i="6" s="1"/>
  <c r="I2692" i="6"/>
  <c r="E2692" i="6" s="1"/>
  <c r="I2693" i="6"/>
  <c r="E2693" i="6" s="1"/>
  <c r="I2694" i="6"/>
  <c r="E2694" i="6" s="1"/>
  <c r="I2695" i="6"/>
  <c r="E2695" i="6" s="1"/>
  <c r="I2696" i="6"/>
  <c r="E2696" i="6" s="1"/>
  <c r="I2697" i="6"/>
  <c r="E2697" i="6" s="1"/>
  <c r="I2698" i="6"/>
  <c r="E2698" i="6" s="1"/>
  <c r="I2699" i="6"/>
  <c r="E2699" i="6" s="1"/>
  <c r="I2700" i="6"/>
  <c r="E2700" i="6" s="1"/>
  <c r="I2701" i="6"/>
  <c r="E2701" i="6" s="1"/>
  <c r="I2702" i="6"/>
  <c r="E2702" i="6" s="1"/>
  <c r="I2703" i="6"/>
  <c r="E2703" i="6" s="1"/>
  <c r="I2704" i="6"/>
  <c r="E2704" i="6" s="1"/>
  <c r="I2705" i="6"/>
  <c r="E2705" i="6" s="1"/>
  <c r="I2706" i="6"/>
  <c r="E2706" i="6" s="1"/>
  <c r="I2707" i="6"/>
  <c r="E2707" i="6" s="1"/>
  <c r="I2708" i="6"/>
  <c r="E2708" i="6" s="1"/>
  <c r="I2709" i="6"/>
  <c r="E2709" i="6" s="1"/>
  <c r="I2710" i="6"/>
  <c r="E2710" i="6" s="1"/>
  <c r="I2711" i="6"/>
  <c r="E2711" i="6" s="1"/>
  <c r="I2712" i="6"/>
  <c r="E2712" i="6" s="1"/>
  <c r="I2713" i="6"/>
  <c r="E2713" i="6" s="1"/>
  <c r="I2714" i="6"/>
  <c r="E2714" i="6" s="1"/>
  <c r="I2715" i="6"/>
  <c r="E2715" i="6" s="1"/>
  <c r="I2716" i="6"/>
  <c r="E2716" i="6" s="1"/>
  <c r="I2717" i="6"/>
  <c r="E2717" i="6" s="1"/>
  <c r="I2718" i="6"/>
  <c r="E2718" i="6" s="1"/>
  <c r="I2719" i="6"/>
  <c r="E2719" i="6" s="1"/>
  <c r="I2720" i="6"/>
  <c r="E2720" i="6" s="1"/>
  <c r="I2721" i="6"/>
  <c r="E2721" i="6" s="1"/>
  <c r="I2722" i="6"/>
  <c r="E2722" i="6" s="1"/>
  <c r="I2723" i="6"/>
  <c r="E2723" i="6" s="1"/>
  <c r="I2724" i="6"/>
  <c r="E2724" i="6" s="1"/>
  <c r="I2725" i="6"/>
  <c r="E2725" i="6" s="1"/>
  <c r="I2726" i="6"/>
  <c r="E2726" i="6" s="1"/>
  <c r="I2727" i="6"/>
  <c r="E2727" i="6" s="1"/>
  <c r="I2728" i="6"/>
  <c r="E2728" i="6" s="1"/>
  <c r="I2729" i="6"/>
  <c r="E2729" i="6" s="1"/>
  <c r="I2730" i="6"/>
  <c r="E2730" i="6" s="1"/>
  <c r="I2731" i="6"/>
  <c r="E2731" i="6" s="1"/>
  <c r="I2732" i="6"/>
  <c r="E2732" i="6" s="1"/>
  <c r="I2733" i="6"/>
  <c r="E2733" i="6" s="1"/>
  <c r="I2734" i="6"/>
  <c r="E2734" i="6" s="1"/>
  <c r="I2735" i="6"/>
  <c r="E2735" i="6" s="1"/>
  <c r="I2736" i="6"/>
  <c r="E2736" i="6" s="1"/>
  <c r="I2737" i="6"/>
  <c r="E2737" i="6" s="1"/>
  <c r="I2738" i="6"/>
  <c r="E2738" i="6" s="1"/>
  <c r="I2739" i="6"/>
  <c r="E2739" i="6" s="1"/>
  <c r="I2740" i="6"/>
  <c r="E2740" i="6" s="1"/>
  <c r="I2741" i="6"/>
  <c r="E2741" i="6" s="1"/>
  <c r="I2742" i="6"/>
  <c r="E2742" i="6" s="1"/>
  <c r="I2743" i="6"/>
  <c r="E2743" i="6" s="1"/>
  <c r="I2744" i="6"/>
  <c r="E2744" i="6" s="1"/>
  <c r="I2745" i="6"/>
  <c r="E2745" i="6" s="1"/>
  <c r="I2746" i="6"/>
  <c r="E2746" i="6" s="1"/>
  <c r="I2747" i="6"/>
  <c r="E2747" i="6" s="1"/>
  <c r="I2748" i="6"/>
  <c r="E2748" i="6" s="1"/>
  <c r="I2749" i="6"/>
  <c r="E2749" i="6" s="1"/>
  <c r="I2750" i="6"/>
  <c r="E2750" i="6" s="1"/>
  <c r="I2751" i="6"/>
  <c r="E2751" i="6" s="1"/>
  <c r="I2752" i="6"/>
  <c r="E2752" i="6" s="1"/>
  <c r="I2753" i="6"/>
  <c r="E2753" i="6" s="1"/>
  <c r="I2754" i="6"/>
  <c r="E2754" i="6" s="1"/>
  <c r="I2755" i="6"/>
  <c r="E2755" i="6" s="1"/>
  <c r="I2756" i="6"/>
  <c r="E2756" i="6" s="1"/>
  <c r="I2757" i="6"/>
  <c r="E2757" i="6" s="1"/>
  <c r="I2758" i="6"/>
  <c r="E2758" i="6" s="1"/>
  <c r="I2759" i="6"/>
  <c r="E2759" i="6" s="1"/>
  <c r="I2760" i="6"/>
  <c r="E2760" i="6" s="1"/>
  <c r="I2761" i="6"/>
  <c r="E2761" i="6" s="1"/>
  <c r="I2762" i="6"/>
  <c r="E2762" i="6" s="1"/>
  <c r="I2763" i="6"/>
  <c r="E2763" i="6" s="1"/>
  <c r="I2764" i="6"/>
  <c r="E2764" i="6" s="1"/>
  <c r="I2765" i="6"/>
  <c r="E2765" i="6" s="1"/>
  <c r="I2766" i="6"/>
  <c r="E2766" i="6" s="1"/>
  <c r="I2767" i="6"/>
  <c r="E2767" i="6" s="1"/>
  <c r="I2768" i="6"/>
  <c r="E2768" i="6" s="1"/>
  <c r="I2769" i="6"/>
  <c r="E2769" i="6" s="1"/>
  <c r="I2770" i="6"/>
  <c r="E2770" i="6" s="1"/>
  <c r="I2771" i="6"/>
  <c r="E2771" i="6" s="1"/>
  <c r="I2772" i="6"/>
  <c r="E2772" i="6" s="1"/>
  <c r="I2773" i="6"/>
  <c r="E2773" i="6" s="1"/>
  <c r="I2774" i="6"/>
  <c r="E2774" i="6" s="1"/>
  <c r="I2775" i="6"/>
  <c r="E2775" i="6" s="1"/>
  <c r="I2776" i="6"/>
  <c r="E2776" i="6" s="1"/>
  <c r="I2777" i="6"/>
  <c r="E2777" i="6" s="1"/>
  <c r="I2778" i="6"/>
  <c r="E2778" i="6" s="1"/>
  <c r="I2779" i="6"/>
  <c r="E2779" i="6" s="1"/>
  <c r="I2780" i="6"/>
  <c r="E2780" i="6" s="1"/>
  <c r="I2781" i="6"/>
  <c r="E2781" i="6" s="1"/>
  <c r="I2782" i="6"/>
  <c r="E2782" i="6" s="1"/>
  <c r="I2783" i="6"/>
  <c r="E2783" i="6" s="1"/>
  <c r="I2784" i="6"/>
  <c r="E2784" i="6" s="1"/>
  <c r="I2785" i="6"/>
  <c r="E2785" i="6" s="1"/>
  <c r="I2786" i="6"/>
  <c r="E2786" i="6" s="1"/>
  <c r="I2787" i="6"/>
  <c r="E2787" i="6" s="1"/>
  <c r="I2788" i="6"/>
  <c r="E2788" i="6" s="1"/>
  <c r="I2789" i="6"/>
  <c r="E2789" i="6" s="1"/>
  <c r="I2790" i="6"/>
  <c r="E2790" i="6" s="1"/>
  <c r="I2791" i="6"/>
  <c r="E2791" i="6" s="1"/>
  <c r="I2792" i="6"/>
  <c r="E2792" i="6" s="1"/>
  <c r="I2793" i="6"/>
  <c r="E2793" i="6" s="1"/>
  <c r="I2794" i="6"/>
  <c r="E2794" i="6" s="1"/>
  <c r="I2795" i="6"/>
  <c r="E2795" i="6" s="1"/>
  <c r="I2796" i="6"/>
  <c r="E2796" i="6" s="1"/>
  <c r="I2797" i="6"/>
  <c r="E2797" i="6" s="1"/>
  <c r="I2798" i="6"/>
  <c r="E2798" i="6" s="1"/>
  <c r="I2799" i="6"/>
  <c r="E2799" i="6" s="1"/>
  <c r="I2800" i="6"/>
  <c r="E2800" i="6" s="1"/>
  <c r="I2801" i="6"/>
  <c r="E2801" i="6" s="1"/>
  <c r="I2802" i="6"/>
  <c r="E2802" i="6" s="1"/>
  <c r="I2803" i="6"/>
  <c r="E2803" i="6" s="1"/>
  <c r="I2804" i="6"/>
  <c r="E2804" i="6" s="1"/>
  <c r="I2805" i="6"/>
  <c r="E2805" i="6" s="1"/>
  <c r="I2806" i="6"/>
  <c r="E2806" i="6" s="1"/>
  <c r="I2807" i="6"/>
  <c r="E2807" i="6" s="1"/>
  <c r="I2808" i="6"/>
  <c r="E2808" i="6" s="1"/>
  <c r="I2809" i="6"/>
  <c r="E2809" i="6" s="1"/>
  <c r="I2810" i="6"/>
  <c r="E2810" i="6" s="1"/>
  <c r="I2811" i="6"/>
  <c r="E2811" i="6" s="1"/>
  <c r="I2812" i="6"/>
  <c r="E2812" i="6" s="1"/>
  <c r="I2813" i="6"/>
  <c r="E2813" i="6" s="1"/>
  <c r="I2814" i="6"/>
  <c r="E2814" i="6" s="1"/>
  <c r="I2815" i="6"/>
  <c r="E2815" i="6" s="1"/>
  <c r="I2816" i="6"/>
  <c r="E2816" i="6" s="1"/>
  <c r="I2817" i="6"/>
  <c r="E2817" i="6" s="1"/>
  <c r="I2818" i="6"/>
  <c r="E2818" i="6" s="1"/>
  <c r="I2819" i="6"/>
  <c r="E2819" i="6" s="1"/>
  <c r="I2820" i="6"/>
  <c r="E2820" i="6" s="1"/>
  <c r="I2821" i="6"/>
  <c r="E2821" i="6" s="1"/>
  <c r="I2822" i="6"/>
  <c r="E2822" i="6" s="1"/>
  <c r="I2823" i="6"/>
  <c r="E2823" i="6" s="1"/>
  <c r="I2824" i="6"/>
  <c r="E2824" i="6" s="1"/>
  <c r="I2825" i="6"/>
  <c r="E2825" i="6" s="1"/>
  <c r="I2826" i="6"/>
  <c r="E2826" i="6" s="1"/>
  <c r="I2827" i="6"/>
  <c r="E2827" i="6" s="1"/>
  <c r="I2828" i="6"/>
  <c r="E2828" i="6" s="1"/>
  <c r="I2829" i="6"/>
  <c r="E2829" i="6" s="1"/>
  <c r="I2830" i="6"/>
  <c r="E2830" i="6" s="1"/>
  <c r="I2831" i="6"/>
  <c r="E2831" i="6" s="1"/>
  <c r="I2832" i="6"/>
  <c r="E2832" i="6" s="1"/>
  <c r="I2833" i="6"/>
  <c r="E2833" i="6" s="1"/>
  <c r="I2834" i="6"/>
  <c r="E2834" i="6" s="1"/>
  <c r="I2835" i="6"/>
  <c r="E2835" i="6" s="1"/>
  <c r="I2836" i="6"/>
  <c r="E2836" i="6" s="1"/>
  <c r="I2837" i="6"/>
  <c r="E2837" i="6" s="1"/>
  <c r="I2838" i="6"/>
  <c r="E2838" i="6" s="1"/>
  <c r="I2839" i="6"/>
  <c r="E2839" i="6" s="1"/>
  <c r="I2840" i="6"/>
  <c r="E2840" i="6" s="1"/>
  <c r="I2841" i="6"/>
  <c r="E2841" i="6" s="1"/>
  <c r="I2842" i="6"/>
  <c r="E2842" i="6" s="1"/>
  <c r="I2843" i="6"/>
  <c r="E2843" i="6" s="1"/>
  <c r="I2844" i="6"/>
  <c r="E2844" i="6" s="1"/>
  <c r="I2845" i="6"/>
  <c r="E2845" i="6" s="1"/>
  <c r="I2846" i="6"/>
  <c r="E2846" i="6" s="1"/>
  <c r="I2847" i="6"/>
  <c r="E2847" i="6" s="1"/>
  <c r="I2848" i="6"/>
  <c r="E2848" i="6" s="1"/>
  <c r="I2849" i="6"/>
  <c r="E2849" i="6" s="1"/>
  <c r="I2850" i="6"/>
  <c r="E2850" i="6" s="1"/>
  <c r="I2851" i="6"/>
  <c r="E2851" i="6" s="1"/>
  <c r="I2852" i="6"/>
  <c r="E2852" i="6" s="1"/>
  <c r="I2853" i="6"/>
  <c r="E2853" i="6" s="1"/>
  <c r="I2854" i="6"/>
  <c r="E2854" i="6" s="1"/>
  <c r="I2855" i="6"/>
  <c r="E2855" i="6" s="1"/>
  <c r="I2856" i="6"/>
  <c r="E2856" i="6" s="1"/>
  <c r="I2857" i="6"/>
  <c r="E2857" i="6" s="1"/>
  <c r="I2858" i="6"/>
  <c r="E2858" i="6" s="1"/>
  <c r="I2859" i="6"/>
  <c r="E2859" i="6" s="1"/>
  <c r="I2860" i="6"/>
  <c r="E2860" i="6" s="1"/>
  <c r="I2861" i="6"/>
  <c r="E2861" i="6" s="1"/>
  <c r="I2862" i="6"/>
  <c r="E2862" i="6" s="1"/>
  <c r="I2863" i="6"/>
  <c r="E2863" i="6" s="1"/>
  <c r="I2864" i="6"/>
  <c r="E2864" i="6" s="1"/>
  <c r="I2865" i="6"/>
  <c r="E2865" i="6" s="1"/>
  <c r="I2866" i="6"/>
  <c r="E2866" i="6" s="1"/>
  <c r="I2867" i="6"/>
  <c r="E2867" i="6" s="1"/>
  <c r="I2868" i="6"/>
  <c r="E2868" i="6" s="1"/>
  <c r="I2869" i="6"/>
  <c r="E2869" i="6" s="1"/>
  <c r="I2870" i="6"/>
  <c r="E2870" i="6" s="1"/>
  <c r="I2871" i="6"/>
  <c r="E2871" i="6" s="1"/>
  <c r="I2872" i="6"/>
  <c r="E2872" i="6" s="1"/>
  <c r="I2873" i="6"/>
  <c r="E2873" i="6" s="1"/>
  <c r="I2874" i="6"/>
  <c r="E2874" i="6" s="1"/>
  <c r="I2875" i="6"/>
  <c r="E2875" i="6" s="1"/>
  <c r="I2876" i="6"/>
  <c r="E2876" i="6" s="1"/>
  <c r="I2877" i="6"/>
  <c r="E2877" i="6" s="1"/>
  <c r="I2878" i="6"/>
  <c r="E2878" i="6" s="1"/>
  <c r="I2879" i="6"/>
  <c r="E2879" i="6" s="1"/>
  <c r="I2880" i="6"/>
  <c r="E2880" i="6" s="1"/>
  <c r="I2881" i="6"/>
  <c r="E2881" i="6" s="1"/>
  <c r="I2882" i="6"/>
  <c r="E2882" i="6" s="1"/>
  <c r="I2883" i="6"/>
  <c r="E2883" i="6" s="1"/>
  <c r="I2884" i="6"/>
  <c r="E2884" i="6" s="1"/>
  <c r="I2885" i="6"/>
  <c r="E2885" i="6" s="1"/>
  <c r="I2886" i="6"/>
  <c r="E2886" i="6" s="1"/>
  <c r="I2887" i="6"/>
  <c r="E2887" i="6" s="1"/>
  <c r="I2888" i="6"/>
  <c r="E2888" i="6" s="1"/>
  <c r="I2889" i="6"/>
  <c r="E2889" i="6" s="1"/>
  <c r="I2890" i="6"/>
  <c r="E2890" i="6" s="1"/>
  <c r="I2891" i="6"/>
  <c r="E2891" i="6" s="1"/>
  <c r="I2892" i="6"/>
  <c r="E2892" i="6" s="1"/>
  <c r="I2893" i="6"/>
  <c r="E2893" i="6" s="1"/>
  <c r="I2894" i="6"/>
  <c r="E2894" i="6" s="1"/>
  <c r="I2895" i="6"/>
  <c r="E2895" i="6" s="1"/>
  <c r="I2896" i="6"/>
  <c r="E2896" i="6" s="1"/>
  <c r="I2897" i="6"/>
  <c r="E2897" i="6" s="1"/>
  <c r="I2898" i="6"/>
  <c r="E2898" i="6" s="1"/>
  <c r="I2899" i="6"/>
  <c r="E2899" i="6" s="1"/>
  <c r="I2900" i="6"/>
  <c r="E2900" i="6" s="1"/>
  <c r="I2901" i="6"/>
  <c r="E2901" i="6" s="1"/>
  <c r="I2902" i="6"/>
  <c r="E2902" i="6" s="1"/>
  <c r="I2903" i="6"/>
  <c r="E2903" i="6" s="1"/>
  <c r="I2904" i="6"/>
  <c r="E2904" i="6" s="1"/>
  <c r="I2905" i="6"/>
  <c r="E2905" i="6" s="1"/>
  <c r="I2906" i="6"/>
  <c r="E2906" i="6" s="1"/>
  <c r="I2907" i="6"/>
  <c r="E2907" i="6" s="1"/>
  <c r="I2908" i="6"/>
  <c r="E2908" i="6" s="1"/>
  <c r="I2909" i="6"/>
  <c r="E2909" i="6" s="1"/>
  <c r="I2910" i="6"/>
  <c r="E2910" i="6" s="1"/>
  <c r="I2911" i="6"/>
  <c r="E2911" i="6" s="1"/>
  <c r="I2912" i="6"/>
  <c r="E2912" i="6" s="1"/>
  <c r="I2913" i="6"/>
  <c r="E2913" i="6" s="1"/>
  <c r="I2914" i="6"/>
  <c r="E2914" i="6" s="1"/>
  <c r="I2915" i="6"/>
  <c r="E2915" i="6" s="1"/>
  <c r="I2916" i="6"/>
  <c r="E2916" i="6" s="1"/>
  <c r="I2917" i="6"/>
  <c r="E2917" i="6" s="1"/>
  <c r="I2918" i="6"/>
  <c r="E2918" i="6" s="1"/>
  <c r="I2919" i="6"/>
  <c r="E2919" i="6" s="1"/>
  <c r="I2920" i="6"/>
  <c r="E2920" i="6" s="1"/>
  <c r="I2921" i="6"/>
  <c r="E2921" i="6" s="1"/>
  <c r="I2922" i="6"/>
  <c r="E2922" i="6" s="1"/>
  <c r="I2923" i="6"/>
  <c r="E2923" i="6" s="1"/>
  <c r="I2924" i="6"/>
  <c r="E2924" i="6" s="1"/>
  <c r="I2925" i="6"/>
  <c r="E2925" i="6" s="1"/>
  <c r="I2926" i="6"/>
  <c r="E2926" i="6" s="1"/>
  <c r="I2927" i="6"/>
  <c r="E2927" i="6" s="1"/>
  <c r="I2928" i="6"/>
  <c r="E2928" i="6" s="1"/>
  <c r="I2929" i="6"/>
  <c r="E2929" i="6" s="1"/>
  <c r="I2930" i="6"/>
  <c r="E2930" i="6" s="1"/>
  <c r="I2931" i="6"/>
  <c r="E2931" i="6" s="1"/>
  <c r="I2932" i="6"/>
  <c r="E2932" i="6" s="1"/>
  <c r="I2933" i="6"/>
  <c r="E2933" i="6" s="1"/>
  <c r="I2934" i="6"/>
  <c r="E2934" i="6" s="1"/>
  <c r="I2935" i="6"/>
  <c r="E2935" i="6" s="1"/>
  <c r="I2936" i="6"/>
  <c r="E2936" i="6" s="1"/>
  <c r="I2937" i="6"/>
  <c r="E2937" i="6" s="1"/>
  <c r="I2938" i="6"/>
  <c r="E2938" i="6" s="1"/>
  <c r="I2939" i="6"/>
  <c r="E2939" i="6" s="1"/>
  <c r="I2940" i="6"/>
  <c r="E2940" i="6" s="1"/>
  <c r="I2941" i="6"/>
  <c r="E2941" i="6" s="1"/>
  <c r="I2942" i="6"/>
  <c r="E2942" i="6" s="1"/>
  <c r="I2943" i="6"/>
  <c r="E2943" i="6" s="1"/>
  <c r="I2944" i="6"/>
  <c r="E2944" i="6" s="1"/>
  <c r="I2945" i="6"/>
  <c r="E2945" i="6" s="1"/>
  <c r="I2946" i="6"/>
  <c r="E2946" i="6" s="1"/>
  <c r="I2947" i="6"/>
  <c r="E2947" i="6" s="1"/>
  <c r="I2948" i="6"/>
  <c r="E2948" i="6" s="1"/>
  <c r="I2949" i="6"/>
  <c r="E2949" i="6" s="1"/>
  <c r="I2950" i="6"/>
  <c r="E2950" i="6" s="1"/>
  <c r="I2951" i="6"/>
  <c r="E2951" i="6" s="1"/>
  <c r="I2952" i="6"/>
  <c r="E2952" i="6" s="1"/>
  <c r="I2953" i="6"/>
  <c r="E2953" i="6" s="1"/>
  <c r="I2954" i="6"/>
  <c r="E2954" i="6" s="1"/>
  <c r="I2955" i="6"/>
  <c r="E2955" i="6" s="1"/>
  <c r="I2956" i="6"/>
  <c r="E2956" i="6" s="1"/>
  <c r="I2957" i="6"/>
  <c r="E2957" i="6" s="1"/>
  <c r="I2958" i="6"/>
  <c r="E2958" i="6" s="1"/>
  <c r="I2959" i="6"/>
  <c r="E2959" i="6" s="1"/>
  <c r="I2960" i="6"/>
  <c r="E2960" i="6" s="1"/>
  <c r="I2961" i="6"/>
  <c r="E2961" i="6" s="1"/>
  <c r="I2962" i="6"/>
  <c r="E2962" i="6" s="1"/>
  <c r="I2963" i="6"/>
  <c r="E2963" i="6" s="1"/>
  <c r="I2964" i="6"/>
  <c r="E2964" i="6" s="1"/>
  <c r="I2965" i="6"/>
  <c r="E2965" i="6" s="1"/>
  <c r="I2966" i="6"/>
  <c r="E2966" i="6" s="1"/>
  <c r="I2967" i="6"/>
  <c r="E2967" i="6" s="1"/>
  <c r="I2968" i="6"/>
  <c r="E2968" i="6" s="1"/>
  <c r="I2969" i="6"/>
  <c r="E2969" i="6" s="1"/>
  <c r="I2970" i="6"/>
  <c r="E2970" i="6" s="1"/>
  <c r="I2971" i="6"/>
  <c r="E2971" i="6" s="1"/>
  <c r="I2972" i="6"/>
  <c r="E2972" i="6" s="1"/>
  <c r="I2973" i="6"/>
  <c r="E2973" i="6" s="1"/>
  <c r="I2974" i="6"/>
  <c r="E2974" i="6" s="1"/>
  <c r="I2975" i="6"/>
  <c r="E2975" i="6" s="1"/>
  <c r="I2976" i="6"/>
  <c r="E2976" i="6" s="1"/>
  <c r="I2977" i="6"/>
  <c r="E2977" i="6" s="1"/>
  <c r="I2978" i="6"/>
  <c r="E2978" i="6" s="1"/>
  <c r="I2979" i="6"/>
  <c r="E2979" i="6" s="1"/>
  <c r="I2980" i="6"/>
  <c r="E2980" i="6" s="1"/>
  <c r="I2981" i="6"/>
  <c r="E2981" i="6" s="1"/>
  <c r="I2982" i="6"/>
  <c r="E2982" i="6" s="1"/>
  <c r="I2983" i="6"/>
  <c r="E2983" i="6" s="1"/>
  <c r="I2984" i="6"/>
  <c r="E2984" i="6" s="1"/>
  <c r="I2985" i="6"/>
  <c r="E2985" i="6" s="1"/>
  <c r="I2986" i="6"/>
  <c r="E2986" i="6" s="1"/>
  <c r="I2987" i="6"/>
  <c r="E2987" i="6" s="1"/>
  <c r="I2988" i="6"/>
  <c r="E2988" i="6" s="1"/>
  <c r="I2989" i="6"/>
  <c r="E2989" i="6" s="1"/>
  <c r="I2990" i="6"/>
  <c r="E2990" i="6" s="1"/>
  <c r="I2991" i="6"/>
  <c r="E2991" i="6" s="1"/>
  <c r="I2992" i="6"/>
  <c r="E2992" i="6" s="1"/>
  <c r="I2993" i="6"/>
  <c r="E2993" i="6" s="1"/>
  <c r="I2994" i="6"/>
  <c r="E2994" i="6" s="1"/>
  <c r="I2995" i="6"/>
  <c r="E2995" i="6" s="1"/>
  <c r="I2996" i="6"/>
  <c r="E2996" i="6" s="1"/>
  <c r="I2997" i="6"/>
  <c r="E2997" i="6" s="1"/>
  <c r="I2998" i="6"/>
  <c r="E2998" i="6" s="1"/>
  <c r="I2999" i="6"/>
  <c r="E2999" i="6" s="1"/>
  <c r="I3000" i="6"/>
  <c r="E3000" i="6" s="1"/>
  <c r="I3001" i="6"/>
  <c r="E3001" i="6" s="1"/>
  <c r="I3002" i="6"/>
  <c r="E3002" i="6" s="1"/>
  <c r="I3003" i="6"/>
  <c r="E3003" i="6" s="1"/>
  <c r="I3004" i="6"/>
  <c r="E3004" i="6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67" i="6"/>
  <c r="N67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304" i="6"/>
  <c r="K6893" i="6"/>
  <c r="K6095" i="6"/>
  <c r="N6893" i="6"/>
  <c r="M6893" i="6"/>
  <c r="K6785" i="6"/>
  <c r="M6204" i="6"/>
  <c r="M6465" i="6"/>
  <c r="M6339" i="6"/>
  <c r="K6480" i="6"/>
  <c r="L6751" i="6"/>
  <c r="M6263" i="6"/>
  <c r="N6840" i="6"/>
  <c r="N6529" i="6"/>
  <c r="N6476" i="6"/>
  <c r="M6396" i="6"/>
  <c r="K6548" i="6"/>
  <c r="K6529" i="6"/>
  <c r="N6409" i="6"/>
  <c r="K6396" i="6"/>
  <c r="M6785" i="6"/>
  <c r="M6529" i="6"/>
  <c r="K6409" i="6"/>
  <c r="N6237" i="6"/>
  <c r="N6785" i="6"/>
  <c r="N6548" i="6"/>
  <c r="N6313" i="6"/>
  <c r="K6256" i="6"/>
  <c r="N6765" i="6"/>
  <c r="L6339" i="6"/>
  <c r="M6592" i="6"/>
  <c r="L6592" i="6"/>
  <c r="M6736" i="6"/>
  <c r="L6631" i="6"/>
  <c r="K6592" i="6"/>
  <c r="N6561" i="6"/>
  <c r="K6561" i="6"/>
  <c r="M6411" i="6"/>
  <c r="M6393" i="6"/>
  <c r="N6360" i="6"/>
  <c r="N6195" i="6"/>
  <c r="K6896" i="6"/>
  <c r="M6840" i="6"/>
  <c r="K6736" i="6"/>
  <c r="N6661" i="6"/>
  <c r="L6411" i="6"/>
  <c r="K6393" i="6"/>
  <c r="M6360" i="6"/>
  <c r="L6263" i="6"/>
  <c r="L6155" i="6"/>
  <c r="N6151" i="6"/>
  <c r="N6736" i="6"/>
  <c r="N6853" i="6"/>
  <c r="N6848" i="6"/>
  <c r="L6400" i="6"/>
  <c r="N6729" i="6"/>
  <c r="L6687" i="6"/>
  <c r="M6400" i="6"/>
  <c r="K6231" i="6"/>
  <c r="L6151" i="6"/>
  <c r="M6853" i="6"/>
  <c r="N6760" i="6"/>
  <c r="K6400" i="6"/>
  <c r="L6250" i="6"/>
  <c r="M6631" i="6"/>
  <c r="N6393" i="6"/>
  <c r="K6263" i="6"/>
  <c r="M6873" i="6"/>
  <c r="M6776" i="6"/>
  <c r="M6765" i="6"/>
  <c r="N6720" i="6"/>
  <c r="M6409" i="6"/>
  <c r="K6339" i="6"/>
  <c r="L6673" i="6"/>
  <c r="M667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485" i="6"/>
  <c r="K6485" i="6"/>
  <c r="M6485" i="6"/>
  <c r="L6266" i="6"/>
  <c r="M6266" i="6"/>
  <c r="K6532" i="6"/>
  <c r="M6532" i="6"/>
  <c r="N6166" i="6"/>
  <c r="M6166" i="6"/>
  <c r="L6166" i="6"/>
  <c r="L6648" i="6"/>
  <c r="M6648" i="6"/>
  <c r="K6648" i="6"/>
  <c r="K6316" i="6"/>
  <c r="N6316" i="6"/>
  <c r="N6159" i="6"/>
  <c r="K6159" i="6"/>
  <c r="L6159" i="6"/>
  <c r="L6769" i="6"/>
  <c r="N6769" i="6"/>
  <c r="N6648" i="6"/>
  <c r="N6629" i="6"/>
  <c r="M6629" i="6"/>
  <c r="M6564" i="6"/>
  <c r="N6488" i="6"/>
  <c r="L6488" i="6"/>
  <c r="N6424" i="6"/>
  <c r="L6424" i="6"/>
  <c r="N6322" i="6"/>
  <c r="K6322" i="6"/>
  <c r="M6322" i="6"/>
  <c r="N6247" i="6"/>
  <c r="K6247" i="6"/>
  <c r="L6247" i="6"/>
  <c r="L6880" i="6"/>
  <c r="K6880" i="6"/>
  <c r="M6880" i="6"/>
  <c r="N6812" i="6"/>
  <c r="M6812" i="6"/>
  <c r="N6537" i="6"/>
  <c r="M6488" i="6"/>
  <c r="M6159" i="6"/>
  <c r="M6732" i="6"/>
  <c r="K6488" i="6"/>
  <c r="L6456" i="6"/>
  <c r="M6456" i="6"/>
  <c r="L6381" i="6"/>
  <c r="N6381" i="6"/>
  <c r="M6247" i="6"/>
  <c r="N6243" i="6"/>
  <c r="K6243" i="6"/>
  <c r="L6243" i="6"/>
  <c r="N6564" i="6"/>
  <c r="K6564" i="6"/>
  <c r="N6532" i="6"/>
  <c r="K6425" i="6"/>
  <c r="N6425" i="6"/>
  <c r="N6315" i="6"/>
  <c r="K6315" i="6"/>
  <c r="N6271" i="6"/>
  <c r="K6271" i="6"/>
  <c r="L6271" i="6"/>
  <c r="N688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K6840" i="6"/>
  <c r="K6741" i="6"/>
  <c r="K6433" i="6"/>
  <c r="L6396" i="6"/>
  <c r="K6260" i="6"/>
  <c r="N6905" i="6"/>
  <c r="N6884" i="6"/>
  <c r="M6716" i="6"/>
  <c r="N6704" i="6"/>
  <c r="M6556" i="6"/>
  <c r="N6372" i="6"/>
  <c r="M6300" i="6"/>
  <c r="M6255" i="6"/>
  <c r="M6216" i="6"/>
  <c r="N6192" i="6"/>
  <c r="M6143" i="6"/>
  <c r="N6300" i="6"/>
  <c r="N6216" i="6"/>
  <c r="M6905" i="6"/>
  <c r="K6905" i="6"/>
  <c r="M6899" i="6"/>
  <c r="M6884" i="6"/>
  <c r="M6816" i="6"/>
  <c r="M6799" i="6"/>
  <c r="M6788" i="6"/>
  <c r="M6720" i="6"/>
  <c r="L6716" i="6"/>
  <c r="M6661" i="6"/>
  <c r="N6657" i="6"/>
  <c r="L6556" i="6"/>
  <c r="M6427" i="6"/>
  <c r="K6300" i="6"/>
  <c r="N6284" i="6"/>
  <c r="N6259" i="6"/>
  <c r="L6255" i="6"/>
  <c r="N6224" i="6"/>
  <c r="K6216" i="6"/>
  <c r="M6192" i="6"/>
  <c r="K6192" i="6"/>
  <c r="K6111" i="6"/>
  <c r="K6103" i="6"/>
  <c r="N6889" i="6"/>
  <c r="L6879" i="6"/>
  <c r="N6873" i="6"/>
  <c r="M6832" i="6"/>
  <c r="M6820" i="6"/>
  <c r="L6799" i="6"/>
  <c r="N6776" i="6"/>
  <c r="M6768" i="6"/>
  <c r="K6756" i="6"/>
  <c r="M6751" i="6"/>
  <c r="K6720" i="6"/>
  <c r="K6661" i="6"/>
  <c r="K6649" i="6"/>
  <c r="M6561" i="6"/>
  <c r="K6460" i="6"/>
  <c r="M6284" i="6"/>
  <c r="K6284" i="6"/>
  <c r="M6259" i="6"/>
  <c r="M6224" i="6"/>
  <c r="K6224" i="6"/>
  <c r="K6180" i="6"/>
  <c r="M6155" i="6"/>
  <c r="K6146" i="6"/>
  <c r="K3248" i="6"/>
  <c r="K3157" i="6"/>
  <c r="K3174" i="6"/>
  <c r="K3396" i="6"/>
  <c r="K3173" i="6"/>
  <c r="K3340" i="6"/>
  <c r="K3290" i="6"/>
  <c r="K3165" i="6"/>
  <c r="K3377" i="6"/>
  <c r="K3145" i="6"/>
  <c r="K3280" i="6"/>
  <c r="K3148" i="6"/>
  <c r="K3194" i="6"/>
  <c r="K3400" i="6"/>
  <c r="K3201" i="6"/>
  <c r="K3328" i="6"/>
  <c r="K5224" i="6"/>
  <c r="K3356" i="6"/>
  <c r="K3254" i="6"/>
  <c r="K3221" i="6"/>
  <c r="K3302" i="6"/>
  <c r="K3285" i="6"/>
  <c r="K3209" i="6"/>
  <c r="K3181" i="6"/>
  <c r="K3386" i="6"/>
  <c r="K3261" i="6"/>
  <c r="K3234" i="6"/>
  <c r="K6073" i="6"/>
  <c r="K3368" i="6"/>
  <c r="M3368" i="6"/>
  <c r="K3274" i="6"/>
  <c r="K3188" i="6"/>
  <c r="K3402" i="6"/>
  <c r="K3296" i="6"/>
  <c r="K3216" i="6"/>
  <c r="K3308" i="6"/>
  <c r="K3268" i="6"/>
  <c r="K3228" i="6"/>
  <c r="K3240" i="6"/>
  <c r="M6856" i="6"/>
  <c r="M6227" i="6"/>
  <c r="N6559" i="6"/>
  <c r="M6559" i="6"/>
  <c r="L6559" i="6"/>
  <c r="N6669" i="6"/>
  <c r="M6123" i="6"/>
  <c r="L6856" i="6"/>
  <c r="N6780" i="6"/>
  <c r="M6780" i="6"/>
  <c r="K6644" i="6"/>
  <c r="M6644" i="6"/>
  <c r="N6612" i="6"/>
  <c r="K6612" i="6"/>
  <c r="N6517" i="6"/>
  <c r="M6517" i="6"/>
  <c r="L6301" i="6"/>
  <c r="M6301" i="6"/>
  <c r="K6248" i="6"/>
  <c r="N6248" i="6"/>
  <c r="L6123" i="6"/>
  <c r="L6118" i="6"/>
  <c r="M6118" i="6"/>
  <c r="L6628" i="6"/>
  <c r="M6628" i="6"/>
  <c r="N6455" i="6"/>
  <c r="M6455" i="6"/>
  <c r="N6851" i="6"/>
  <c r="M6851" i="6"/>
  <c r="N6709" i="6"/>
  <c r="L6385" i="6"/>
  <c r="K6385" i="6"/>
  <c r="M6385" i="6"/>
  <c r="L6897" i="6"/>
  <c r="K6897" i="6"/>
  <c r="N6897" i="6"/>
  <c r="N6628" i="6"/>
  <c r="L6455" i="6"/>
  <c r="K6119" i="6"/>
  <c r="M6119" i="6"/>
  <c r="N6119" i="6"/>
  <c r="L6652" i="6"/>
  <c r="M6652" i="6"/>
  <c r="L6432" i="6"/>
  <c r="K6432" i="6"/>
  <c r="M6420" i="6"/>
  <c r="K6388" i="6"/>
  <c r="L6388" i="6"/>
  <c r="M6388" i="6"/>
  <c r="N6132" i="6"/>
  <c r="M6132" i="6"/>
  <c r="K6123" i="6"/>
  <c r="M6889" i="6"/>
  <c r="M6876" i="6"/>
  <c r="L6768" i="6"/>
  <c r="M6729" i="6"/>
  <c r="L6696" i="6"/>
  <c r="N6696" i="6"/>
  <c r="L6644" i="6"/>
  <c r="L6625" i="6"/>
  <c r="K6625" i="6"/>
  <c r="L6612" i="6"/>
  <c r="L6532" i="6"/>
  <c r="K6492" i="6"/>
  <c r="L6492" i="6"/>
  <c r="M6492" i="6"/>
  <c r="N6432" i="6"/>
  <c r="N6375" i="6"/>
  <c r="L6375" i="6"/>
  <c r="M6375" i="6"/>
  <c r="N6303" i="6"/>
  <c r="K6303" i="6"/>
  <c r="L6303" i="6"/>
  <c r="N6301" i="6"/>
  <c r="K6259" i="6"/>
  <c r="M6257" i="6"/>
  <c r="N6257" i="6"/>
  <c r="K6255" i="6"/>
  <c r="N6198" i="6"/>
  <c r="L6198" i="6"/>
  <c r="M6198" i="6"/>
  <c r="L6188" i="6"/>
  <c r="K6188" i="6"/>
  <c r="M6188" i="6"/>
  <c r="N6868" i="6"/>
  <c r="M6868" i="6"/>
  <c r="L6817" i="6"/>
  <c r="M6817" i="6"/>
  <c r="N6817" i="6"/>
  <c r="N6227" i="6"/>
  <c r="K6227" i="6"/>
  <c r="L6876" i="6"/>
  <c r="N6861" i="6"/>
  <c r="M6844" i="6"/>
  <c r="L6844" i="6"/>
  <c r="M6828" i="6"/>
  <c r="M6811" i="6"/>
  <c r="L6797" i="6"/>
  <c r="M6797" i="6"/>
  <c r="N6797" i="6"/>
  <c r="L6788" i="6"/>
  <c r="L6732" i="6"/>
  <c r="K6729" i="6"/>
  <c r="N6652" i="6"/>
  <c r="N6625" i="6"/>
  <c r="N6620" i="6"/>
  <c r="N6544" i="6"/>
  <c r="K6544" i="6"/>
  <c r="L6544" i="6"/>
  <c r="M6432" i="6"/>
  <c r="N6388" i="6"/>
  <c r="K6347" i="6"/>
  <c r="L6347" i="6"/>
  <c r="M6347" i="6"/>
  <c r="L6332" i="6"/>
  <c r="N6332" i="6"/>
  <c r="N6329" i="6"/>
  <c r="L6749" i="6"/>
  <c r="N6749" i="6"/>
  <c r="N6508" i="6"/>
  <c r="M6508" i="6"/>
  <c r="K6295" i="6"/>
  <c r="N6295" i="6"/>
  <c r="K6184" i="6"/>
  <c r="N6184" i="6"/>
  <c r="L6789" i="6"/>
  <c r="K6789" i="6"/>
  <c r="N6789" i="6"/>
  <c r="N6507" i="6"/>
  <c r="L6507" i="6"/>
  <c r="M6507" i="6"/>
  <c r="K6416" i="6"/>
  <c r="L6416" i="6"/>
  <c r="M6416" i="6"/>
  <c r="K6160" i="6"/>
  <c r="N6160" i="6"/>
  <c r="N6865" i="6"/>
  <c r="K6861" i="6"/>
  <c r="L6848" i="6"/>
  <c r="K6848" i="6"/>
  <c r="K6828" i="6"/>
  <c r="K6788" i="6"/>
  <c r="L6771" i="6"/>
  <c r="K6732" i="6"/>
  <c r="K6704" i="6"/>
  <c r="L6704" i="6"/>
  <c r="M6625" i="6"/>
  <c r="L6577" i="6"/>
  <c r="K6577" i="6"/>
  <c r="M6577" i="6"/>
  <c r="N6503" i="6"/>
  <c r="L6503" i="6"/>
  <c r="N6492" i="6"/>
  <c r="L6380" i="6"/>
  <c r="N6380" i="6"/>
  <c r="M6144" i="6"/>
  <c r="N6144" i="6"/>
  <c r="N6379" i="6"/>
  <c r="L6379" i="6"/>
  <c r="L6130" i="6"/>
  <c r="M6130" i="6"/>
  <c r="K6844" i="6"/>
  <c r="N6756" i="6"/>
  <c r="K6672" i="6"/>
  <c r="N6672" i="6"/>
  <c r="N6607" i="6"/>
  <c r="M6607" i="6"/>
  <c r="L6516" i="6"/>
  <c r="K6516" i="6"/>
  <c r="M6516" i="6"/>
  <c r="L6352" i="6"/>
  <c r="N6352" i="6"/>
  <c r="M6103" i="6"/>
  <c r="K6098" i="6"/>
  <c r="M6098" i="6"/>
  <c r="L6600" i="6"/>
  <c r="N6600" i="6"/>
  <c r="K6584" i="6"/>
  <c r="N6584" i="6"/>
  <c r="K6549" i="6"/>
  <c r="N6549" i="6"/>
  <c r="N6391" i="6"/>
  <c r="L6391" i="6"/>
  <c r="M6391" i="6"/>
  <c r="M6379" i="6"/>
  <c r="L6234" i="6"/>
  <c r="M6234" i="6"/>
  <c r="L6103" i="6"/>
  <c r="K5927" i="6"/>
  <c r="M5927" i="6"/>
  <c r="M6891" i="6"/>
  <c r="K6884" i="6"/>
  <c r="M6877" i="6"/>
  <c r="N6825" i="6"/>
  <c r="L6820" i="6"/>
  <c r="N6809" i="6"/>
  <c r="N6805" i="6"/>
  <c r="K6776" i="6"/>
  <c r="M6769" i="6"/>
  <c r="M6760" i="6"/>
  <c r="L6756" i="6"/>
  <c r="N6724" i="6"/>
  <c r="L6713" i="6"/>
  <c r="N6713" i="6"/>
  <c r="N6689" i="6"/>
  <c r="M6672" i="6"/>
  <c r="N6671" i="6"/>
  <c r="L6671" i="6"/>
  <c r="M6646" i="6"/>
  <c r="M6627" i="6"/>
  <c r="L6607" i="6"/>
  <c r="L6541" i="6"/>
  <c r="K6541" i="6"/>
  <c r="M6541" i="6"/>
  <c r="N6516" i="6"/>
  <c r="N6501" i="6"/>
  <c r="M6476" i="6"/>
  <c r="M6467" i="6"/>
  <c r="M6460" i="6"/>
  <c r="L6427" i="6"/>
  <c r="K6352" i="6"/>
  <c r="N6351" i="6"/>
  <c r="K6351" i="6"/>
  <c r="L6351" i="6"/>
  <c r="K6280" i="6"/>
  <c r="N6260" i="6"/>
  <c r="N6162" i="6"/>
  <c r="M6162" i="6"/>
  <c r="K6155" i="6"/>
  <c r="N6134" i="6"/>
  <c r="K6134" i="6"/>
  <c r="L6134" i="6"/>
  <c r="L6891" i="6"/>
  <c r="K6877" i="6"/>
  <c r="M6867" i="6"/>
  <c r="K6825" i="6"/>
  <c r="N6816" i="6"/>
  <c r="K6805" i="6"/>
  <c r="M6796" i="6"/>
  <c r="M6779" i="6"/>
  <c r="K6769" i="6"/>
  <c r="K6760" i="6"/>
  <c r="N6748" i="6"/>
  <c r="K6724" i="6"/>
  <c r="K6692" i="6"/>
  <c r="N6692" i="6"/>
  <c r="L6629" i="6"/>
  <c r="K6629" i="6"/>
  <c r="L6627" i="6"/>
  <c r="M6584" i="6"/>
  <c r="L6504" i="6"/>
  <c r="N6504" i="6"/>
  <c r="N6487" i="6"/>
  <c r="M6487" i="6"/>
  <c r="K6476" i="6"/>
  <c r="L6467" i="6"/>
  <c r="L6460" i="6"/>
  <c r="K6376" i="6"/>
  <c r="N6376" i="6"/>
  <c r="L6372" i="6"/>
  <c r="K6372" i="6"/>
  <c r="L6204" i="6"/>
  <c r="K6204" i="6"/>
  <c r="L6195" i="6"/>
  <c r="K6195" i="6"/>
  <c r="K6628" i="6"/>
  <c r="K6556" i="6"/>
  <c r="K6604" i="6"/>
  <c r="K6331" i="6"/>
  <c r="K6293" i="6"/>
  <c r="N4755" i="6"/>
  <c r="N6673" i="6"/>
  <c r="N6604" i="6"/>
  <c r="K6151" i="6"/>
  <c r="N5723" i="6"/>
  <c r="N5663" i="6"/>
  <c r="N3500" i="6"/>
  <c r="K5865" i="6"/>
  <c r="M5865" i="6"/>
  <c r="K5833" i="6"/>
  <c r="M5833" i="6"/>
  <c r="M4176" i="6"/>
  <c r="N3910" i="6"/>
  <c r="N3894" i="6"/>
  <c r="K6077" i="6"/>
  <c r="K6076" i="6"/>
  <c r="K5740" i="6"/>
  <c r="M5740" i="6"/>
  <c r="K4987" i="6"/>
  <c r="K4731" i="6"/>
  <c r="N4719" i="6"/>
  <c r="N4675" i="6"/>
  <c r="N4631" i="6"/>
  <c r="K4626" i="6"/>
  <c r="M4626" i="6"/>
  <c r="K4454" i="6"/>
  <c r="M4454" i="6"/>
  <c r="N4293" i="6"/>
  <c r="L5865" i="6"/>
  <c r="N5865" i="6"/>
  <c r="K5998" i="6"/>
  <c r="K5946" i="6"/>
  <c r="K5846" i="6"/>
  <c r="K5836" i="6"/>
  <c r="K5824" i="6"/>
  <c r="M5824" i="6"/>
  <c r="K5816" i="6"/>
  <c r="M5816" i="6"/>
  <c r="K5541" i="6"/>
  <c r="K5521" i="6"/>
  <c r="N5479" i="6"/>
  <c r="K4672" i="6"/>
  <c r="M4672" i="6"/>
  <c r="K4652" i="6"/>
  <c r="K4628" i="6"/>
  <c r="M4628" i="6"/>
  <c r="K4210" i="6"/>
  <c r="M4210" i="6"/>
  <c r="N3884" i="6"/>
  <c r="K3736" i="6"/>
  <c r="N3522" i="6"/>
  <c r="N3414" i="6"/>
  <c r="L6757" i="6"/>
  <c r="M6757" i="6"/>
  <c r="L6705" i="6"/>
  <c r="M6705" i="6"/>
  <c r="N6667" i="6"/>
  <c r="L6667" i="6"/>
  <c r="N6647" i="6"/>
  <c r="M6647" i="6"/>
  <c r="L6621" i="6"/>
  <c r="K6621" i="6"/>
  <c r="K6468" i="6"/>
  <c r="L6468" i="6"/>
  <c r="M6468" i="6"/>
  <c r="N6463" i="6"/>
  <c r="L6463" i="6"/>
  <c r="M6463" i="6"/>
  <c r="N6428" i="6"/>
  <c r="L6428" i="6"/>
  <c r="K6428" i="6"/>
  <c r="M6428" i="6"/>
  <c r="L6404" i="6"/>
  <c r="M6404" i="6"/>
  <c r="K6404" i="6"/>
  <c r="N6404" i="6"/>
  <c r="K6361" i="6"/>
  <c r="M6361" i="6"/>
  <c r="N6361" i="6"/>
  <c r="L6238" i="6"/>
  <c r="M6238" i="6"/>
  <c r="L6899" i="6"/>
  <c r="K6889" i="6"/>
  <c r="K6876" i="6"/>
  <c r="K6873" i="6"/>
  <c r="L6868" i="6"/>
  <c r="L6867" i="6"/>
  <c r="M6865" i="6"/>
  <c r="M6863" i="6"/>
  <c r="K6856" i="6"/>
  <c r="K6853" i="6"/>
  <c r="L6851" i="6"/>
  <c r="L6832" i="6"/>
  <c r="M6827" i="6"/>
  <c r="K6820" i="6"/>
  <c r="K6817" i="6"/>
  <c r="K6816" i="6"/>
  <c r="L6812" i="6"/>
  <c r="L6811" i="6"/>
  <c r="M6809" i="6"/>
  <c r="M6807" i="6"/>
  <c r="K6797" i="6"/>
  <c r="L6796" i="6"/>
  <c r="M6791" i="6"/>
  <c r="L6780" i="6"/>
  <c r="L6779" i="6"/>
  <c r="M6777" i="6"/>
  <c r="K6768" i="6"/>
  <c r="K6765" i="6"/>
  <c r="N6757" i="6"/>
  <c r="M6749" i="6"/>
  <c r="M6748" i="6"/>
  <c r="L6747" i="6"/>
  <c r="N6743" i="6"/>
  <c r="L6743" i="6"/>
  <c r="L6741" i="6"/>
  <c r="M6741" i="6"/>
  <c r="N6740" i="6"/>
  <c r="K6716" i="6"/>
  <c r="K6713" i="6"/>
  <c r="N6705" i="6"/>
  <c r="M6696" i="6"/>
  <c r="M6692" i="6"/>
  <c r="L6691" i="6"/>
  <c r="L6685" i="6"/>
  <c r="K6685" i="6"/>
  <c r="K6673" i="6"/>
  <c r="L6672" i="6"/>
  <c r="M6657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599" i="6"/>
  <c r="L6599" i="6"/>
  <c r="M6599" i="6"/>
  <c r="N6588" i="6"/>
  <c r="K6588" i="6"/>
  <c r="L6588" i="6"/>
  <c r="L6533" i="6"/>
  <c r="M6533" i="6"/>
  <c r="K6533" i="6"/>
  <c r="N6533" i="6"/>
  <c r="L6497" i="6"/>
  <c r="K6497" i="6"/>
  <c r="M6497" i="6"/>
  <c r="N6497" i="6"/>
  <c r="N6483" i="6"/>
  <c r="M6483" i="6"/>
  <c r="L6483" i="6"/>
  <c r="L6176" i="6"/>
  <c r="K6176" i="6"/>
  <c r="N6176" i="6"/>
  <c r="M6176" i="6"/>
  <c r="M6897" i="6"/>
  <c r="M6879" i="6"/>
  <c r="K6868" i="6"/>
  <c r="K6865" i="6"/>
  <c r="L6863" i="6"/>
  <c r="M6861" i="6"/>
  <c r="K6832" i="6"/>
  <c r="L6827" i="6"/>
  <c r="M6825" i="6"/>
  <c r="K6812" i="6"/>
  <c r="K6809" i="6"/>
  <c r="L6807" i="6"/>
  <c r="M6805" i="6"/>
  <c r="K6796" i="6"/>
  <c r="L6791" i="6"/>
  <c r="M6789" i="6"/>
  <c r="K6780" i="6"/>
  <c r="K6777" i="6"/>
  <c r="M6771" i="6"/>
  <c r="K6757" i="6"/>
  <c r="K6749" i="6"/>
  <c r="L6748" i="6"/>
  <c r="N6741" i="6"/>
  <c r="L6740" i="6"/>
  <c r="K6740" i="6"/>
  <c r="M6724" i="6"/>
  <c r="L6709" i="6"/>
  <c r="K6709" i="6"/>
  <c r="K6705" i="6"/>
  <c r="K6696" i="6"/>
  <c r="L6692" i="6"/>
  <c r="M6687" i="6"/>
  <c r="N6685" i="6"/>
  <c r="L6669" i="6"/>
  <c r="K6669" i="6"/>
  <c r="M6667" i="6"/>
  <c r="K6657" i="6"/>
  <c r="N6649" i="6"/>
  <c r="L6647" i="6"/>
  <c r="N6641" i="6"/>
  <c r="M6624" i="6"/>
  <c r="M6621" i="6"/>
  <c r="L6477" i="6"/>
  <c r="M6477" i="6"/>
  <c r="K6477" i="6"/>
  <c r="N6477" i="6"/>
  <c r="N6468" i="6"/>
  <c r="K6436" i="6"/>
  <c r="M6436" i="6"/>
  <c r="L6436" i="6"/>
  <c r="N6436" i="6"/>
  <c r="N6431" i="6"/>
  <c r="M6431" i="6"/>
  <c r="L6431" i="6"/>
  <c r="M6183" i="6"/>
  <c r="N6183" i="6"/>
  <c r="L6183" i="6"/>
  <c r="N6131" i="6"/>
  <c r="K6131" i="6"/>
  <c r="M6131" i="6"/>
  <c r="L6131" i="6"/>
  <c r="L6689" i="6"/>
  <c r="K6689" i="6"/>
  <c r="N6663" i="6"/>
  <c r="M6663" i="6"/>
  <c r="K6620" i="6"/>
  <c r="L6620" i="6"/>
  <c r="N6583" i="6"/>
  <c r="L6583" i="6"/>
  <c r="M6583" i="6"/>
  <c r="N6572" i="6"/>
  <c r="K6572" i="6"/>
  <c r="L6572" i="6"/>
  <c r="L6524" i="6"/>
  <c r="M6524" i="6"/>
  <c r="K6520" i="6"/>
  <c r="L6520" i="6"/>
  <c r="M6520" i="6"/>
  <c r="N6511" i="6"/>
  <c r="M6511" i="6"/>
  <c r="L6511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N6567" i="6"/>
  <c r="M6567" i="6"/>
  <c r="N6515" i="6"/>
  <c r="L6515" i="6"/>
  <c r="N6491" i="6"/>
  <c r="M6491" i="6"/>
  <c r="N6447" i="6"/>
  <c r="L6447" i="6"/>
  <c r="L6437" i="6"/>
  <c r="M6437" i="6"/>
  <c r="L6405" i="6"/>
  <c r="K6405" i="6"/>
  <c r="N6405" i="6"/>
  <c r="L6389" i="6"/>
  <c r="M6389" i="6"/>
  <c r="N6362" i="6"/>
  <c r="L6362" i="6"/>
  <c r="M6362" i="6"/>
  <c r="K6321" i="6"/>
  <c r="N6321" i="6"/>
  <c r="L6321" i="6"/>
  <c r="K6285" i="6"/>
  <c r="L6285" i="6"/>
  <c r="M6285" i="6"/>
  <c r="L6272" i="6"/>
  <c r="M6272" i="6"/>
  <c r="N6272" i="6"/>
  <c r="L6244" i="6"/>
  <c r="M6244" i="6"/>
  <c r="K6244" i="6"/>
  <c r="N6222" i="6"/>
  <c r="M6222" i="6"/>
  <c r="L6222" i="6"/>
  <c r="N6138" i="6"/>
  <c r="K6138" i="6"/>
  <c r="M6138" i="6"/>
  <c r="K6136" i="6"/>
  <c r="N6136" i="6"/>
  <c r="L6604" i="6"/>
  <c r="M6601" i="6"/>
  <c r="M6600" i="6"/>
  <c r="L6584" i="6"/>
  <c r="M6579" i="6"/>
  <c r="L6537" i="6"/>
  <c r="K6537" i="6"/>
  <c r="K6524" i="6"/>
  <c r="L6508" i="6"/>
  <c r="M6504" i="6"/>
  <c r="M6501" i="6"/>
  <c r="L6480" i="6"/>
  <c r="M6480" i="6"/>
  <c r="N6456" i="6"/>
  <c r="K6456" i="6"/>
  <c r="N6443" i="6"/>
  <c r="M6443" i="6"/>
  <c r="L6443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M6381" i="6"/>
  <c r="M6380" i="6"/>
  <c r="M6376" i="6"/>
  <c r="K6337" i="6"/>
  <c r="N6337" i="6"/>
  <c r="M6334" i="6"/>
  <c r="M6332" i="6"/>
  <c r="M6331" i="6"/>
  <c r="L6316" i="6"/>
  <c r="M6316" i="6"/>
  <c r="N6314" i="6"/>
  <c r="L6314" i="6"/>
  <c r="M6314" i="6"/>
  <c r="L6212" i="6"/>
  <c r="M6212" i="6"/>
  <c r="K6212" i="6"/>
  <c r="N6186" i="6"/>
  <c r="M6186" i="6"/>
  <c r="K6175" i="6"/>
  <c r="L6175" i="6"/>
  <c r="M6175" i="6"/>
  <c r="K6107" i="6"/>
  <c r="M6107" i="6"/>
  <c r="N6107" i="6"/>
  <c r="K6092" i="6"/>
  <c r="N6092" i="6"/>
  <c r="N6083" i="6"/>
  <c r="K6601" i="6"/>
  <c r="K6600" i="6"/>
  <c r="L6579" i="6"/>
  <c r="L6567" i="6"/>
  <c r="N6551" i="6"/>
  <c r="L6551" i="6"/>
  <c r="L6549" i="6"/>
  <c r="M6549" i="6"/>
  <c r="N6531" i="6"/>
  <c r="M6531" i="6"/>
  <c r="L6517" i="6"/>
  <c r="K6517" i="6"/>
  <c r="M6515" i="6"/>
  <c r="K6508" i="6"/>
  <c r="K6504" i="6"/>
  <c r="K6501" i="6"/>
  <c r="L6491" i="6"/>
  <c r="M6447" i="6"/>
  <c r="K6437" i="6"/>
  <c r="L6425" i="6"/>
  <c r="M6425" i="6"/>
  <c r="M6405" i="6"/>
  <c r="K6389" i="6"/>
  <c r="K6381" i="6"/>
  <c r="K6380" i="6"/>
  <c r="L6376" i="6"/>
  <c r="L6334" i="6"/>
  <c r="K6334" i="6"/>
  <c r="K6332" i="6"/>
  <c r="L6331" i="6"/>
  <c r="N6326" i="6"/>
  <c r="M6326" i="6"/>
  <c r="L6304" i="6"/>
  <c r="N6304" i="6"/>
  <c r="N6294" i="6"/>
  <c r="M6294" i="6"/>
  <c r="N6290" i="6"/>
  <c r="M6290" i="6"/>
  <c r="K6290" i="6"/>
  <c r="N6285" i="6"/>
  <c r="K6272" i="6"/>
  <c r="L6268" i="6"/>
  <c r="K6268" i="6"/>
  <c r="M6268" i="6"/>
  <c r="N6244" i="6"/>
  <c r="M6231" i="6"/>
  <c r="N6231" i="6"/>
  <c r="L6172" i="6"/>
  <c r="K6172" i="6"/>
  <c r="M6172" i="6"/>
  <c r="K6156" i="6"/>
  <c r="N6156" i="6"/>
  <c r="M6156" i="6"/>
  <c r="L6465" i="6"/>
  <c r="K6465" i="6"/>
  <c r="N6387" i="6"/>
  <c r="M6387" i="6"/>
  <c r="L6368" i="6"/>
  <c r="K6368" i="6"/>
  <c r="L6364" i="6"/>
  <c r="M6364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56" i="6"/>
  <c r="M6256" i="6"/>
  <c r="N6256" i="6"/>
  <c r="L6228" i="6"/>
  <c r="M6228" i="6"/>
  <c r="N6228" i="6"/>
  <c r="N6146" i="6"/>
  <c r="L6146" i="6"/>
  <c r="N6143" i="6"/>
  <c r="K6143" i="6"/>
  <c r="L6119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098" i="6"/>
  <c r="L6098" i="6"/>
  <c r="K5636" i="6"/>
  <c r="M5636" i="6"/>
  <c r="K5626" i="6"/>
  <c r="M5626" i="6"/>
  <c r="K5804" i="6"/>
  <c r="M5804" i="6"/>
  <c r="K5772" i="6"/>
  <c r="M5772" i="6"/>
  <c r="K6364" i="6"/>
  <c r="K6357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30" i="6"/>
  <c r="K6130" i="6"/>
  <c r="N6111" i="6"/>
  <c r="L6111" i="6"/>
  <c r="L6095" i="6"/>
  <c r="M6095" i="6"/>
  <c r="K6301" i="6"/>
  <c r="L6184" i="6"/>
  <c r="M6184" i="6"/>
  <c r="N6178" i="6"/>
  <c r="M6178" i="6"/>
  <c r="N6158" i="6"/>
  <c r="M6158" i="6"/>
  <c r="N6118" i="6"/>
  <c r="K6118" i="6"/>
  <c r="N5743" i="6"/>
  <c r="N3623" i="6"/>
  <c r="N5523" i="6"/>
  <c r="K5261" i="6"/>
  <c r="M5261" i="6"/>
  <c r="K5257" i="6"/>
  <c r="M5257" i="6"/>
  <c r="K5241" i="6"/>
  <c r="M5241" i="6"/>
  <c r="N4923" i="6"/>
  <c r="K4752" i="6"/>
  <c r="M4085" i="6"/>
  <c r="K4077" i="6"/>
  <c r="M4077" i="6"/>
  <c r="K4065" i="6"/>
  <c r="M4065" i="6"/>
  <c r="M4064" i="6"/>
  <c r="K6144" i="6"/>
  <c r="K6132" i="6"/>
  <c r="N5907" i="6"/>
  <c r="K5748" i="6"/>
  <c r="M5748" i="6"/>
  <c r="K5744" i="6"/>
  <c r="K5741" i="6"/>
  <c r="M5741" i="6"/>
  <c r="K5605" i="6"/>
  <c r="M5605" i="6"/>
  <c r="K4835" i="6"/>
  <c r="M4835" i="6"/>
  <c r="K4831" i="6"/>
  <c r="M4831" i="6"/>
  <c r="K4437" i="6"/>
  <c r="M4437" i="6"/>
  <c r="K4204" i="6"/>
  <c r="M4204" i="6"/>
  <c r="M4156" i="6"/>
  <c r="N6032" i="6"/>
  <c r="N6008" i="6"/>
  <c r="N5237" i="6"/>
  <c r="K6086" i="6"/>
  <c r="M6086" i="6"/>
  <c r="N5831" i="6"/>
  <c r="N5827" i="6"/>
  <c r="K5805" i="6"/>
  <c r="M5805" i="6"/>
  <c r="K5784" i="6"/>
  <c r="M5784" i="6"/>
  <c r="K5773" i="6"/>
  <c r="M5773" i="6"/>
  <c r="L5541" i="6"/>
  <c r="N5541" i="6"/>
  <c r="K5425" i="6"/>
  <c r="M5425" i="6"/>
  <c r="K5421" i="6"/>
  <c r="M5421" i="6"/>
  <c r="K5092" i="6"/>
  <c r="M5092" i="6"/>
  <c r="N5003" i="6"/>
  <c r="K4377" i="6"/>
  <c r="M4377" i="6"/>
  <c r="K4313" i="6"/>
  <c r="M4313" i="6"/>
  <c r="M4026" i="6"/>
  <c r="M3621" i="6"/>
  <c r="K3620" i="6"/>
  <c r="M3620" i="6"/>
  <c r="K3076" i="6"/>
  <c r="M3076" i="6"/>
  <c r="N5555" i="6"/>
  <c r="K4245" i="6"/>
  <c r="M4245" i="6"/>
  <c r="L4077" i="6"/>
  <c r="N4077" i="6"/>
  <c r="M3523" i="6"/>
  <c r="L6086" i="6"/>
  <c r="N6038" i="6"/>
  <c r="N5914" i="6"/>
  <c r="K5829" i="6"/>
  <c r="L5829" i="6"/>
  <c r="N5829" i="6"/>
  <c r="N5799" i="6"/>
  <c r="K5661" i="6"/>
  <c r="M5661" i="6"/>
  <c r="L5661" i="6"/>
  <c r="N5661" i="6"/>
  <c r="L5605" i="6"/>
  <c r="N5605" i="6"/>
  <c r="L5726" i="6"/>
  <c r="K5726" i="6"/>
  <c r="M5726" i="6"/>
  <c r="K4819" i="6"/>
  <c r="L4819" i="6"/>
  <c r="N4819" i="6"/>
  <c r="K6084" i="6"/>
  <c r="K6070" i="6"/>
  <c r="M6070" i="6"/>
  <c r="K6058" i="6"/>
  <c r="K5909" i="6"/>
  <c r="N5859" i="6"/>
  <c r="K5828" i="6"/>
  <c r="M5828" i="6"/>
  <c r="K5814" i="6"/>
  <c r="M5814" i="6"/>
  <c r="K5704" i="6"/>
  <c r="K5660" i="6"/>
  <c r="K5652" i="6"/>
  <c r="M5652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5922" i="6"/>
  <c r="M5922" i="6"/>
  <c r="K5914" i="6"/>
  <c r="M5914" i="6"/>
  <c r="K5888" i="6"/>
  <c r="K5336" i="6"/>
  <c r="M5336" i="6"/>
  <c r="K4389" i="6"/>
  <c r="M4389" i="6"/>
  <c r="L4389" i="6"/>
  <c r="N4389" i="6"/>
  <c r="N3639" i="6"/>
  <c r="K5745" i="6"/>
  <c r="M5745" i="6"/>
  <c r="N5731" i="6"/>
  <c r="K5724" i="6"/>
  <c r="N5721" i="6"/>
  <c r="K5701" i="6"/>
  <c r="M5701" i="6"/>
  <c r="K5666" i="6"/>
  <c r="M5666" i="6"/>
  <c r="N5459" i="6"/>
  <c r="K5296" i="6"/>
  <c r="M5296" i="6"/>
  <c r="N5235" i="6"/>
  <c r="K4771" i="6"/>
  <c r="M4771" i="6"/>
  <c r="K4676" i="6"/>
  <c r="K4632" i="6"/>
  <c r="M4632" i="6"/>
  <c r="M4088" i="6"/>
  <c r="K4045" i="6"/>
  <c r="M4045" i="6"/>
  <c r="K4010" i="6"/>
  <c r="M4010" i="6"/>
  <c r="K3996" i="6"/>
  <c r="M3996" i="6"/>
  <c r="N3856" i="6"/>
  <c r="K5013" i="6"/>
  <c r="M5013" i="6"/>
  <c r="K4939" i="6"/>
  <c r="M4939" i="6"/>
  <c r="K4194" i="6"/>
  <c r="M4194" i="6"/>
  <c r="M3500" i="6"/>
  <c r="N5221" i="6"/>
  <c r="N3900" i="6"/>
  <c r="K3466" i="6"/>
  <c r="M3466" i="6"/>
  <c r="K3465" i="6"/>
  <c r="M3465" i="6"/>
  <c r="M3308" i="6"/>
  <c r="M3296" i="6"/>
  <c r="N3188" i="6"/>
  <c r="K3131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L5364" i="6"/>
  <c r="N5364" i="6"/>
  <c r="K5364" i="6"/>
  <c r="M5364" i="6"/>
  <c r="K5041" i="6"/>
  <c r="L5041" i="6"/>
  <c r="N5041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6014" i="6"/>
  <c r="L5946" i="6"/>
  <c r="N5946" i="6"/>
  <c r="N5097" i="6"/>
  <c r="N4665" i="6"/>
  <c r="K6079" i="6"/>
  <c r="M6079" i="6"/>
  <c r="K6072" i="6"/>
  <c r="M6072" i="6"/>
  <c r="K6010" i="6"/>
  <c r="M5836" i="6"/>
  <c r="M5704" i="6"/>
  <c r="N5539" i="6"/>
  <c r="N5531" i="6"/>
  <c r="N4605" i="6"/>
  <c r="K6078" i="6"/>
  <c r="M6078" i="6"/>
  <c r="K6071" i="6"/>
  <c r="M6071" i="6"/>
  <c r="K6046" i="6"/>
  <c r="M6046" i="6"/>
  <c r="K5958" i="6"/>
  <c r="M5958" i="6"/>
  <c r="L5943" i="6"/>
  <c r="N5943" i="6"/>
  <c r="K5943" i="6"/>
  <c r="M5943" i="6"/>
  <c r="L5858" i="6"/>
  <c r="N5858" i="6"/>
  <c r="K5858" i="6"/>
  <c r="M5858" i="6"/>
  <c r="N5587" i="6"/>
  <c r="L5553" i="6"/>
  <c r="L5421" i="6"/>
  <c r="N5421" i="6"/>
  <c r="N5127" i="6"/>
  <c r="K4633" i="6"/>
  <c r="M4633" i="6"/>
  <c r="L4633" i="6"/>
  <c r="N4633" i="6"/>
  <c r="L4498" i="6"/>
  <c r="N4498" i="6"/>
  <c r="K4498" i="6"/>
  <c r="M4498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N4149" i="6"/>
  <c r="L4138" i="6"/>
  <c r="N4138" i="6"/>
  <c r="M4138" i="6"/>
  <c r="L4041" i="6"/>
  <c r="N4041" i="6"/>
  <c r="M4041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733" i="6"/>
  <c r="K3699" i="6"/>
  <c r="M3699" i="6"/>
  <c r="L3699" i="6"/>
  <c r="N3699" i="6"/>
  <c r="K5832" i="6"/>
  <c r="M5832" i="6"/>
  <c r="K5797" i="6"/>
  <c r="M5797" i="6"/>
  <c r="K5733" i="6"/>
  <c r="K5696" i="6"/>
  <c r="M5696" i="6"/>
  <c r="K5664" i="6"/>
  <c r="M5664" i="6"/>
  <c r="N5615" i="6"/>
  <c r="K5228" i="6"/>
  <c r="M5228" i="6"/>
  <c r="K5045" i="6"/>
  <c r="M5045" i="6"/>
  <c r="K5011" i="6"/>
  <c r="M5011" i="6"/>
  <c r="K4971" i="6"/>
  <c r="M4971" i="6"/>
  <c r="K4963" i="6"/>
  <c r="M4963" i="6"/>
  <c r="N4911" i="6"/>
  <c r="N4781" i="6"/>
  <c r="L4422" i="6"/>
  <c r="N4422" i="6"/>
  <c r="K4422" i="6"/>
  <c r="M4422" i="6"/>
  <c r="K5896" i="6"/>
  <c r="M5896" i="6"/>
  <c r="K5864" i="6"/>
  <c r="M5864" i="6"/>
  <c r="K5856" i="6"/>
  <c r="M5856" i="6"/>
  <c r="K5848" i="6"/>
  <c r="M5848" i="6"/>
  <c r="K5757" i="6"/>
  <c r="M5757" i="6"/>
  <c r="K5728" i="6"/>
  <c r="M5728" i="6"/>
  <c r="K5680" i="6"/>
  <c r="M5680" i="6"/>
  <c r="K5589" i="6"/>
  <c r="M5589" i="6"/>
  <c r="N5571" i="6"/>
  <c r="N5563" i="6"/>
  <c r="K5537" i="6"/>
  <c r="M5537" i="6"/>
  <c r="K5533" i="6"/>
  <c r="M5533" i="6"/>
  <c r="K5525" i="6"/>
  <c r="M5525" i="6"/>
  <c r="K5266" i="6"/>
  <c r="M5266" i="6"/>
  <c r="K5240" i="6"/>
  <c r="M5240" i="6"/>
  <c r="N4895" i="6"/>
  <c r="N4829" i="6"/>
  <c r="N4761" i="6"/>
  <c r="K4677" i="6"/>
  <c r="M4677" i="6"/>
  <c r="N4667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28" i="6"/>
  <c r="N4128" i="6"/>
  <c r="K4128" i="6"/>
  <c r="M4128" i="6"/>
  <c r="L3509" i="6"/>
  <c r="M3509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737" i="6"/>
  <c r="M3737" i="6"/>
  <c r="K3734" i="6"/>
  <c r="M3734" i="6"/>
  <c r="M3274" i="6"/>
  <c r="K3007" i="6"/>
  <c r="M3007" i="6"/>
  <c r="N3426" i="6"/>
  <c r="N3147" i="6"/>
  <c r="K4013" i="6"/>
  <c r="M4013" i="6"/>
  <c r="M3511" i="6"/>
  <c r="M3508" i="6"/>
  <c r="M3319" i="6"/>
  <c r="M3317" i="6"/>
  <c r="M3309" i="6"/>
  <c r="N3308" i="6"/>
  <c r="N3076" i="6"/>
  <c r="M3467" i="6"/>
  <c r="L3467" i="6"/>
  <c r="N3467" i="6"/>
  <c r="L6070" i="6"/>
  <c r="N6070" i="6"/>
  <c r="M6058" i="6"/>
  <c r="N5873" i="6"/>
  <c r="L5745" i="6"/>
  <c r="N5745" i="6"/>
  <c r="L5652" i="6"/>
  <c r="N5652" i="6"/>
  <c r="L5589" i="6"/>
  <c r="N5589" i="6"/>
  <c r="L5557" i="6"/>
  <c r="N5557" i="6"/>
  <c r="N5547" i="6"/>
  <c r="L5525" i="6"/>
  <c r="N5515" i="6"/>
  <c r="L5425" i="6"/>
  <c r="N5415" i="6"/>
  <c r="L5257" i="6"/>
  <c r="N5257" i="6"/>
  <c r="L5045" i="6"/>
  <c r="N5045" i="6"/>
  <c r="N5035" i="6"/>
  <c r="L5013" i="6"/>
  <c r="N5013" i="6"/>
  <c r="L5011" i="6"/>
  <c r="N5011" i="6"/>
  <c r="N4717" i="6"/>
  <c r="L4677" i="6"/>
  <c r="N4677" i="6"/>
  <c r="M4676" i="6"/>
  <c r="K4373" i="6"/>
  <c r="M4373" i="6"/>
  <c r="L4373" i="6"/>
  <c r="N4373" i="6"/>
  <c r="K4277" i="6"/>
  <c r="L4277" i="6"/>
  <c r="N4277" i="6"/>
  <c r="N4234" i="6"/>
  <c r="N4171" i="6"/>
  <c r="L4072" i="6"/>
  <c r="N4072" i="6"/>
  <c r="K4072" i="6"/>
  <c r="M4072" i="6"/>
  <c r="L4565" i="6"/>
  <c r="N4565" i="6"/>
  <c r="K4565" i="6"/>
  <c r="M4565" i="6"/>
  <c r="L4370" i="6"/>
  <c r="N4370" i="6"/>
  <c r="K4370" i="6"/>
  <c r="M4370" i="6"/>
  <c r="M3524" i="6"/>
  <c r="L3524" i="6"/>
  <c r="N3524" i="6"/>
  <c r="K6083" i="6"/>
  <c r="K6080" i="6"/>
  <c r="M6080" i="6"/>
  <c r="L6079" i="6"/>
  <c r="N6079" i="6"/>
  <c r="K6068" i="6"/>
  <c r="K6067" i="6"/>
  <c r="M6067" i="6"/>
  <c r="K5950" i="6"/>
  <c r="M5950" i="6"/>
  <c r="K5942" i="6"/>
  <c r="M5942" i="6"/>
  <c r="L5922" i="6"/>
  <c r="K5908" i="6"/>
  <c r="M5908" i="6"/>
  <c r="K5876" i="6"/>
  <c r="M5876" i="6"/>
  <c r="K5868" i="6"/>
  <c r="M5868" i="6"/>
  <c r="K5849" i="6"/>
  <c r="K5837" i="6"/>
  <c r="M5837" i="6"/>
  <c r="L5797" i="6"/>
  <c r="N5797" i="6"/>
  <c r="K5796" i="6"/>
  <c r="M5796" i="6"/>
  <c r="N5787" i="6"/>
  <c r="K5782" i="6"/>
  <c r="M5782" i="6"/>
  <c r="N5755" i="6"/>
  <c r="L5733" i="6"/>
  <c r="N5733" i="6"/>
  <c r="K5732" i="6"/>
  <c r="M5732" i="6"/>
  <c r="K5729" i="6"/>
  <c r="M5729" i="6"/>
  <c r="K5657" i="6"/>
  <c r="K5612" i="6"/>
  <c r="M5612" i="6"/>
  <c r="L5569" i="6"/>
  <c r="N5569" i="6"/>
  <c r="L5537" i="6"/>
  <c r="N5537" i="6"/>
  <c r="K5497" i="6"/>
  <c r="M5497" i="6"/>
  <c r="K5496" i="6"/>
  <c r="M5496" i="6"/>
  <c r="K5456" i="6"/>
  <c r="M5456" i="6"/>
  <c r="K5360" i="6"/>
  <c r="M5360" i="6"/>
  <c r="K5262" i="6"/>
  <c r="M5262" i="6"/>
  <c r="L5261" i="6"/>
  <c r="N5261" i="6"/>
  <c r="K5260" i="6"/>
  <c r="M5260" i="6"/>
  <c r="K5201" i="6"/>
  <c r="M5201" i="6"/>
  <c r="K5157" i="6"/>
  <c r="M5157" i="6"/>
  <c r="K5145" i="6"/>
  <c r="M5145" i="6"/>
  <c r="K4995" i="6"/>
  <c r="M4995" i="6"/>
  <c r="K4992" i="6"/>
  <c r="M4992" i="6"/>
  <c r="L4971" i="6"/>
  <c r="N4971" i="6"/>
  <c r="L4939" i="6"/>
  <c r="N4939" i="6"/>
  <c r="K4888" i="6"/>
  <c r="M4888" i="6"/>
  <c r="L4835" i="6"/>
  <c r="K4656" i="6"/>
  <c r="K4649" i="6"/>
  <c r="M4649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M4014" i="6"/>
  <c r="L4014" i="6"/>
  <c r="N4014" i="6"/>
  <c r="L3978" i="6"/>
  <c r="N3978" i="6"/>
  <c r="M3978" i="6"/>
  <c r="K6087" i="6"/>
  <c r="M6087" i="6"/>
  <c r="L6046" i="6"/>
  <c r="N6046" i="6"/>
  <c r="N6044" i="6"/>
  <c r="K6034" i="6"/>
  <c r="M6034" i="6"/>
  <c r="K5975" i="6"/>
  <c r="M5975" i="6"/>
  <c r="K5966" i="6"/>
  <c r="M5966" i="6"/>
  <c r="K5954" i="6"/>
  <c r="M5954" i="6"/>
  <c r="K5822" i="6"/>
  <c r="M5822" i="6"/>
  <c r="K5800" i="6"/>
  <c r="M5800" i="6"/>
  <c r="K5708" i="6"/>
  <c r="M5708" i="6"/>
  <c r="K5622" i="6"/>
  <c r="M5622" i="6"/>
  <c r="K5621" i="6"/>
  <c r="M5621" i="6"/>
  <c r="K5581" i="6"/>
  <c r="M5581" i="6"/>
  <c r="K5549" i="6"/>
  <c r="M5549" i="6"/>
  <c r="K5517" i="6"/>
  <c r="M5517" i="6"/>
  <c r="K5468" i="6"/>
  <c r="M5468" i="6"/>
  <c r="K5417" i="6"/>
  <c r="M5417" i="6"/>
  <c r="K5380" i="6"/>
  <c r="M5380" i="6"/>
  <c r="K5250" i="6"/>
  <c r="M5250" i="6"/>
  <c r="K5244" i="6"/>
  <c r="M5244" i="6"/>
  <c r="K5242" i="6"/>
  <c r="M5242" i="6"/>
  <c r="K5236" i="6"/>
  <c r="M5236" i="6"/>
  <c r="K5137" i="6"/>
  <c r="M5137" i="6"/>
  <c r="K5125" i="6"/>
  <c r="M5125" i="6"/>
  <c r="K5124" i="6"/>
  <c r="M5124" i="6"/>
  <c r="K5081" i="6"/>
  <c r="K5080" i="6"/>
  <c r="M5080" i="6"/>
  <c r="K5060" i="6"/>
  <c r="M5060" i="6"/>
  <c r="K5053" i="6"/>
  <c r="M5053" i="6"/>
  <c r="K5037" i="6"/>
  <c r="M5037" i="6"/>
  <c r="K4968" i="6"/>
  <c r="M4968" i="6"/>
  <c r="K4947" i="6"/>
  <c r="M4947" i="6"/>
  <c r="K4936" i="6"/>
  <c r="M4936" i="6"/>
  <c r="K4897" i="6"/>
  <c r="M4897" i="6"/>
  <c r="K4840" i="6"/>
  <c r="M4840" i="6"/>
  <c r="K4803" i="6"/>
  <c r="M4803" i="6"/>
  <c r="K4668" i="6"/>
  <c r="M4668" i="6"/>
  <c r="K4648" i="6"/>
  <c r="M4648" i="6"/>
  <c r="K4636" i="6"/>
  <c r="M4636" i="6"/>
  <c r="K4605" i="6"/>
  <c r="M4605" i="6"/>
  <c r="K4485" i="6"/>
  <c r="M4485" i="6"/>
  <c r="L4485" i="6"/>
  <c r="N4485" i="6"/>
  <c r="K4421" i="6"/>
  <c r="M4421" i="6"/>
  <c r="L4421" i="6"/>
  <c r="N4421" i="6"/>
  <c r="K4297" i="6"/>
  <c r="M4297" i="6"/>
  <c r="L4297" i="6"/>
  <c r="N4297" i="6"/>
  <c r="K4192" i="6"/>
  <c r="M4192" i="6"/>
  <c r="L4192" i="6"/>
  <c r="L4154" i="6"/>
  <c r="N4154" i="6"/>
  <c r="K4154" i="6"/>
  <c r="M4154" i="6"/>
  <c r="K4518" i="6"/>
  <c r="M4518" i="6"/>
  <c r="K4473" i="6"/>
  <c r="M4473" i="6"/>
  <c r="K4355" i="6"/>
  <c r="M4355" i="6"/>
  <c r="K4354" i="6"/>
  <c r="M4354" i="6"/>
  <c r="K4288" i="6"/>
  <c r="N4202" i="6"/>
  <c r="N4179" i="6"/>
  <c r="N3534" i="6"/>
  <c r="M3456" i="6"/>
  <c r="L3456" i="6"/>
  <c r="N3456" i="6"/>
  <c r="N3430" i="6"/>
  <c r="N4626" i="6"/>
  <c r="K4541" i="6"/>
  <c r="M4541" i="6"/>
  <c r="K4483" i="6"/>
  <c r="M4483" i="6"/>
  <c r="K4419" i="6"/>
  <c r="M4419" i="6"/>
  <c r="K4371" i="6"/>
  <c r="M4371" i="6"/>
  <c r="K4295" i="6"/>
  <c r="M4295" i="6"/>
  <c r="L4165" i="6"/>
  <c r="N4165" i="6"/>
  <c r="L4156" i="6"/>
  <c r="N4156" i="6"/>
  <c r="M4018" i="6"/>
  <c r="M3870" i="6"/>
  <c r="N4271" i="6"/>
  <c r="K4208" i="6"/>
  <c r="M4208" i="6"/>
  <c r="K4202" i="6"/>
  <c r="M4202" i="6"/>
  <c r="N4163" i="6"/>
  <c r="K4162" i="6"/>
  <c r="M4162" i="6"/>
  <c r="K4127" i="6"/>
  <c r="M4127" i="6"/>
  <c r="K4126" i="6"/>
  <c r="M4126" i="6"/>
  <c r="K4032" i="6"/>
  <c r="M4032" i="6"/>
  <c r="M3687" i="6"/>
  <c r="L3687" i="6"/>
  <c r="N3687" i="6"/>
  <c r="N3458" i="6"/>
  <c r="L3424" i="6"/>
  <c r="N3424" i="6"/>
  <c r="K3424" i="6"/>
  <c r="M3424" i="6"/>
  <c r="N3194" i="6"/>
  <c r="K3056" i="6"/>
  <c r="M3056" i="6"/>
  <c r="K3459" i="6"/>
  <c r="M3459" i="6"/>
  <c r="K4048" i="6"/>
  <c r="M4048" i="6"/>
  <c r="M3696" i="6"/>
  <c r="M3691" i="6"/>
  <c r="M3611" i="6"/>
  <c r="K3609" i="6"/>
  <c r="M3609" i="6"/>
  <c r="K3608" i="6"/>
  <c r="M3515" i="6"/>
  <c r="N3462" i="6"/>
  <c r="K3452" i="6"/>
  <c r="M3452" i="6"/>
  <c r="K3409" i="6"/>
  <c r="M3409" i="6"/>
  <c r="N3317" i="6"/>
  <c r="M3228" i="6"/>
  <c r="M3222" i="6"/>
  <c r="M3209" i="6"/>
  <c r="M3188" i="6"/>
  <c r="L3131" i="6"/>
  <c r="N3131" i="6"/>
  <c r="M4053" i="6"/>
  <c r="K5889" i="6"/>
  <c r="M5889" i="6"/>
  <c r="L5889" i="6"/>
  <c r="N5889" i="6"/>
  <c r="K5245" i="6"/>
  <c r="M5245" i="6"/>
  <c r="L5245" i="6"/>
  <c r="N5245" i="6"/>
  <c r="K4943" i="6"/>
  <c r="M4943" i="6"/>
  <c r="L4943" i="6"/>
  <c r="N4943" i="6"/>
  <c r="L4925" i="6"/>
  <c r="N4925" i="6"/>
  <c r="K4925" i="6"/>
  <c r="M4925" i="6"/>
  <c r="K4795" i="6"/>
  <c r="M4795" i="6"/>
  <c r="L4795" i="6"/>
  <c r="N4795" i="6"/>
  <c r="L6059" i="6"/>
  <c r="N6059" i="6"/>
  <c r="K6059" i="6"/>
  <c r="M6059" i="6"/>
  <c r="L6058" i="6"/>
  <c r="N6058" i="6"/>
  <c r="N6050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N5583" i="6"/>
  <c r="N5551" i="6"/>
  <c r="L5481" i="6"/>
  <c r="N5481" i="6"/>
  <c r="K5481" i="6"/>
  <c r="M5481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21" i="6"/>
  <c r="N5321" i="6"/>
  <c r="K5321" i="6"/>
  <c r="M5321" i="6"/>
  <c r="N5291" i="6"/>
  <c r="N5199" i="6"/>
  <c r="L5088" i="6"/>
  <c r="N5088" i="6"/>
  <c r="K5088" i="6"/>
  <c r="M5088" i="6"/>
  <c r="L4988" i="6"/>
  <c r="N4988" i="6"/>
  <c r="K4988" i="6"/>
  <c r="M4988" i="6"/>
  <c r="K4711" i="6"/>
  <c r="M4711" i="6"/>
  <c r="L4711" i="6"/>
  <c r="N4711" i="6"/>
  <c r="N4563" i="6"/>
  <c r="L4186" i="6"/>
  <c r="N4186" i="6"/>
  <c r="M4186" i="6"/>
  <c r="N4159" i="6"/>
  <c r="K4108" i="6"/>
  <c r="M4108" i="6"/>
  <c r="L4108" i="6"/>
  <c r="N4108" i="6"/>
  <c r="L4076" i="6"/>
  <c r="N4076" i="6"/>
  <c r="K4076" i="6"/>
  <c r="M4076" i="6"/>
  <c r="M4040" i="6"/>
  <c r="L4040" i="6"/>
  <c r="N4040" i="6"/>
  <c r="K3962" i="6"/>
  <c r="M3962" i="6"/>
  <c r="L3962" i="6"/>
  <c r="N3962" i="6"/>
  <c r="L3912" i="6"/>
  <c r="N3912" i="6"/>
  <c r="K3902" i="6"/>
  <c r="M3902" i="6"/>
  <c r="L3902" i="6"/>
  <c r="N3902" i="6"/>
  <c r="K6022" i="6"/>
  <c r="M6022" i="6"/>
  <c r="L6022" i="6"/>
  <c r="N6022" i="6"/>
  <c r="K6088" i="6"/>
  <c r="M6088" i="6"/>
  <c r="L6087" i="6"/>
  <c r="N6087" i="6"/>
  <c r="L6078" i="6"/>
  <c r="N6078" i="6"/>
  <c r="L6071" i="6"/>
  <c r="N6071" i="6"/>
  <c r="K6055" i="6"/>
  <c r="M6055" i="6"/>
  <c r="K6014" i="6"/>
  <c r="M6014" i="6"/>
  <c r="L5998" i="6"/>
  <c r="N5998" i="6"/>
  <c r="L5967" i="6"/>
  <c r="N5967" i="6"/>
  <c r="K5967" i="6"/>
  <c r="M5967" i="6"/>
  <c r="L5966" i="6"/>
  <c r="N5966" i="6"/>
  <c r="L5954" i="6"/>
  <c r="N5954" i="6"/>
  <c r="K5923" i="6"/>
  <c r="M5923" i="6"/>
  <c r="K5894" i="6"/>
  <c r="M5894" i="6"/>
  <c r="K5873" i="6"/>
  <c r="M5873" i="6"/>
  <c r="L5833" i="6"/>
  <c r="N5833" i="6"/>
  <c r="L5658" i="6"/>
  <c r="N5658" i="6"/>
  <c r="K5658" i="6"/>
  <c r="M5658" i="6"/>
  <c r="L5324" i="6"/>
  <c r="N5324" i="6"/>
  <c r="K5324" i="6"/>
  <c r="M5324" i="6"/>
  <c r="L5265" i="6"/>
  <c r="N5265" i="6"/>
  <c r="K5265" i="6"/>
  <c r="M5265" i="6"/>
  <c r="N5159" i="6"/>
  <c r="K4927" i="6"/>
  <c r="M4927" i="6"/>
  <c r="L4927" i="6"/>
  <c r="N4927" i="6"/>
  <c r="L4913" i="6"/>
  <c r="N4913" i="6"/>
  <c r="K4913" i="6"/>
  <c r="M4913" i="6"/>
  <c r="N4867" i="6"/>
  <c r="L4856" i="6"/>
  <c r="N4856" i="6"/>
  <c r="K4856" i="6"/>
  <c r="M4856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L5866" i="6"/>
  <c r="N5866" i="6"/>
  <c r="K5866" i="6"/>
  <c r="M5866" i="6"/>
  <c r="L5706" i="6"/>
  <c r="N5706" i="6"/>
  <c r="K5706" i="6"/>
  <c r="M5706" i="6"/>
  <c r="L5356" i="6"/>
  <c r="N5356" i="6"/>
  <c r="K5356" i="6"/>
  <c r="M5356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M3431" i="6"/>
  <c r="L3431" i="6"/>
  <c r="N3431" i="6"/>
  <c r="M3428" i="6"/>
  <c r="L3428" i="6"/>
  <c r="N3428" i="6"/>
  <c r="M3411" i="6"/>
  <c r="L3411" i="6"/>
  <c r="N3411" i="6"/>
  <c r="L3044" i="6"/>
  <c r="N3044" i="6"/>
  <c r="M3044" i="6"/>
  <c r="M6083" i="6"/>
  <c r="N6076" i="6"/>
  <c r="K6050" i="6"/>
  <c r="M6050" i="6"/>
  <c r="K5987" i="6"/>
  <c r="M5987" i="6"/>
  <c r="K5971" i="6"/>
  <c r="M5971" i="6"/>
  <c r="K5963" i="6"/>
  <c r="M5963" i="6"/>
  <c r="L5951" i="6"/>
  <c r="N5951" i="6"/>
  <c r="K5951" i="6"/>
  <c r="M5951" i="6"/>
  <c r="K5886" i="6"/>
  <c r="M5886" i="6"/>
  <c r="K5860" i="6"/>
  <c r="M5860" i="6"/>
  <c r="K5854" i="6"/>
  <c r="M5854" i="6"/>
  <c r="L5826" i="6"/>
  <c r="N5826" i="6"/>
  <c r="K5826" i="6"/>
  <c r="M5826" i="6"/>
  <c r="K5802" i="6"/>
  <c r="M5802" i="6"/>
  <c r="N5795" i="6"/>
  <c r="N5567" i="6"/>
  <c r="N5535" i="6"/>
  <c r="L5504" i="6"/>
  <c r="N5504" i="6"/>
  <c r="K5504" i="6"/>
  <c r="M5504" i="6"/>
  <c r="K5445" i="6"/>
  <c r="M5445" i="6"/>
  <c r="L5445" i="6"/>
  <c r="N5445" i="6"/>
  <c r="N5303" i="6"/>
  <c r="L5289" i="6"/>
  <c r="N5289" i="6"/>
  <c r="K5289" i="6"/>
  <c r="M5289" i="6"/>
  <c r="L5205" i="6"/>
  <c r="N5205" i="6"/>
  <c r="K5205" i="6"/>
  <c r="M52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M5724" i="6"/>
  <c r="M5041" i="6"/>
  <c r="N4687" i="6"/>
  <c r="L4670" i="6"/>
  <c r="N4670" i="6"/>
  <c r="K4670" i="6"/>
  <c r="M4670" i="6"/>
  <c r="N4595" i="6"/>
  <c r="K4397" i="6"/>
  <c r="M4397" i="6"/>
  <c r="L4397" i="6"/>
  <c r="N4397" i="6"/>
  <c r="L4321" i="6"/>
  <c r="N4321" i="6"/>
  <c r="K4321" i="6"/>
  <c r="M4321" i="6"/>
  <c r="L4153" i="6"/>
  <c r="N4153" i="6"/>
  <c r="K4153" i="6"/>
  <c r="M4153" i="6"/>
  <c r="L4129" i="6"/>
  <c r="N4129" i="6"/>
  <c r="K4129" i="6"/>
  <c r="M4129" i="6"/>
  <c r="K4080" i="6"/>
  <c r="M4080" i="6"/>
  <c r="L4080" i="6"/>
  <c r="N4080" i="6"/>
  <c r="L3501" i="6"/>
  <c r="N3501" i="6"/>
  <c r="K3501" i="6"/>
  <c r="M3501" i="6"/>
  <c r="M6076" i="6"/>
  <c r="K6038" i="6"/>
  <c r="M6038" i="6"/>
  <c r="K5900" i="6"/>
  <c r="M5900" i="6"/>
  <c r="K5897" i="6"/>
  <c r="M5897" i="6"/>
  <c r="K5880" i="6"/>
  <c r="M5880" i="6"/>
  <c r="K5869" i="6"/>
  <c r="M5869" i="6"/>
  <c r="K5844" i="6"/>
  <c r="M5844" i="6"/>
  <c r="N5822" i="6"/>
  <c r="K5820" i="6"/>
  <c r="M5820" i="6"/>
  <c r="K5817" i="6"/>
  <c r="M5817" i="6"/>
  <c r="K5788" i="6"/>
  <c r="M5788" i="6"/>
  <c r="K5785" i="6"/>
  <c r="M5785" i="6"/>
  <c r="L5757" i="6"/>
  <c r="N5757" i="6"/>
  <c r="K5756" i="6"/>
  <c r="M5756" i="6"/>
  <c r="L5701" i="6"/>
  <c r="N5701" i="6"/>
  <c r="K5700" i="6"/>
  <c r="M5700" i="6"/>
  <c r="K5668" i="6"/>
  <c r="M5668" i="6"/>
  <c r="L5660" i="6"/>
  <c r="N5660" i="6"/>
  <c r="L5581" i="6"/>
  <c r="N5581" i="6"/>
  <c r="L5565" i="6"/>
  <c r="N5565" i="6"/>
  <c r="L5549" i="6"/>
  <c r="N5549" i="6"/>
  <c r="L5533" i="6"/>
  <c r="N5533" i="6"/>
  <c r="L5517" i="6"/>
  <c r="N5517" i="6"/>
  <c r="L5417" i="6"/>
  <c r="N5417" i="6"/>
  <c r="K5325" i="6"/>
  <c r="M5325" i="6"/>
  <c r="K5246" i="6"/>
  <c r="M5246" i="6"/>
  <c r="K5221" i="6"/>
  <c r="M5221" i="6"/>
  <c r="K5200" i="6"/>
  <c r="M5200" i="6"/>
  <c r="L5137" i="6"/>
  <c r="N5137" i="6"/>
  <c r="N5053" i="6"/>
  <c r="L5037" i="6"/>
  <c r="N5037" i="6"/>
  <c r="K5003" i="6"/>
  <c r="M5003" i="6"/>
  <c r="M4987" i="6"/>
  <c r="L4963" i="6"/>
  <c r="N4963" i="6"/>
  <c r="L4947" i="6"/>
  <c r="N4947" i="6"/>
  <c r="L4831" i="6"/>
  <c r="N4831" i="6"/>
  <c r="L4731" i="6"/>
  <c r="N4731" i="6"/>
  <c r="N4709" i="6"/>
  <c r="K4665" i="6"/>
  <c r="M4665" i="6"/>
  <c r="M4652" i="6"/>
  <c r="L4649" i="6"/>
  <c r="N4649" i="6"/>
  <c r="K4564" i="6"/>
  <c r="M4564" i="6"/>
  <c r="K4477" i="6"/>
  <c r="M4477" i="6"/>
  <c r="L4477" i="6"/>
  <c r="N4477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K4172" i="6"/>
  <c r="M4172" i="6"/>
  <c r="L4172" i="6"/>
  <c r="N4172" i="6"/>
  <c r="K4157" i="6"/>
  <c r="M4157" i="6"/>
  <c r="L4157" i="6"/>
  <c r="N4157" i="6"/>
  <c r="K3914" i="6"/>
  <c r="M3914" i="6"/>
  <c r="L3914" i="6"/>
  <c r="N3914" i="6"/>
  <c r="N3637" i="6"/>
  <c r="L3624" i="6"/>
  <c r="N3624" i="6"/>
  <c r="M3624" i="6"/>
  <c r="K5770" i="6"/>
  <c r="M5770" i="6"/>
  <c r="K5738" i="6"/>
  <c r="M5738" i="6"/>
  <c r="L5729" i="6"/>
  <c r="N5729" i="6"/>
  <c r="K5721" i="6"/>
  <c r="M5721" i="6"/>
  <c r="K5709" i="6"/>
  <c r="M5709" i="6"/>
  <c r="K5678" i="6"/>
  <c r="M5678" i="6"/>
  <c r="K5650" i="6"/>
  <c r="M5650" i="6"/>
  <c r="N5553" i="6"/>
  <c r="N5521" i="6"/>
  <c r="K5512" i="6"/>
  <c r="M5512" i="6"/>
  <c r="L5497" i="6"/>
  <c r="N5497" i="6"/>
  <c r="K5472" i="6"/>
  <c r="M5472" i="6"/>
  <c r="K5352" i="6"/>
  <c r="M5352" i="6"/>
  <c r="K5332" i="6"/>
  <c r="M5332" i="6"/>
  <c r="K5273" i="6"/>
  <c r="M5273" i="6"/>
  <c r="K5256" i="6"/>
  <c r="M5256" i="6"/>
  <c r="K5237" i="6"/>
  <c r="M5237" i="6"/>
  <c r="L5201" i="6"/>
  <c r="N5201" i="6"/>
  <c r="K5161" i="6"/>
  <c r="M5161" i="6"/>
  <c r="L5125" i="6"/>
  <c r="N5125" i="6"/>
  <c r="K5097" i="6"/>
  <c r="M5097" i="6"/>
  <c r="K5084" i="6"/>
  <c r="M5084" i="6"/>
  <c r="L5081" i="6"/>
  <c r="N5081" i="6"/>
  <c r="K4960" i="6"/>
  <c r="M4960" i="6"/>
  <c r="K4944" i="6"/>
  <c r="M4944" i="6"/>
  <c r="K4904" i="6"/>
  <c r="M4904" i="6"/>
  <c r="K4884" i="6"/>
  <c r="M4884" i="6"/>
  <c r="K4872" i="6"/>
  <c r="M4872" i="6"/>
  <c r="K4852" i="6"/>
  <c r="M4852" i="6"/>
  <c r="N4835" i="6"/>
  <c r="L4803" i="6"/>
  <c r="N4803" i="6"/>
  <c r="L4771" i="6"/>
  <c r="N4771" i="6"/>
  <c r="K4755" i="6"/>
  <c r="M4755" i="6"/>
  <c r="N4713" i="6"/>
  <c r="K4700" i="6"/>
  <c r="M4700" i="6"/>
  <c r="K4687" i="6"/>
  <c r="M4687" i="6"/>
  <c r="K4684" i="6"/>
  <c r="M4684" i="6"/>
  <c r="N4659" i="6"/>
  <c r="K4654" i="6"/>
  <c r="M4654" i="6"/>
  <c r="L4634" i="6"/>
  <c r="N4634" i="6"/>
  <c r="K4634" i="6"/>
  <c r="M4634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N4183" i="6"/>
  <c r="L4105" i="6"/>
  <c r="N4105" i="6"/>
  <c r="K4105" i="6"/>
  <c r="M4105" i="6"/>
  <c r="M3886" i="6"/>
  <c r="L3886" i="6"/>
  <c r="N3886" i="6"/>
  <c r="L3859" i="6"/>
  <c r="N3859" i="6"/>
  <c r="K3859" i="6"/>
  <c r="M3859" i="6"/>
  <c r="L3688" i="6"/>
  <c r="N3688" i="6"/>
  <c r="M3688" i="6"/>
  <c r="M3643" i="6"/>
  <c r="L3643" i="6"/>
  <c r="N3643" i="6"/>
  <c r="N4465" i="6"/>
  <c r="K4455" i="6"/>
  <c r="M4455" i="6"/>
  <c r="N4334" i="6"/>
  <c r="N3906" i="6"/>
  <c r="N3890" i="6"/>
  <c r="M3858" i="6"/>
  <c r="K3850" i="6"/>
  <c r="M3850" i="6"/>
  <c r="K3735" i="6"/>
  <c r="M3735" i="6"/>
  <c r="M3723" i="6"/>
  <c r="K3721" i="6"/>
  <c r="M3721" i="6"/>
  <c r="K3720" i="6"/>
  <c r="M3720" i="6"/>
  <c r="M3684" i="6"/>
  <c r="M3627" i="6"/>
  <c r="L3627" i="6"/>
  <c r="N3627" i="6"/>
  <c r="L3513" i="6"/>
  <c r="N3513" i="6"/>
  <c r="M3513" i="6"/>
  <c r="L3453" i="6"/>
  <c r="N3453" i="6"/>
  <c r="M3453" i="6"/>
  <c r="K4719" i="6"/>
  <c r="M4719" i="6"/>
  <c r="K4660" i="6"/>
  <c r="M4660" i="6"/>
  <c r="K4596" i="6"/>
  <c r="M4596" i="6"/>
  <c r="K4431" i="6"/>
  <c r="K4383" i="6"/>
  <c r="M4383" i="6"/>
  <c r="K4319" i="6"/>
  <c r="M4319" i="6"/>
  <c r="K4303" i="6"/>
  <c r="M4303" i="6"/>
  <c r="L4261" i="6"/>
  <c r="N4261" i="6"/>
  <c r="N4230" i="6"/>
  <c r="N4222" i="6"/>
  <c r="L4208" i="6"/>
  <c r="N4208" i="6"/>
  <c r="M4196" i="6"/>
  <c r="M4152" i="6"/>
  <c r="M4104" i="6"/>
  <c r="L4088" i="6"/>
  <c r="N4088" i="6"/>
  <c r="L4065" i="6"/>
  <c r="N4065" i="6"/>
  <c r="L4053" i="6"/>
  <c r="N4053" i="6"/>
  <c r="L4048" i="6"/>
  <c r="N4048" i="6"/>
  <c r="K4028" i="6"/>
  <c r="M4028" i="6"/>
  <c r="L4018" i="6"/>
  <c r="N4018" i="6"/>
  <c r="M4017" i="6"/>
  <c r="L4010" i="6"/>
  <c r="N4010" i="6"/>
  <c r="K4009" i="6"/>
  <c r="M4009" i="6"/>
  <c r="M3992" i="6"/>
  <c r="M3920" i="6"/>
  <c r="K3860" i="6"/>
  <c r="M3860" i="6"/>
  <c r="L3656" i="6"/>
  <c r="N3656" i="6"/>
  <c r="M3656" i="6"/>
  <c r="L3182" i="6"/>
  <c r="N3182" i="6"/>
  <c r="L4473" i="6"/>
  <c r="N4473" i="6"/>
  <c r="K4465" i="6"/>
  <c r="M4465" i="6"/>
  <c r="N4405" i="6"/>
  <c r="K4335" i="6"/>
  <c r="M4335" i="6"/>
  <c r="K4334" i="6"/>
  <c r="M4334" i="6"/>
  <c r="L4288" i="6"/>
  <c r="N4288" i="6"/>
  <c r="K4257" i="6"/>
  <c r="M4257" i="6"/>
  <c r="K4252" i="6"/>
  <c r="M4252" i="6"/>
  <c r="K4234" i="6"/>
  <c r="M4234" i="6"/>
  <c r="K4230" i="6"/>
  <c r="M4230" i="6"/>
  <c r="K4222" i="6"/>
  <c r="M4222" i="6"/>
  <c r="L4204" i="6"/>
  <c r="N4204" i="6"/>
  <c r="N4199" i="6"/>
  <c r="M4149" i="6"/>
  <c r="K4137" i="6"/>
  <c r="M4137" i="6"/>
  <c r="K4121" i="6"/>
  <c r="M4121" i="6"/>
  <c r="L4085" i="6"/>
  <c r="N4085" i="6"/>
  <c r="K4068" i="6"/>
  <c r="M4068" i="6"/>
  <c r="K4057" i="6"/>
  <c r="M4057" i="6"/>
  <c r="L4045" i="6"/>
  <c r="N4045" i="6"/>
  <c r="M4030" i="6"/>
  <c r="L4026" i="6"/>
  <c r="N4026" i="6"/>
  <c r="K3994" i="6"/>
  <c r="M3994" i="6"/>
  <c r="L3990" i="6"/>
  <c r="N3990" i="6"/>
  <c r="K3965" i="6"/>
  <c r="M3965" i="6"/>
  <c r="M3958" i="6"/>
  <c r="M3944" i="6"/>
  <c r="M3918" i="6"/>
  <c r="K3910" i="6"/>
  <c r="M3910" i="6"/>
  <c r="M3906" i="6"/>
  <c r="M3894" i="6"/>
  <c r="K3890" i="6"/>
  <c r="M3890" i="6"/>
  <c r="L3870" i="6"/>
  <c r="N3870" i="6"/>
  <c r="M3659" i="6"/>
  <c r="L3659" i="6"/>
  <c r="N3659" i="6"/>
  <c r="L3640" i="6"/>
  <c r="N3640" i="6"/>
  <c r="M3640" i="6"/>
  <c r="L3423" i="6"/>
  <c r="N3423" i="6"/>
  <c r="K3423" i="6"/>
  <c r="M3423" i="6"/>
  <c r="N3543" i="6"/>
  <c r="L3415" i="6"/>
  <c r="N3415" i="6"/>
  <c r="M3415" i="6"/>
  <c r="M3341" i="6"/>
  <c r="N3328" i="6"/>
  <c r="N3302" i="6"/>
  <c r="N3167" i="6"/>
  <c r="M3166" i="6"/>
  <c r="K3027" i="6"/>
  <c r="M3027" i="6"/>
  <c r="L3027" i="6"/>
  <c r="N3027" i="6"/>
  <c r="M3657" i="6"/>
  <c r="M3655" i="6"/>
  <c r="M3641" i="6"/>
  <c r="M3639" i="6"/>
  <c r="M3625" i="6"/>
  <c r="K3623" i="6"/>
  <c r="M3623" i="6"/>
  <c r="M3514" i="6"/>
  <c r="L3508" i="6"/>
  <c r="N3508" i="6"/>
  <c r="M3507" i="6"/>
  <c r="M3454" i="6"/>
  <c r="N3386" i="6"/>
  <c r="M3378" i="6"/>
  <c r="M3377" i="6"/>
  <c r="M3240" i="6"/>
  <c r="M3182" i="6"/>
  <c r="M3174" i="6"/>
  <c r="M3032" i="6"/>
  <c r="L3032" i="6"/>
  <c r="N3032" i="6"/>
  <c r="K3543" i="6"/>
  <c r="M3543" i="6"/>
  <c r="K3541" i="6"/>
  <c r="M3541" i="6"/>
  <c r="K3540" i="6"/>
  <c r="M3540" i="6"/>
  <c r="M3535" i="6"/>
  <c r="K3520" i="6"/>
  <c r="M3520" i="6"/>
  <c r="K3505" i="6"/>
  <c r="M3505" i="6"/>
  <c r="K3503" i="6"/>
  <c r="M3503" i="6"/>
  <c r="M3463" i="6"/>
  <c r="L3459" i="6"/>
  <c r="N3459" i="6"/>
  <c r="L3341" i="6"/>
  <c r="N3341" i="6"/>
  <c r="M3302" i="6"/>
  <c r="M3234" i="6"/>
  <c r="L3222" i="6"/>
  <c r="N3222" i="6"/>
  <c r="L3023" i="6"/>
  <c r="N3023" i="6"/>
  <c r="M3023" i="6"/>
  <c r="K3043" i="6"/>
  <c r="M3043" i="6"/>
  <c r="N3402" i="6"/>
  <c r="M3331" i="6"/>
  <c r="M3248" i="6"/>
  <c r="M3201" i="6"/>
  <c r="K3128" i="6"/>
  <c r="M3128" i="6"/>
  <c r="K5976" i="6"/>
  <c r="M5976" i="6"/>
  <c r="L5976" i="6"/>
  <c r="N5976" i="6"/>
  <c r="K5944" i="6"/>
  <c r="M5944" i="6"/>
  <c r="L5944" i="6"/>
  <c r="N5944" i="6"/>
  <c r="K5928" i="6"/>
  <c r="M5928" i="6"/>
  <c r="L5928" i="6"/>
  <c r="N5928" i="6"/>
  <c r="L5890" i="6"/>
  <c r="N5890" i="6"/>
  <c r="K5890" i="6"/>
  <c r="M5890" i="6"/>
  <c r="L5878" i="6"/>
  <c r="N5878" i="6"/>
  <c r="K5878" i="6"/>
  <c r="M5878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L5734" i="6"/>
  <c r="N5734" i="6"/>
  <c r="K5734" i="6"/>
  <c r="M5734" i="6"/>
  <c r="L5722" i="6"/>
  <c r="N5722" i="6"/>
  <c r="K5722" i="6"/>
  <c r="M5722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K5487" i="6"/>
  <c r="M5487" i="6"/>
  <c r="L5487" i="6"/>
  <c r="N5487" i="6"/>
  <c r="L5473" i="6"/>
  <c r="N5473" i="6"/>
  <c r="K5473" i="6"/>
  <c r="M5473" i="6"/>
  <c r="K5383" i="6"/>
  <c r="M5383" i="6"/>
  <c r="L5383" i="6"/>
  <c r="N5383" i="6"/>
  <c r="K5367" i="6"/>
  <c r="M5367" i="6"/>
  <c r="L5367" i="6"/>
  <c r="N5367" i="6"/>
  <c r="K5357" i="6"/>
  <c r="M5357" i="6"/>
  <c r="L5357" i="6"/>
  <c r="N5357" i="6"/>
  <c r="K5299" i="6"/>
  <c r="M5299" i="6"/>
  <c r="L5299" i="6"/>
  <c r="N5299" i="6"/>
  <c r="K5239" i="6"/>
  <c r="M5239" i="6"/>
  <c r="L5239" i="6"/>
  <c r="N5239" i="6"/>
  <c r="K5225" i="6"/>
  <c r="M5225" i="6"/>
  <c r="L5225" i="6"/>
  <c r="N5225" i="6"/>
  <c r="K5147" i="6"/>
  <c r="M5147" i="6"/>
  <c r="L5147" i="6"/>
  <c r="N5147" i="6"/>
  <c r="L5128" i="6"/>
  <c r="N5128" i="6"/>
  <c r="K5128" i="6"/>
  <c r="M5128" i="6"/>
  <c r="K5093" i="6"/>
  <c r="M5093" i="6"/>
  <c r="L5093" i="6"/>
  <c r="N5093" i="6"/>
  <c r="L5061" i="6"/>
  <c r="N5061" i="6"/>
  <c r="K5061" i="6"/>
  <c r="M5061" i="6"/>
  <c r="K5055" i="6"/>
  <c r="M5055" i="6"/>
  <c r="L5055" i="6"/>
  <c r="N5055" i="6"/>
  <c r="K4961" i="6"/>
  <c r="M4961" i="6"/>
  <c r="L4961" i="6"/>
  <c r="N4961" i="6"/>
  <c r="K4945" i="6"/>
  <c r="M4945" i="6"/>
  <c r="L4945" i="6"/>
  <c r="N4945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L4542" i="6"/>
  <c r="N4542" i="6"/>
  <c r="K4542" i="6"/>
  <c r="M4542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K4241" i="6"/>
  <c r="M4241" i="6"/>
  <c r="L4241" i="6"/>
  <c r="N4241" i="6"/>
  <c r="L4197" i="6"/>
  <c r="N4197" i="6"/>
  <c r="K4197" i="6"/>
  <c r="M4197" i="6"/>
  <c r="M3685" i="6"/>
  <c r="L3685" i="6"/>
  <c r="N3685" i="6"/>
  <c r="L3512" i="6"/>
  <c r="N3512" i="6"/>
  <c r="M3512" i="6"/>
  <c r="L3455" i="6"/>
  <c r="N3455" i="6"/>
  <c r="M3455" i="6"/>
  <c r="K6062" i="6"/>
  <c r="M6062" i="6"/>
  <c r="L6062" i="6"/>
  <c r="N6062" i="6"/>
  <c r="L6039" i="6"/>
  <c r="N6039" i="6"/>
  <c r="K6039" i="6"/>
  <c r="M6039" i="6"/>
  <c r="L6023" i="6"/>
  <c r="N6023" i="6"/>
  <c r="K6023" i="6"/>
  <c r="M6023" i="6"/>
  <c r="L6015" i="6"/>
  <c r="N6015" i="6"/>
  <c r="K6015" i="6"/>
  <c r="M6015" i="6"/>
  <c r="L5999" i="6"/>
  <c r="N5999" i="6"/>
  <c r="K5999" i="6"/>
  <c r="M5999" i="6"/>
  <c r="K5988" i="6"/>
  <c r="M5988" i="6"/>
  <c r="L5988" i="6"/>
  <c r="N5988" i="6"/>
  <c r="K5964" i="6"/>
  <c r="M5964" i="6"/>
  <c r="L5964" i="6"/>
  <c r="N5964" i="6"/>
  <c r="M5946" i="6"/>
  <c r="K5855" i="6"/>
  <c r="M5855" i="6"/>
  <c r="L5855" i="6"/>
  <c r="N5855" i="6"/>
  <c r="L5818" i="6"/>
  <c r="N5818" i="6"/>
  <c r="K5818" i="6"/>
  <c r="M5818" i="6"/>
  <c r="L5786" i="6"/>
  <c r="N5786" i="6"/>
  <c r="K5786" i="6"/>
  <c r="M5786" i="6"/>
  <c r="K5679" i="6"/>
  <c r="M5679" i="6"/>
  <c r="L5679" i="6"/>
  <c r="N5679" i="6"/>
  <c r="K5639" i="6"/>
  <c r="M5639" i="6"/>
  <c r="L5639" i="6"/>
  <c r="N5639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292" i="6"/>
  <c r="N5292" i="6"/>
  <c r="K5292" i="6"/>
  <c r="M5292" i="6"/>
  <c r="L5269" i="6"/>
  <c r="N5269" i="6"/>
  <c r="K5269" i="6"/>
  <c r="M5269" i="6"/>
  <c r="K4841" i="6"/>
  <c r="M4841" i="6"/>
  <c r="L4841" i="6"/>
  <c r="N4841" i="6"/>
  <c r="L4720" i="6"/>
  <c r="N4720" i="6"/>
  <c r="K4720" i="6"/>
  <c r="M4720" i="6"/>
  <c r="K4545" i="6"/>
  <c r="M4545" i="6"/>
  <c r="L4545" i="6"/>
  <c r="N4545" i="6"/>
  <c r="L4260" i="6"/>
  <c r="N4260" i="6"/>
  <c r="K4260" i="6"/>
  <c r="M4260" i="6"/>
  <c r="K4247" i="6"/>
  <c r="M4247" i="6"/>
  <c r="L4247" i="6"/>
  <c r="N4247" i="6"/>
  <c r="M3937" i="6"/>
  <c r="L3937" i="6"/>
  <c r="N3937" i="6"/>
  <c r="L3934" i="6"/>
  <c r="N3934" i="6"/>
  <c r="K3934" i="6"/>
  <c r="M3934" i="6"/>
  <c r="M6084" i="6"/>
  <c r="K6056" i="6"/>
  <c r="M6056" i="6"/>
  <c r="L6056" i="6"/>
  <c r="N6056" i="6"/>
  <c r="L6047" i="6"/>
  <c r="N6047" i="6"/>
  <c r="K6047" i="6"/>
  <c r="M6047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N5920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L5837" i="6"/>
  <c r="N5837" i="6"/>
  <c r="N5819" i="6"/>
  <c r="L5817" i="6"/>
  <c r="N5817" i="6"/>
  <c r="L5806" i="6"/>
  <c r="N5806" i="6"/>
  <c r="K5806" i="6"/>
  <c r="M5806" i="6"/>
  <c r="L5805" i="6"/>
  <c r="N5805" i="6"/>
  <c r="L5785" i="6"/>
  <c r="N5785" i="6"/>
  <c r="L5774" i="6"/>
  <c r="N5774" i="6"/>
  <c r="K5774" i="6"/>
  <c r="M5774" i="6"/>
  <c r="L5773" i="6"/>
  <c r="N5773" i="6"/>
  <c r="K5749" i="6"/>
  <c r="M5749" i="6"/>
  <c r="L5749" i="6"/>
  <c r="N5749" i="6"/>
  <c r="L5742" i="6"/>
  <c r="N5742" i="6"/>
  <c r="K5742" i="6"/>
  <c r="M5742" i="6"/>
  <c r="L5741" i="6"/>
  <c r="N5741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K5681" i="6"/>
  <c r="M5681" i="6"/>
  <c r="L5681" i="6"/>
  <c r="N5681" i="6"/>
  <c r="K5665" i="6"/>
  <c r="M5665" i="6"/>
  <c r="L5665" i="6"/>
  <c r="N5665" i="6"/>
  <c r="L5664" i="6"/>
  <c r="N5664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L5444" i="6"/>
  <c r="N5444" i="6"/>
  <c r="K5444" i="6"/>
  <c r="M5444" i="6"/>
  <c r="N5443" i="6"/>
  <c r="L5428" i="6"/>
  <c r="N5428" i="6"/>
  <c r="K5428" i="6"/>
  <c r="M5428" i="6"/>
  <c r="N5427" i="6"/>
  <c r="L5396" i="6"/>
  <c r="N5396" i="6"/>
  <c r="K5396" i="6"/>
  <c r="M5396" i="6"/>
  <c r="N5395" i="6"/>
  <c r="K5381" i="6"/>
  <c r="M5381" i="6"/>
  <c r="L5381" i="6"/>
  <c r="N5381" i="6"/>
  <c r="K5365" i="6"/>
  <c r="M5365" i="6"/>
  <c r="L5365" i="6"/>
  <c r="N5365" i="6"/>
  <c r="K5359" i="6"/>
  <c r="M5359" i="6"/>
  <c r="L5359" i="6"/>
  <c r="N5359" i="6"/>
  <c r="L5297" i="6"/>
  <c r="N5297" i="6"/>
  <c r="K5297" i="6"/>
  <c r="M5297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63" i="6"/>
  <c r="M5163" i="6"/>
  <c r="L5163" i="6"/>
  <c r="N5163" i="6"/>
  <c r="L5160" i="6"/>
  <c r="N5160" i="6"/>
  <c r="K5160" i="6"/>
  <c r="M5160" i="6"/>
  <c r="K5095" i="6"/>
  <c r="M5095" i="6"/>
  <c r="L5095" i="6"/>
  <c r="N5095" i="6"/>
  <c r="K5063" i="6"/>
  <c r="M5063" i="6"/>
  <c r="L5063" i="6"/>
  <c r="N5063" i="6"/>
  <c r="L5032" i="6"/>
  <c r="N5032" i="6"/>
  <c r="K5032" i="6"/>
  <c r="M5032" i="6"/>
  <c r="N5031" i="6"/>
  <c r="K4969" i="6"/>
  <c r="M4969" i="6"/>
  <c r="L4969" i="6"/>
  <c r="N4969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K4875" i="6"/>
  <c r="M4875" i="6"/>
  <c r="L4875" i="6"/>
  <c r="N4875" i="6"/>
  <c r="L4756" i="6"/>
  <c r="N4756" i="6"/>
  <c r="K4756" i="6"/>
  <c r="M4756" i="6"/>
  <c r="K4627" i="6"/>
  <c r="M4627" i="6"/>
  <c r="L4627" i="6"/>
  <c r="N462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25" i="6"/>
  <c r="M5825" i="6"/>
  <c r="L5825" i="6"/>
  <c r="N5825" i="6"/>
  <c r="K5747" i="6"/>
  <c r="M5747" i="6"/>
  <c r="L5747" i="6"/>
  <c r="N5747" i="6"/>
  <c r="K5703" i="6"/>
  <c r="M5703" i="6"/>
  <c r="L5703" i="6"/>
  <c r="N5703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L5469" i="6"/>
  <c r="N5469" i="6"/>
  <c r="K5469" i="6"/>
  <c r="M5469" i="6"/>
  <c r="K5353" i="6"/>
  <c r="M5353" i="6"/>
  <c r="L5353" i="6"/>
  <c r="N5353" i="6"/>
  <c r="K5249" i="6"/>
  <c r="M5249" i="6"/>
  <c r="L5249" i="6"/>
  <c r="N5249" i="6"/>
  <c r="K5087" i="6"/>
  <c r="M5087" i="6"/>
  <c r="L5087" i="6"/>
  <c r="N5087" i="6"/>
  <c r="L5004" i="6"/>
  <c r="N5004" i="6"/>
  <c r="K5004" i="6"/>
  <c r="M5004" i="6"/>
  <c r="K4919" i="6"/>
  <c r="M4919" i="6"/>
  <c r="L4919" i="6"/>
  <c r="N4919" i="6"/>
  <c r="K4783" i="6"/>
  <c r="M4783" i="6"/>
  <c r="L4783" i="6"/>
  <c r="N4783" i="6"/>
  <c r="L4494" i="6"/>
  <c r="N4494" i="6"/>
  <c r="K4494" i="6"/>
  <c r="M4494" i="6"/>
  <c r="L4478" i="6"/>
  <c r="N4478" i="6"/>
  <c r="K4478" i="6"/>
  <c r="M4478" i="6"/>
  <c r="L4398" i="6"/>
  <c r="N4398" i="6"/>
  <c r="K4398" i="6"/>
  <c r="M4398" i="6"/>
  <c r="L4366" i="6"/>
  <c r="N4366" i="6"/>
  <c r="K4366" i="6"/>
  <c r="M4366" i="6"/>
  <c r="L4069" i="6"/>
  <c r="N4069" i="6"/>
  <c r="M4069" i="6"/>
  <c r="L3871" i="6"/>
  <c r="N3871" i="6"/>
  <c r="M3871" i="6"/>
  <c r="K6060" i="6"/>
  <c r="M6060" i="6"/>
  <c r="L6060" i="6"/>
  <c r="N6060" i="6"/>
  <c r="L6035" i="6"/>
  <c r="N6035" i="6"/>
  <c r="K6035" i="6"/>
  <c r="M6035" i="6"/>
  <c r="L6034" i="6"/>
  <c r="N6034" i="6"/>
  <c r="L6011" i="6"/>
  <c r="N6011" i="6"/>
  <c r="K6011" i="6"/>
  <c r="M6011" i="6"/>
  <c r="L6010" i="6"/>
  <c r="N6010" i="6"/>
  <c r="K5990" i="6"/>
  <c r="M5990" i="6"/>
  <c r="L5990" i="6"/>
  <c r="N5990" i="6"/>
  <c r="K5972" i="6"/>
  <c r="M5972" i="6"/>
  <c r="L5972" i="6"/>
  <c r="N5972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L5874" i="6"/>
  <c r="N5874" i="6"/>
  <c r="K5874" i="6"/>
  <c r="M5874" i="6"/>
  <c r="K5867" i="6"/>
  <c r="M5867" i="6"/>
  <c r="L5867" i="6"/>
  <c r="N5867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K5803" i="6"/>
  <c r="M5803" i="6"/>
  <c r="L5803" i="6"/>
  <c r="N5803" i="6"/>
  <c r="K5783" i="6"/>
  <c r="M5783" i="6"/>
  <c r="L5783" i="6"/>
  <c r="N5783" i="6"/>
  <c r="K5771" i="6"/>
  <c r="M5771" i="6"/>
  <c r="L5771" i="6"/>
  <c r="N577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L5669" i="6"/>
  <c r="N5669" i="6"/>
  <c r="K5669" i="6"/>
  <c r="M5669" i="6"/>
  <c r="L5662" i="6"/>
  <c r="N5662" i="6"/>
  <c r="K5662" i="6"/>
  <c r="M5662" i="6"/>
  <c r="M5660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K5471" i="6"/>
  <c r="M5471" i="6"/>
  <c r="L5471" i="6"/>
  <c r="N5471" i="6"/>
  <c r="L5416" i="6"/>
  <c r="N5416" i="6"/>
  <c r="K5416" i="6"/>
  <c r="M5416" i="6"/>
  <c r="K5361" i="6"/>
  <c r="M5361" i="6"/>
  <c r="L5361" i="6"/>
  <c r="N5361" i="6"/>
  <c r="K5355" i="6"/>
  <c r="M5355" i="6"/>
  <c r="L5355" i="6"/>
  <c r="N5355" i="6"/>
  <c r="K5337" i="6"/>
  <c r="M5337" i="6"/>
  <c r="L5337" i="6"/>
  <c r="N5337" i="6"/>
  <c r="L5320" i="6"/>
  <c r="N5320" i="6"/>
  <c r="K5320" i="6"/>
  <c r="M5320" i="6"/>
  <c r="N5319" i="6"/>
  <c r="L5288" i="6"/>
  <c r="N5288" i="6"/>
  <c r="K5288" i="6"/>
  <c r="M5288" i="6"/>
  <c r="N5287" i="6"/>
  <c r="L5241" i="6"/>
  <c r="N5241" i="6"/>
  <c r="K5085" i="6"/>
  <c r="M5085" i="6"/>
  <c r="L5085" i="6"/>
  <c r="N5085" i="6"/>
  <c r="L5036" i="6"/>
  <c r="N5036" i="6"/>
  <c r="K5036" i="6"/>
  <c r="M5036" i="6"/>
  <c r="K4989" i="6"/>
  <c r="M4989" i="6"/>
  <c r="L4989" i="6"/>
  <c r="N4989" i="6"/>
  <c r="K4973" i="6"/>
  <c r="M4973" i="6"/>
  <c r="L4973" i="6"/>
  <c r="N4973" i="6"/>
  <c r="K4941" i="6"/>
  <c r="M4941" i="6"/>
  <c r="L4941" i="6"/>
  <c r="N4941" i="6"/>
  <c r="L4917" i="6"/>
  <c r="N4917" i="6"/>
  <c r="K4917" i="6"/>
  <c r="M4917" i="6"/>
  <c r="L4832" i="6"/>
  <c r="N4832" i="6"/>
  <c r="K4832" i="6"/>
  <c r="M4832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L4764" i="6"/>
  <c r="N4764" i="6"/>
  <c r="K4764" i="6"/>
  <c r="M4764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689" i="6"/>
  <c r="M3689" i="6"/>
  <c r="L3689" i="6"/>
  <c r="N3689" i="6"/>
  <c r="M6077" i="6"/>
  <c r="K6044" i="6"/>
  <c r="M6044" i="6"/>
  <c r="K5920" i="6"/>
  <c r="M5920" i="6"/>
  <c r="K5899" i="6"/>
  <c r="M5899" i="6"/>
  <c r="N5894" i="6"/>
  <c r="N5886" i="6"/>
  <c r="K5863" i="6"/>
  <c r="M5863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55" i="6"/>
  <c r="M5755" i="6"/>
  <c r="N5738" i="6"/>
  <c r="K5727" i="6"/>
  <c r="M5727" i="6"/>
  <c r="L5727" i="6"/>
  <c r="N5727" i="6"/>
  <c r="K5723" i="6"/>
  <c r="M5723" i="6"/>
  <c r="L5698" i="6"/>
  <c r="N5698" i="6"/>
  <c r="K5698" i="6"/>
  <c r="M5698" i="6"/>
  <c r="N5694" i="6"/>
  <c r="K5663" i="6"/>
  <c r="M5663" i="6"/>
  <c r="K5615" i="6"/>
  <c r="M5615" i="6"/>
  <c r="K5571" i="6"/>
  <c r="M5571" i="6"/>
  <c r="K5567" i="6"/>
  <c r="M5567" i="6"/>
  <c r="K5563" i="6"/>
  <c r="M5563" i="6"/>
  <c r="K5555" i="6"/>
  <c r="M5555" i="6"/>
  <c r="K5551" i="6"/>
  <c r="M5551" i="6"/>
  <c r="K5547" i="6"/>
  <c r="M5547" i="6"/>
  <c r="K5539" i="6"/>
  <c r="M5539" i="6"/>
  <c r="K5535" i="6"/>
  <c r="M5535" i="6"/>
  <c r="K5531" i="6"/>
  <c r="M5531" i="6"/>
  <c r="K5523" i="6"/>
  <c r="M5523" i="6"/>
  <c r="K5515" i="6"/>
  <c r="M5515" i="6"/>
  <c r="K5459" i="6"/>
  <c r="M5459" i="6"/>
  <c r="L5420" i="6"/>
  <c r="N5420" i="6"/>
  <c r="K5420" i="6"/>
  <c r="M5420" i="6"/>
  <c r="N5419" i="6"/>
  <c r="K5339" i="6"/>
  <c r="M5339" i="6"/>
  <c r="L5339" i="6"/>
  <c r="N5339" i="6"/>
  <c r="K5323" i="6"/>
  <c r="M5323" i="6"/>
  <c r="L5323" i="6"/>
  <c r="N5323" i="6"/>
  <c r="K5319" i="6"/>
  <c r="M5319" i="6"/>
  <c r="K5303" i="6"/>
  <c r="M5303" i="6"/>
  <c r="K5287" i="6"/>
  <c r="M5287" i="6"/>
  <c r="K5263" i="6"/>
  <c r="M5263" i="6"/>
  <c r="N5263" i="6"/>
  <c r="N5247" i="6"/>
  <c r="K5226" i="6"/>
  <c r="M5226" i="6"/>
  <c r="K5199" i="6"/>
  <c r="M5199" i="6"/>
  <c r="N5157" i="6"/>
  <c r="M5081" i="6"/>
  <c r="L5040" i="6"/>
  <c r="N5040" i="6"/>
  <c r="K5040" i="6"/>
  <c r="M5040" i="6"/>
  <c r="N5039" i="6"/>
  <c r="L4991" i="6"/>
  <c r="N4991" i="6"/>
  <c r="K4991" i="6"/>
  <c r="M4991" i="6"/>
  <c r="K4923" i="6"/>
  <c r="M4923" i="6"/>
  <c r="L4855" i="6"/>
  <c r="N4855" i="6"/>
  <c r="K4855" i="6"/>
  <c r="M4855" i="6"/>
  <c r="L4800" i="6"/>
  <c r="N4800" i="6"/>
  <c r="K4800" i="6"/>
  <c r="M4800" i="6"/>
  <c r="L4784" i="6"/>
  <c r="N4784" i="6"/>
  <c r="K4784" i="6"/>
  <c r="M4784" i="6"/>
  <c r="L4732" i="6"/>
  <c r="N4732" i="6"/>
  <c r="K4732" i="6"/>
  <c r="M4732" i="6"/>
  <c r="N4729" i="6"/>
  <c r="L4716" i="6"/>
  <c r="N4716" i="6"/>
  <c r="K4716" i="6"/>
  <c r="M4716" i="6"/>
  <c r="K4689" i="6"/>
  <c r="M4689" i="6"/>
  <c r="L4689" i="6"/>
  <c r="N4689" i="6"/>
  <c r="L4630" i="6"/>
  <c r="N4630" i="6"/>
  <c r="K4630" i="6"/>
  <c r="M4630" i="6"/>
  <c r="L4566" i="6"/>
  <c r="N4566" i="6"/>
  <c r="K4566" i="6"/>
  <c r="M4566" i="6"/>
  <c r="K6032" i="6"/>
  <c r="M6032" i="6"/>
  <c r="K6028" i="6"/>
  <c r="M6028" i="6"/>
  <c r="K6020" i="6"/>
  <c r="M6020" i="6"/>
  <c r="K6008" i="6"/>
  <c r="M6008" i="6"/>
  <c r="K6004" i="6"/>
  <c r="M6004" i="6"/>
  <c r="K5996" i="6"/>
  <c r="M5996" i="6"/>
  <c r="N5958" i="6"/>
  <c r="N5950" i="6"/>
  <c r="N5942" i="6"/>
  <c r="N5922" i="6"/>
  <c r="K5907" i="6"/>
  <c r="M5907" i="6"/>
  <c r="K5879" i="6"/>
  <c r="M5879" i="6"/>
  <c r="K5859" i="6"/>
  <c r="M5859" i="6"/>
  <c r="K5827" i="6"/>
  <c r="M5827" i="6"/>
  <c r="K5795" i="6"/>
  <c r="M5795" i="6"/>
  <c r="K5743" i="6"/>
  <c r="M5743" i="6"/>
  <c r="N5699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L5580" i="6"/>
  <c r="N5580" i="6"/>
  <c r="K5580" i="6"/>
  <c r="M5580" i="6"/>
  <c r="N5579" i="6"/>
  <c r="K5499" i="6"/>
  <c r="M5499" i="6"/>
  <c r="L5499" i="6"/>
  <c r="N5499" i="6"/>
  <c r="K5483" i="6"/>
  <c r="M5483" i="6"/>
  <c r="L5483" i="6"/>
  <c r="N5483" i="6"/>
  <c r="K5479" i="6"/>
  <c r="M5479" i="6"/>
  <c r="N5425" i="6"/>
  <c r="L5424" i="6"/>
  <c r="N5424" i="6"/>
  <c r="K5424" i="6"/>
  <c r="M5424" i="6"/>
  <c r="N5423" i="6"/>
  <c r="K5291" i="6"/>
  <c r="M5291" i="6"/>
  <c r="K5267" i="6"/>
  <c r="M5267" i="6"/>
  <c r="L5267" i="6"/>
  <c r="N5267" i="6"/>
  <c r="K5258" i="6"/>
  <c r="M5258" i="6"/>
  <c r="K5223" i="6"/>
  <c r="M5223" i="6"/>
  <c r="L5223" i="6"/>
  <c r="N5223" i="6"/>
  <c r="N5161" i="6"/>
  <c r="K5159" i="6"/>
  <c r="M5159" i="6"/>
  <c r="N5145" i="6"/>
  <c r="L5136" i="6"/>
  <c r="N5136" i="6"/>
  <c r="K5136" i="6"/>
  <c r="M5136" i="6"/>
  <c r="N5135" i="6"/>
  <c r="K5099" i="6"/>
  <c r="M5099" i="6"/>
  <c r="L5099" i="6"/>
  <c r="N5099" i="6"/>
  <c r="K5083" i="6"/>
  <c r="M5083" i="6"/>
  <c r="L5083" i="6"/>
  <c r="N5083" i="6"/>
  <c r="L5044" i="6"/>
  <c r="K5044" i="6"/>
  <c r="M5044" i="6"/>
  <c r="N5043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K4911" i="6"/>
  <c r="M4911" i="6"/>
  <c r="K4895" i="6"/>
  <c r="M4895" i="6"/>
  <c r="K4857" i="6"/>
  <c r="M4857" i="6"/>
  <c r="L4857" i="6"/>
  <c r="N4857" i="6"/>
  <c r="K4833" i="6"/>
  <c r="M4833" i="6"/>
  <c r="K4829" i="6"/>
  <c r="M4829" i="6"/>
  <c r="K4817" i="6"/>
  <c r="M4817" i="6"/>
  <c r="K4701" i="6"/>
  <c r="M4701" i="6"/>
  <c r="L4701" i="6"/>
  <c r="N4701" i="6"/>
  <c r="K4655" i="6"/>
  <c r="M4655" i="6"/>
  <c r="L4655" i="6"/>
  <c r="N4655" i="6"/>
  <c r="L4650" i="6"/>
  <c r="N4650" i="6"/>
  <c r="K4650" i="6"/>
  <c r="M4650" i="6"/>
  <c r="K5731" i="6"/>
  <c r="M5731" i="6"/>
  <c r="N5726" i="6"/>
  <c r="K5699" i="6"/>
  <c r="M5699" i="6"/>
  <c r="K5694" i="6"/>
  <c r="M5694" i="6"/>
  <c r="N5678" i="6"/>
  <c r="K5603" i="6"/>
  <c r="M5603" i="6"/>
  <c r="K5587" i="6"/>
  <c r="M5587" i="6"/>
  <c r="K5583" i="6"/>
  <c r="M5583" i="6"/>
  <c r="K5579" i="6"/>
  <c r="M5579" i="6"/>
  <c r="K5443" i="6"/>
  <c r="M5443" i="6"/>
  <c r="K5427" i="6"/>
  <c r="M5427" i="6"/>
  <c r="K5423" i="6"/>
  <c r="M5423" i="6"/>
  <c r="K5419" i="6"/>
  <c r="M5419" i="6"/>
  <c r="K5415" i="6"/>
  <c r="M5415" i="6"/>
  <c r="K5395" i="6"/>
  <c r="M5395" i="6"/>
  <c r="K5268" i="6"/>
  <c r="M5268" i="6"/>
  <c r="K5259" i="6"/>
  <c r="M5259" i="6"/>
  <c r="K5255" i="6"/>
  <c r="M5255" i="6"/>
  <c r="K5247" i="6"/>
  <c r="M5247" i="6"/>
  <c r="K5235" i="6"/>
  <c r="M5235" i="6"/>
  <c r="K5204" i="6"/>
  <c r="M5204" i="6"/>
  <c r="K5135" i="6"/>
  <c r="M5135" i="6"/>
  <c r="K5127" i="6"/>
  <c r="M5127" i="6"/>
  <c r="K5043" i="6"/>
  <c r="M5043" i="6"/>
  <c r="K5039" i="6"/>
  <c r="M5039" i="6"/>
  <c r="K5035" i="6"/>
  <c r="M5035" i="6"/>
  <c r="K5031" i="6"/>
  <c r="M5031" i="6"/>
  <c r="K5009" i="6"/>
  <c r="M5009" i="6"/>
  <c r="K5001" i="6"/>
  <c r="M5001" i="6"/>
  <c r="N4995" i="6"/>
  <c r="K4871" i="6"/>
  <c r="M4871" i="6"/>
  <c r="L4871" i="6"/>
  <c r="N4871" i="6"/>
  <c r="K4867" i="6"/>
  <c r="M4867" i="6"/>
  <c r="K4853" i="6"/>
  <c r="M4853" i="6"/>
  <c r="L4853" i="6"/>
  <c r="N4853" i="6"/>
  <c r="K4753" i="6"/>
  <c r="M4753" i="6"/>
  <c r="L4753" i="6"/>
  <c r="N4753" i="6"/>
  <c r="M4752" i="6"/>
  <c r="N4725" i="6"/>
  <c r="K4691" i="6"/>
  <c r="M4691" i="6"/>
  <c r="L4691" i="6"/>
  <c r="N4691" i="6"/>
  <c r="L4674" i="6"/>
  <c r="N4674" i="6"/>
  <c r="K4674" i="6"/>
  <c r="M4674" i="6"/>
  <c r="L4658" i="6"/>
  <c r="N4658" i="6"/>
  <c r="K4658" i="6"/>
  <c r="M4658" i="6"/>
  <c r="K4653" i="6"/>
  <c r="M4653" i="6"/>
  <c r="L4653" i="6"/>
  <c r="N4653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L4164" i="6"/>
  <c r="N4164" i="6"/>
  <c r="K4164" i="6"/>
  <c r="M4164" i="6"/>
  <c r="L4073" i="6"/>
  <c r="N4073" i="6"/>
  <c r="M4073" i="6"/>
  <c r="K4809" i="6"/>
  <c r="M4809" i="6"/>
  <c r="K4729" i="6"/>
  <c r="M4729" i="6"/>
  <c r="K4725" i="6"/>
  <c r="M4725" i="6"/>
  <c r="K4667" i="6"/>
  <c r="M4667" i="6"/>
  <c r="K4659" i="6"/>
  <c r="M4659" i="6"/>
  <c r="N4654" i="6"/>
  <c r="K4631" i="6"/>
  <c r="M4631" i="6"/>
  <c r="K4595" i="6"/>
  <c r="M4595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K4272" i="6"/>
  <c r="M4272" i="6"/>
  <c r="L4272" i="6"/>
  <c r="N4272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39" i="6"/>
  <c r="M4139" i="6"/>
  <c r="L4139" i="6"/>
  <c r="N4139" i="6"/>
  <c r="N4019" i="6"/>
  <c r="N4011" i="6"/>
  <c r="L3942" i="6"/>
  <c r="N3942" i="6"/>
  <c r="K3942" i="6"/>
  <c r="M3942" i="6"/>
  <c r="K4797" i="6"/>
  <c r="M4797" i="6"/>
  <c r="K4793" i="6"/>
  <c r="M4793" i="6"/>
  <c r="K4785" i="6"/>
  <c r="M4785" i="6"/>
  <c r="K4781" i="6"/>
  <c r="M4781" i="6"/>
  <c r="K4769" i="6"/>
  <c r="M4769" i="6"/>
  <c r="K4761" i="6"/>
  <c r="M4761" i="6"/>
  <c r="K4717" i="6"/>
  <c r="M4717" i="6"/>
  <c r="K4713" i="6"/>
  <c r="M4713" i="6"/>
  <c r="K4709" i="6"/>
  <c r="M4709" i="6"/>
  <c r="K4675" i="6"/>
  <c r="M4675" i="6"/>
  <c r="K4647" i="6"/>
  <c r="M4647" i="6"/>
  <c r="K4563" i="6"/>
  <c r="M4563" i="6"/>
  <c r="K4495" i="6"/>
  <c r="M4495" i="6"/>
  <c r="K4487" i="6"/>
  <c r="M4487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L4314" i="6"/>
  <c r="N4314" i="6"/>
  <c r="K4314" i="6"/>
  <c r="M4314" i="6"/>
  <c r="L4289" i="6"/>
  <c r="N4289" i="6"/>
  <c r="K4289" i="6"/>
  <c r="M4289" i="6"/>
  <c r="L4246" i="6"/>
  <c r="N4246" i="6"/>
  <c r="K4246" i="6"/>
  <c r="M4246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L4060" i="6"/>
  <c r="N4060" i="6"/>
  <c r="M4060" i="6"/>
  <c r="L4038" i="6"/>
  <c r="N4038" i="6"/>
  <c r="K4038" i="6"/>
  <c r="M4038" i="6"/>
  <c r="N4027" i="6"/>
  <c r="L3525" i="6"/>
  <c r="N3525" i="6"/>
  <c r="K3525" i="6"/>
  <c r="M3525" i="6"/>
  <c r="M3510" i="6"/>
  <c r="L3510" i="6"/>
  <c r="N3510" i="6"/>
  <c r="K4259" i="6"/>
  <c r="M4259" i="6"/>
  <c r="L4210" i="6"/>
  <c r="N4210" i="6"/>
  <c r="L4194" i="6"/>
  <c r="N4194" i="6"/>
  <c r="M4163" i="6"/>
  <c r="K4123" i="6"/>
  <c r="M4123" i="6"/>
  <c r="N4057" i="6"/>
  <c r="N4051" i="6"/>
  <c r="L4044" i="6"/>
  <c r="N4044" i="6"/>
  <c r="K4008" i="6"/>
  <c r="M4008" i="6"/>
  <c r="K3960" i="6"/>
  <c r="M3960" i="6"/>
  <c r="K3941" i="6"/>
  <c r="M3941" i="6"/>
  <c r="M3862" i="6"/>
  <c r="L3862" i="6"/>
  <c r="N3862" i="6"/>
  <c r="K3502" i="6"/>
  <c r="M3502" i="6"/>
  <c r="L3502" i="6"/>
  <c r="N3502" i="6"/>
  <c r="M3410" i="6"/>
  <c r="L3410" i="6"/>
  <c r="N3410" i="6"/>
  <c r="N3290" i="6"/>
  <c r="N3181" i="6"/>
  <c r="N4518" i="6"/>
  <c r="K4479" i="6"/>
  <c r="M4479" i="6"/>
  <c r="K4471" i="6"/>
  <c r="M4471" i="6"/>
  <c r="N4437" i="6"/>
  <c r="K4415" i="6"/>
  <c r="M4415" i="6"/>
  <c r="K4407" i="6"/>
  <c r="M4407" i="6"/>
  <c r="M4405" i="6"/>
  <c r="L4394" i="6"/>
  <c r="N4394" i="6"/>
  <c r="K4394" i="6"/>
  <c r="M4394" i="6"/>
  <c r="M4288" i="6"/>
  <c r="K4155" i="6"/>
  <c r="M4155" i="6"/>
  <c r="L4155" i="6"/>
  <c r="N4155" i="6"/>
  <c r="K4037" i="6"/>
  <c r="M4037" i="6"/>
  <c r="N4031" i="6"/>
  <c r="N4030" i="6"/>
  <c r="N4015" i="6"/>
  <c r="M4005" i="6"/>
  <c r="K3936" i="6"/>
  <c r="M3936" i="6"/>
  <c r="M3924" i="6"/>
  <c r="L3915" i="6"/>
  <c r="N3915" i="6"/>
  <c r="M3915" i="6"/>
  <c r="L3911" i="6"/>
  <c r="N3911" i="6"/>
  <c r="M3911" i="6"/>
  <c r="L3895" i="6"/>
  <c r="N3895" i="6"/>
  <c r="K3895" i="6"/>
  <c r="M3895" i="6"/>
  <c r="M3864" i="6"/>
  <c r="L3864" i="6"/>
  <c r="N3864" i="6"/>
  <c r="M3697" i="6"/>
  <c r="L3697" i="6"/>
  <c r="N3697" i="6"/>
  <c r="M3506" i="6"/>
  <c r="L3506" i="6"/>
  <c r="N3506" i="6"/>
  <c r="L3460" i="6"/>
  <c r="N3460" i="6"/>
  <c r="M3460" i="6"/>
  <c r="M3933" i="6"/>
  <c r="N3918" i="6"/>
  <c r="L3903" i="6"/>
  <c r="N3903" i="6"/>
  <c r="M3903" i="6"/>
  <c r="L3887" i="6"/>
  <c r="N3887" i="6"/>
  <c r="K3887" i="6"/>
  <c r="M3887" i="6"/>
  <c r="K3856" i="6"/>
  <c r="M3856" i="6"/>
  <c r="N3691" i="6"/>
  <c r="K3653" i="6"/>
  <c r="M3653" i="6"/>
  <c r="M3637" i="6"/>
  <c r="N3611" i="6"/>
  <c r="N3452" i="6"/>
  <c r="M3422" i="6"/>
  <c r="N3396" i="6"/>
  <c r="N3368" i="6"/>
  <c r="M3343" i="6"/>
  <c r="N4134" i="6"/>
  <c r="N4118" i="6"/>
  <c r="N3979" i="6"/>
  <c r="L3907" i="6"/>
  <c r="N3907" i="6"/>
  <c r="K3907" i="6"/>
  <c r="M3907" i="6"/>
  <c r="L3891" i="6"/>
  <c r="N3891" i="6"/>
  <c r="M3891" i="6"/>
  <c r="N3850" i="6"/>
  <c r="N3412" i="6"/>
  <c r="K4491" i="6"/>
  <c r="M4491" i="6"/>
  <c r="N4482" i="6"/>
  <c r="K4475" i="6"/>
  <c r="M4475" i="6"/>
  <c r="K4427" i="6"/>
  <c r="M4427" i="6"/>
  <c r="K4411" i="6"/>
  <c r="M4411" i="6"/>
  <c r="K4395" i="6"/>
  <c r="M4395" i="6"/>
  <c r="K4379" i="6"/>
  <c r="M4379" i="6"/>
  <c r="K4363" i="6"/>
  <c r="M4363" i="6"/>
  <c r="N4354" i="6"/>
  <c r="K4315" i="6"/>
  <c r="M4315" i="6"/>
  <c r="K4299" i="6"/>
  <c r="M4299" i="6"/>
  <c r="K4287" i="6"/>
  <c r="M4287" i="6"/>
  <c r="K4271" i="6"/>
  <c r="M4271" i="6"/>
  <c r="K4239" i="6"/>
  <c r="M4239" i="6"/>
  <c r="K4235" i="6"/>
  <c r="M4235" i="6"/>
  <c r="K4207" i="6"/>
  <c r="M4207" i="6"/>
  <c r="K4203" i="6"/>
  <c r="M4203" i="6"/>
  <c r="K4199" i="6"/>
  <c r="M4199" i="6"/>
  <c r="M4191" i="6"/>
  <c r="K4187" i="6"/>
  <c r="M4187" i="6"/>
  <c r="K4183" i="6"/>
  <c r="M4183" i="6"/>
  <c r="K4179" i="6"/>
  <c r="M4179" i="6"/>
  <c r="K4171" i="6"/>
  <c r="M4171" i="6"/>
  <c r="K4159" i="6"/>
  <c r="M4159" i="6"/>
  <c r="K4135" i="6"/>
  <c r="M4135" i="6"/>
  <c r="M4134" i="6"/>
  <c r="L4127" i="6"/>
  <c r="N4127" i="6"/>
  <c r="N4126" i="6"/>
  <c r="M4119" i="6"/>
  <c r="M4118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89" i="6"/>
  <c r="M3989" i="6"/>
  <c r="K3985" i="6"/>
  <c r="M3985" i="6"/>
  <c r="L3965" i="6"/>
  <c r="N3965" i="6"/>
  <c r="N3963" i="6"/>
  <c r="K3961" i="6"/>
  <c r="M3961" i="6"/>
  <c r="L3961" i="6"/>
  <c r="N3961" i="6"/>
  <c r="K3949" i="6"/>
  <c r="M3949" i="6"/>
  <c r="N3943" i="6"/>
  <c r="N3935" i="6"/>
  <c r="K3922" i="6"/>
  <c r="M3922" i="6"/>
  <c r="K3868" i="6"/>
  <c r="M3868" i="6"/>
  <c r="L3860" i="6"/>
  <c r="N3860" i="6"/>
  <c r="L3858" i="6"/>
  <c r="N3858" i="6"/>
  <c r="M3851" i="6"/>
  <c r="N3735" i="6"/>
  <c r="K3733" i="6"/>
  <c r="M3733" i="6"/>
  <c r="N3723" i="6"/>
  <c r="K3664" i="6"/>
  <c r="M3664" i="6"/>
  <c r="L3657" i="6"/>
  <c r="N3657" i="6"/>
  <c r="N3655" i="6"/>
  <c r="K3648" i="6"/>
  <c r="M3648" i="6"/>
  <c r="L3641" i="6"/>
  <c r="N3641" i="6"/>
  <c r="K3632" i="6"/>
  <c r="M3632" i="6"/>
  <c r="L3625" i="6"/>
  <c r="N3625" i="6"/>
  <c r="M3600" i="6"/>
  <c r="K3596" i="6"/>
  <c r="M3596" i="6"/>
  <c r="M3592" i="6"/>
  <c r="K3588" i="6"/>
  <c r="M3588" i="6"/>
  <c r="N3520" i="6"/>
  <c r="K3517" i="6"/>
  <c r="M3517" i="6"/>
  <c r="K3458" i="6"/>
  <c r="M3458" i="6"/>
  <c r="K3441" i="6"/>
  <c r="M3441" i="6"/>
  <c r="K3430" i="6"/>
  <c r="M3430" i="6"/>
  <c r="K3427" i="6"/>
  <c r="M3427" i="6"/>
  <c r="K3412" i="6"/>
  <c r="M3412" i="6"/>
  <c r="M3290" i="6"/>
  <c r="M3285" i="6"/>
  <c r="M3280" i="6"/>
  <c r="N3274" i="6"/>
  <c r="N3221" i="6"/>
  <c r="L3148" i="6"/>
  <c r="N3148" i="6"/>
  <c r="M3736" i="6"/>
  <c r="M3608" i="6"/>
  <c r="L3541" i="6"/>
  <c r="N3541" i="6"/>
  <c r="K3534" i="6"/>
  <c r="M3534" i="6"/>
  <c r="K3522" i="6"/>
  <c r="M3522" i="6"/>
  <c r="L3514" i="6"/>
  <c r="N351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L3454" i="6"/>
  <c r="N3454" i="6"/>
  <c r="K3449" i="6"/>
  <c r="M3449" i="6"/>
  <c r="K3437" i="6"/>
  <c r="M3437" i="6"/>
  <c r="K3426" i="6"/>
  <c r="M3426" i="6"/>
  <c r="K3414" i="6"/>
  <c r="M3414" i="6"/>
  <c r="M3379" i="6"/>
  <c r="M3356" i="6"/>
  <c r="M3340" i="6"/>
  <c r="M3303" i="6"/>
  <c r="M3261" i="6"/>
  <c r="N3175" i="6"/>
  <c r="K3977" i="6"/>
  <c r="M3977" i="6"/>
  <c r="K3964" i="6"/>
  <c r="M3964" i="6"/>
  <c r="N3959" i="6"/>
  <c r="N3923" i="6"/>
  <c r="K3912" i="6"/>
  <c r="M3912" i="6"/>
  <c r="K3900" i="6"/>
  <c r="M3900" i="6"/>
  <c r="M3884" i="6"/>
  <c r="L3737" i="6"/>
  <c r="N3737" i="6"/>
  <c r="L3721" i="6"/>
  <c r="N3721" i="6"/>
  <c r="K3672" i="6"/>
  <c r="M3672" i="6"/>
  <c r="M3668" i="6"/>
  <c r="L3621" i="6"/>
  <c r="N3621" i="6"/>
  <c r="L3609" i="6"/>
  <c r="N3609" i="6"/>
  <c r="K3584" i="6"/>
  <c r="M3584" i="6"/>
  <c r="K3580" i="6"/>
  <c r="M3580" i="6"/>
  <c r="K3576" i="6"/>
  <c r="M3576" i="6"/>
  <c r="K3572" i="6"/>
  <c r="M3572" i="6"/>
  <c r="K3568" i="6"/>
  <c r="M3568" i="6"/>
  <c r="K3564" i="6"/>
  <c r="M3564" i="6"/>
  <c r="K3560" i="6"/>
  <c r="M3560" i="6"/>
  <c r="K3556" i="6"/>
  <c r="M3556" i="6"/>
  <c r="K3552" i="6"/>
  <c r="M3552" i="6"/>
  <c r="N3485" i="6"/>
  <c r="N3469" i="6"/>
  <c r="N3377" i="6"/>
  <c r="N3356" i="6"/>
  <c r="N3340" i="6"/>
  <c r="L3329" i="6"/>
  <c r="N3329" i="6"/>
  <c r="M3329" i="6"/>
  <c r="L3303" i="6"/>
  <c r="N3303" i="6"/>
  <c r="N3261" i="6"/>
  <c r="N3216" i="6"/>
  <c r="L3202" i="6"/>
  <c r="N3202" i="6"/>
  <c r="M3402" i="6"/>
  <c r="M3386" i="6"/>
  <c r="M3328" i="6"/>
  <c r="M3291" i="6"/>
  <c r="M3275" i="6"/>
  <c r="M3268" i="6"/>
  <c r="M3254" i="6"/>
  <c r="N3209" i="6"/>
  <c r="M3173" i="6"/>
  <c r="N3165" i="6"/>
  <c r="L3080" i="6"/>
  <c r="N3080" i="6"/>
  <c r="K3080" i="6"/>
  <c r="M3080" i="6"/>
  <c r="L3031" i="6"/>
  <c r="N3031" i="6"/>
  <c r="K3031" i="6"/>
  <c r="M3031" i="6"/>
  <c r="N3254" i="6"/>
  <c r="N3173" i="6"/>
  <c r="N3157" i="6"/>
  <c r="N3145" i="6"/>
  <c r="K3129" i="6"/>
  <c r="M3129" i="6"/>
  <c r="L3129" i="6"/>
  <c r="N3129" i="6"/>
  <c r="L3047" i="6"/>
  <c r="N3047" i="6"/>
  <c r="K3047" i="6"/>
  <c r="M3047" i="6"/>
  <c r="L3008" i="6"/>
  <c r="N3008" i="6"/>
  <c r="K3008" i="6"/>
  <c r="M3008" i="6"/>
  <c r="M3145" i="6"/>
  <c r="N3046" i="6"/>
  <c r="N3026" i="6"/>
  <c r="N3007" i="6"/>
  <c r="M3235" i="6"/>
  <c r="N3234" i="6"/>
  <c r="M3221" i="6"/>
  <c r="M3216" i="6"/>
  <c r="M3202" i="6"/>
  <c r="N3201" i="6"/>
  <c r="M3194" i="6"/>
  <c r="M3181" i="6"/>
  <c r="M3175" i="6"/>
  <c r="M3167" i="6"/>
  <c r="M3165" i="6"/>
  <c r="M3157" i="6"/>
  <c r="M3147" i="6"/>
  <c r="K3116" i="6"/>
  <c r="M3116" i="6"/>
  <c r="K3108" i="6"/>
  <c r="M3108" i="6"/>
  <c r="M3100" i="6"/>
  <c r="K3092" i="6"/>
  <c r="M3092" i="6"/>
  <c r="M6010" i="6"/>
  <c r="M5998" i="6"/>
  <c r="M5541" i="6"/>
  <c r="M5521" i="6"/>
  <c r="N3517" i="6"/>
  <c r="N3043" i="6"/>
  <c r="M6068" i="6"/>
  <c r="N4259" i="6"/>
  <c r="N4162" i="6"/>
  <c r="N3509" i="6"/>
  <c r="N4087" i="6"/>
  <c r="N3379" i="6"/>
  <c r="N5650" i="6"/>
  <c r="M5557" i="6"/>
  <c r="N5259" i="6"/>
  <c r="M4731" i="6"/>
  <c r="N4064" i="6"/>
  <c r="N4239" i="6"/>
  <c r="N4207" i="6"/>
  <c r="N4191" i="6"/>
  <c r="N4123" i="6"/>
  <c r="N4083" i="6"/>
  <c r="N4039" i="6"/>
  <c r="M4819" i="6"/>
  <c r="N4235" i="6"/>
  <c r="N4203" i="6"/>
  <c r="N4187" i="6"/>
  <c r="N4135" i="6"/>
  <c r="N4119" i="6"/>
  <c r="N4071" i="6"/>
  <c r="N4068" i="6"/>
  <c r="N4055" i="6"/>
  <c r="N3995" i="6"/>
  <c r="N3991" i="6"/>
  <c r="N3919" i="6"/>
  <c r="N3465" i="6"/>
  <c r="N3449" i="6"/>
  <c r="N3441" i="6"/>
  <c r="N3437" i="6"/>
  <c r="N3409" i="6"/>
  <c r="N3268" i="6"/>
  <c r="M3131" i="6"/>
  <c r="N3042" i="6"/>
  <c r="N3285" i="6"/>
  <c r="N3030" i="6"/>
  <c r="M6886" i="6"/>
  <c r="M6858" i="6"/>
  <c r="M6850" i="6"/>
  <c r="M6842" i="6"/>
  <c r="M6834" i="6"/>
  <c r="M6830" i="6"/>
  <c r="M6822" i="6"/>
  <c r="M6814" i="6"/>
  <c r="M6794" i="6"/>
  <c r="M6774" i="6"/>
  <c r="M6762" i="6"/>
  <c r="M6754" i="6"/>
  <c r="M6746" i="6"/>
  <c r="M6738" i="6"/>
  <c r="M6734" i="6"/>
  <c r="M6718" i="6"/>
  <c r="M6702" i="6"/>
  <c r="M6698" i="6"/>
  <c r="M6694" i="6"/>
  <c r="M6654" i="6"/>
  <c r="M6614" i="6"/>
  <c r="M6606" i="6"/>
  <c r="M6594" i="6"/>
  <c r="M6586" i="6"/>
  <c r="M6582" i="6"/>
  <c r="M6574" i="6"/>
  <c r="M6566" i="6"/>
  <c r="M6558" i="6"/>
  <c r="M6554" i="6"/>
  <c r="M6546" i="6"/>
  <c r="M6526" i="6"/>
  <c r="M6522" i="6"/>
  <c r="M6514" i="6"/>
  <c r="M6506" i="6"/>
  <c r="M6490" i="6"/>
  <c r="M6470" i="6"/>
  <c r="M6454" i="6"/>
  <c r="M6450" i="6"/>
  <c r="M6418" i="6"/>
  <c r="M6378" i="6"/>
  <c r="N6324" i="6"/>
  <c r="N6292" i="6"/>
  <c r="N6274" i="6"/>
  <c r="K6274" i="6"/>
  <c r="K6261" i="6"/>
  <c r="L6261" i="6"/>
  <c r="K6085" i="6"/>
  <c r="M6085" i="6"/>
  <c r="L6085" i="6"/>
  <c r="N6085" i="6"/>
  <c r="K6057" i="6"/>
  <c r="M6057" i="6"/>
  <c r="L6057" i="6"/>
  <c r="N6057" i="6"/>
  <c r="K6033" i="6"/>
  <c r="M6033" i="6"/>
  <c r="L6033" i="6"/>
  <c r="N6033" i="6"/>
  <c r="K5977" i="6"/>
  <c r="M5977" i="6"/>
  <c r="L5977" i="6"/>
  <c r="N5977" i="6"/>
  <c r="K5969" i="6"/>
  <c r="M5969" i="6"/>
  <c r="L5969" i="6"/>
  <c r="N5969" i="6"/>
  <c r="K5921" i="6"/>
  <c r="M5921" i="6"/>
  <c r="L5921" i="6"/>
  <c r="N5921" i="6"/>
  <c r="L6902" i="6"/>
  <c r="K6899" i="6"/>
  <c r="K6891" i="6"/>
  <c r="L6886" i="6"/>
  <c r="L6882" i="6"/>
  <c r="K6879" i="6"/>
  <c r="L6870" i="6"/>
  <c r="K6867" i="6"/>
  <c r="K6863" i="6"/>
  <c r="L6858" i="6"/>
  <c r="K6851" i="6"/>
  <c r="L6850" i="6"/>
  <c r="L6846" i="6"/>
  <c r="L6842" i="6"/>
  <c r="L6838" i="6"/>
  <c r="L6834" i="6"/>
  <c r="L6830" i="6"/>
  <c r="K6827" i="6"/>
  <c r="L6822" i="6"/>
  <c r="L6814" i="6"/>
  <c r="K6811" i="6"/>
  <c r="K6807" i="6"/>
  <c r="L6802" i="6"/>
  <c r="K6799" i="6"/>
  <c r="L6794" i="6"/>
  <c r="K6791" i="6"/>
  <c r="L6782" i="6"/>
  <c r="K6779" i="6"/>
  <c r="L6774" i="6"/>
  <c r="K6771" i="6"/>
  <c r="L6762" i="6"/>
  <c r="L6754" i="6"/>
  <c r="K6751" i="6"/>
  <c r="K6747" i="6"/>
  <c r="L6746" i="6"/>
  <c r="K6743" i="6"/>
  <c r="L6738" i="6"/>
  <c r="L6734" i="6"/>
  <c r="L6726" i="6"/>
  <c r="L6722" i="6"/>
  <c r="L6718" i="6"/>
  <c r="L6702" i="6"/>
  <c r="L6698" i="6"/>
  <c r="K6695" i="6"/>
  <c r="L6694" i="6"/>
  <c r="K6691" i="6"/>
  <c r="K6687" i="6"/>
  <c r="L6682" i="6"/>
  <c r="L6678" i="6"/>
  <c r="K6675" i="6"/>
  <c r="K6671" i="6"/>
  <c r="K6667" i="6"/>
  <c r="L6666" i="6"/>
  <c r="K6663" i="6"/>
  <c r="L6654" i="6"/>
  <c r="K6651" i="6"/>
  <c r="K6647" i="6"/>
  <c r="L6646" i="6"/>
  <c r="L6638" i="6"/>
  <c r="K6635" i="6"/>
  <c r="L6634" i="6"/>
  <c r="K6631" i="6"/>
  <c r="K6627" i="6"/>
  <c r="L6618" i="6"/>
  <c r="L6614" i="6"/>
  <c r="L6610" i="6"/>
  <c r="K6607" i="6"/>
  <c r="L6606" i="6"/>
  <c r="K6599" i="6"/>
  <c r="L6598" i="6"/>
  <c r="L6594" i="6"/>
  <c r="L6590" i="6"/>
  <c r="L6586" i="6"/>
  <c r="K6583" i="6"/>
  <c r="L6582" i="6"/>
  <c r="K6579" i="6"/>
  <c r="L6574" i="6"/>
  <c r="L6570" i="6"/>
  <c r="K6567" i="6"/>
  <c r="L6566" i="6"/>
  <c r="K6559" i="6"/>
  <c r="L6558" i="6"/>
  <c r="L6554" i="6"/>
  <c r="K6551" i="6"/>
  <c r="L6546" i="6"/>
  <c r="K6531" i="6"/>
  <c r="K6527" i="6"/>
  <c r="L6526" i="6"/>
  <c r="L6522" i="6"/>
  <c r="K6515" i="6"/>
  <c r="L6514" i="6"/>
  <c r="K6511" i="6"/>
  <c r="L6510" i="6"/>
  <c r="K6507" i="6"/>
  <c r="L6506" i="6"/>
  <c r="K6503" i="6"/>
  <c r="L6494" i="6"/>
  <c r="K6491" i="6"/>
  <c r="L6490" i="6"/>
  <c r="K6487" i="6"/>
  <c r="K6483" i="6"/>
  <c r="L6482" i="6"/>
  <c r="L6474" i="6"/>
  <c r="L6470" i="6"/>
  <c r="K6467" i="6"/>
  <c r="K6463" i="6"/>
  <c r="L6462" i="6"/>
  <c r="L6458" i="6"/>
  <c r="K6455" i="6"/>
  <c r="L6454" i="6"/>
  <c r="L6450" i="6"/>
  <c r="K6447" i="6"/>
  <c r="L6446" i="6"/>
  <c r="K6443" i="6"/>
  <c r="L6442" i="6"/>
  <c r="K6435" i="6"/>
  <c r="K6431" i="6"/>
  <c r="L6430" i="6"/>
  <c r="K6427" i="6"/>
  <c r="K6423" i="6"/>
  <c r="L6422" i="6"/>
  <c r="L6418" i="6"/>
  <c r="L6414" i="6"/>
  <c r="K6411" i="6"/>
  <c r="K6407" i="6"/>
  <c r="K6403" i="6"/>
  <c r="L6398" i="6"/>
  <c r="K6391" i="6"/>
  <c r="L6390" i="6"/>
  <c r="K6387" i="6"/>
  <c r="K6379" i="6"/>
  <c r="L6378" i="6"/>
  <c r="K6375" i="6"/>
  <c r="L6374" i="6"/>
  <c r="K6362" i="6"/>
  <c r="L6361" i="6"/>
  <c r="K6360" i="6"/>
  <c r="M6357" i="6"/>
  <c r="K6344" i="6"/>
  <c r="L6329" i="6"/>
  <c r="L6326" i="6"/>
  <c r="M6325" i="6"/>
  <c r="M6324" i="6"/>
  <c r="K6314" i="6"/>
  <c r="L6313" i="6"/>
  <c r="L6294" i="6"/>
  <c r="M6293" i="6"/>
  <c r="M6292" i="6"/>
  <c r="M6274" i="6"/>
  <c r="K6265" i="6"/>
  <c r="L6265" i="6"/>
  <c r="N6261" i="6"/>
  <c r="N6246" i="6"/>
  <c r="K6246" i="6"/>
  <c r="K6233" i="6"/>
  <c r="L6233" i="6"/>
  <c r="N6209" i="6"/>
  <c r="K6209" i="6"/>
  <c r="L6209" i="6"/>
  <c r="N6201" i="6"/>
  <c r="K6201" i="6"/>
  <c r="L6201" i="6"/>
  <c r="N6169" i="6"/>
  <c r="K6169" i="6"/>
  <c r="L6169" i="6"/>
  <c r="N6153" i="6"/>
  <c r="K6153" i="6"/>
  <c r="L6153" i="6"/>
  <c r="N6129" i="6"/>
  <c r="K6129" i="6"/>
  <c r="L6129" i="6"/>
  <c r="N6121" i="6"/>
  <c r="K6121" i="6"/>
  <c r="L6121" i="6"/>
  <c r="N6113" i="6"/>
  <c r="K6113" i="6"/>
  <c r="L6113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474" i="6"/>
  <c r="M5474" i="6"/>
  <c r="L5474" i="6"/>
  <c r="N5474" i="6"/>
  <c r="K5458" i="6"/>
  <c r="M5458" i="6"/>
  <c r="L5458" i="6"/>
  <c r="N5458" i="6"/>
  <c r="K5426" i="6"/>
  <c r="M5426" i="6"/>
  <c r="L5426" i="6"/>
  <c r="N5426" i="6"/>
  <c r="K5362" i="6"/>
  <c r="M5362" i="6"/>
  <c r="L5362" i="6"/>
  <c r="N5362" i="6"/>
  <c r="K5298" i="6"/>
  <c r="M5298" i="6"/>
  <c r="L5298" i="6"/>
  <c r="N5298" i="6"/>
  <c r="M6902" i="6"/>
  <c r="M6882" i="6"/>
  <c r="M6870" i="6"/>
  <c r="M6846" i="6"/>
  <c r="M6838" i="6"/>
  <c r="M6802" i="6"/>
  <c r="M6782" i="6"/>
  <c r="M6726" i="6"/>
  <c r="M6722" i="6"/>
  <c r="M6682" i="6"/>
  <c r="M6678" i="6"/>
  <c r="M6666" i="6"/>
  <c r="M6638" i="6"/>
  <c r="M6634" i="6"/>
  <c r="M6618" i="6"/>
  <c r="M6610" i="6"/>
  <c r="M6598" i="6"/>
  <c r="M6590" i="6"/>
  <c r="M6570" i="6"/>
  <c r="M6510" i="6"/>
  <c r="M6494" i="6"/>
  <c r="M6482" i="6"/>
  <c r="M6474" i="6"/>
  <c r="M6462" i="6"/>
  <c r="M6458" i="6"/>
  <c r="M6446" i="6"/>
  <c r="M6442" i="6"/>
  <c r="M6430" i="6"/>
  <c r="M6422" i="6"/>
  <c r="M6414" i="6"/>
  <c r="M6398" i="6"/>
  <c r="M6374" i="6"/>
  <c r="N6325" i="6"/>
  <c r="N6293" i="6"/>
  <c r="K6277" i="6"/>
  <c r="L6277" i="6"/>
  <c r="K6009" i="6"/>
  <c r="M6009" i="6"/>
  <c r="L6009" i="6"/>
  <c r="N6009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162" i="6"/>
  <c r="M5162" i="6"/>
  <c r="L5162" i="6"/>
  <c r="N5162" i="6"/>
  <c r="K6902" i="6"/>
  <c r="K6886" i="6"/>
  <c r="K6882" i="6"/>
  <c r="K6870" i="6"/>
  <c r="K6858" i="6"/>
  <c r="K6850" i="6"/>
  <c r="K6846" i="6"/>
  <c r="K6842" i="6"/>
  <c r="K6838" i="6"/>
  <c r="K6834" i="6"/>
  <c r="K6830" i="6"/>
  <c r="K6822" i="6"/>
  <c r="K6814" i="6"/>
  <c r="K6802" i="6"/>
  <c r="K6794" i="6"/>
  <c r="K6782" i="6"/>
  <c r="K6774" i="6"/>
  <c r="K6762" i="6"/>
  <c r="K6754" i="6"/>
  <c r="K6746" i="6"/>
  <c r="K6738" i="6"/>
  <c r="K6734" i="6"/>
  <c r="K6726" i="6"/>
  <c r="K6722" i="6"/>
  <c r="K6718" i="6"/>
  <c r="K6702" i="6"/>
  <c r="K6698" i="6"/>
  <c r="K6694" i="6"/>
  <c r="K6682" i="6"/>
  <c r="K6678" i="6"/>
  <c r="K6666" i="6"/>
  <c r="K6654" i="6"/>
  <c r="K6646" i="6"/>
  <c r="K6638" i="6"/>
  <c r="K6634" i="6"/>
  <c r="K6618" i="6"/>
  <c r="K6614" i="6"/>
  <c r="K6610" i="6"/>
  <c r="K6606" i="6"/>
  <c r="K6598" i="6"/>
  <c r="K6594" i="6"/>
  <c r="K6590" i="6"/>
  <c r="K6586" i="6"/>
  <c r="K6582" i="6"/>
  <c r="K6574" i="6"/>
  <c r="K6570" i="6"/>
  <c r="K6566" i="6"/>
  <c r="K6558" i="6"/>
  <c r="K6554" i="6"/>
  <c r="K6546" i="6"/>
  <c r="K6526" i="6"/>
  <c r="K6522" i="6"/>
  <c r="K6514" i="6"/>
  <c r="K6510" i="6"/>
  <c r="K6506" i="6"/>
  <c r="K6494" i="6"/>
  <c r="K6490" i="6"/>
  <c r="K6482" i="6"/>
  <c r="K6474" i="6"/>
  <c r="K6470" i="6"/>
  <c r="K6462" i="6"/>
  <c r="K6458" i="6"/>
  <c r="K6454" i="6"/>
  <c r="K6450" i="6"/>
  <c r="K6446" i="6"/>
  <c r="K6442" i="6"/>
  <c r="K6430" i="6"/>
  <c r="K6422" i="6"/>
  <c r="K6418" i="6"/>
  <c r="K6414" i="6"/>
  <c r="K6398" i="6"/>
  <c r="K6390" i="6"/>
  <c r="K6378" i="6"/>
  <c r="K6374" i="6"/>
  <c r="M6368" i="6"/>
  <c r="L6357" i="6"/>
  <c r="M6352" i="6"/>
  <c r="M6337" i="6"/>
  <c r="K6326" i="6"/>
  <c r="L6325" i="6"/>
  <c r="K6324" i="6"/>
  <c r="L6322" i="6"/>
  <c r="M6321" i="6"/>
  <c r="M6320" i="6"/>
  <c r="L6306" i="6"/>
  <c r="M6304" i="6"/>
  <c r="K6294" i="6"/>
  <c r="L6293" i="6"/>
  <c r="K6292" i="6"/>
  <c r="L6290" i="6"/>
  <c r="M6289" i="6"/>
  <c r="M6277" i="6"/>
  <c r="L6274" i="6"/>
  <c r="N6266" i="6"/>
  <c r="K6266" i="6"/>
  <c r="N6265" i="6"/>
  <c r="M6261" i="6"/>
  <c r="N6250" i="6"/>
  <c r="K6250" i="6"/>
  <c r="M6246" i="6"/>
  <c r="K6237" i="6"/>
  <c r="L6237" i="6"/>
  <c r="N6234" i="6"/>
  <c r="K6234" i="6"/>
  <c r="N6233" i="6"/>
  <c r="N6086" i="6"/>
  <c r="M6073" i="6"/>
  <c r="K6061" i="6"/>
  <c r="M6061" i="6"/>
  <c r="L6061" i="6"/>
  <c r="N6061" i="6"/>
  <c r="K6045" i="6"/>
  <c r="M6045" i="6"/>
  <c r="L6045" i="6"/>
  <c r="N6045" i="6"/>
  <c r="K6029" i="6"/>
  <c r="M6029" i="6"/>
  <c r="L6029" i="6"/>
  <c r="N6029" i="6"/>
  <c r="N6028" i="6"/>
  <c r="K6021" i="6"/>
  <c r="M6021" i="6"/>
  <c r="L6021" i="6"/>
  <c r="N6021" i="6"/>
  <c r="N6020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73" i="6"/>
  <c r="M5973" i="6"/>
  <c r="L5973" i="6"/>
  <c r="N5973" i="6"/>
  <c r="K5965" i="6"/>
  <c r="M5965" i="6"/>
  <c r="L5965" i="6"/>
  <c r="N5965" i="6"/>
  <c r="K5925" i="6"/>
  <c r="M5925" i="6"/>
  <c r="L5925" i="6"/>
  <c r="N5925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K6257" i="6"/>
  <c r="L6257" i="6"/>
  <c r="N6238" i="6"/>
  <c r="K6238" i="6"/>
  <c r="N6221" i="6"/>
  <c r="K6221" i="6"/>
  <c r="L6221" i="6"/>
  <c r="N6197" i="6"/>
  <c r="K6197" i="6"/>
  <c r="L6197" i="6"/>
  <c r="N6165" i="6"/>
  <c r="K6165" i="6"/>
  <c r="L6165" i="6"/>
  <c r="N6149" i="6"/>
  <c r="K6149" i="6"/>
  <c r="L6149" i="6"/>
  <c r="N6141" i="6"/>
  <c r="K6141" i="6"/>
  <c r="L6141" i="6"/>
  <c r="N6125" i="6"/>
  <c r="K6125" i="6"/>
  <c r="L6125" i="6"/>
  <c r="N6117" i="6"/>
  <c r="K6117" i="6"/>
  <c r="L6117" i="6"/>
  <c r="N6101" i="6"/>
  <c r="K6101" i="6"/>
  <c r="L6101" i="6"/>
  <c r="K6081" i="6"/>
  <c r="M6081" i="6"/>
  <c r="L6081" i="6"/>
  <c r="N6081" i="6"/>
  <c r="L6077" i="6"/>
  <c r="N6077" i="6"/>
  <c r="K6069" i="6"/>
  <c r="M6069" i="6"/>
  <c r="L6069" i="6"/>
  <c r="N6069" i="6"/>
  <c r="K5498" i="6"/>
  <c r="M5498" i="6"/>
  <c r="L5498" i="6"/>
  <c r="N5498" i="6"/>
  <c r="K5482" i="6"/>
  <c r="M5482" i="6"/>
  <c r="L5482" i="6"/>
  <c r="N5482" i="6"/>
  <c r="K5418" i="6"/>
  <c r="M5418" i="6"/>
  <c r="L5418" i="6"/>
  <c r="N5418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290" i="6"/>
  <c r="M5290" i="6"/>
  <c r="L5290" i="6"/>
  <c r="N5290" i="6"/>
  <c r="N5255" i="6"/>
  <c r="L5222" i="6"/>
  <c r="N5222" i="6"/>
  <c r="K5222" i="6"/>
  <c r="M5222" i="6"/>
  <c r="K6222" i="6"/>
  <c r="K6198" i="6"/>
  <c r="K6186" i="6"/>
  <c r="K6182" i="6"/>
  <c r="K6178" i="6"/>
  <c r="K6166" i="6"/>
  <c r="K6162" i="6"/>
  <c r="K6158" i="6"/>
  <c r="N6067" i="6"/>
  <c r="N6055" i="6"/>
  <c r="N5987" i="6"/>
  <c r="N5975" i="6"/>
  <c r="N5971" i="6"/>
  <c r="N5963" i="6"/>
  <c r="N5927" i="6"/>
  <c r="N5923" i="6"/>
  <c r="M5909" i="6"/>
  <c r="M5849" i="6"/>
  <c r="M5829" i="6"/>
  <c r="M5733" i="6"/>
  <c r="M5657" i="6"/>
  <c r="L5624" i="6"/>
  <c r="N5624" i="6"/>
  <c r="L5248" i="6"/>
  <c r="N5248" i="6"/>
  <c r="K5248" i="6"/>
  <c r="M5248" i="6"/>
  <c r="L5238" i="6"/>
  <c r="N5238" i="6"/>
  <c r="K5238" i="6"/>
  <c r="M5238" i="6"/>
  <c r="K5138" i="6"/>
  <c r="M5138" i="6"/>
  <c r="L5138" i="6"/>
  <c r="N5138" i="6"/>
  <c r="L6156" i="6"/>
  <c r="L6144" i="6"/>
  <c r="L6136" i="6"/>
  <c r="L6132" i="6"/>
  <c r="L6108" i="6"/>
  <c r="L6104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3" i="6"/>
  <c r="N5636" i="6"/>
  <c r="L5626" i="6"/>
  <c r="N5626" i="6"/>
  <c r="K5614" i="6"/>
  <c r="M5614" i="6"/>
  <c r="L5614" i="6"/>
  <c r="N5614" i="6"/>
  <c r="K5606" i="6"/>
  <c r="M5606" i="6"/>
  <c r="L5606" i="6"/>
  <c r="N5606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486" i="6"/>
  <c r="M5486" i="6"/>
  <c r="L5486" i="6"/>
  <c r="N5486" i="6"/>
  <c r="K5470" i="6"/>
  <c r="M5470" i="6"/>
  <c r="L5470" i="6"/>
  <c r="N5470" i="6"/>
  <c r="K5462" i="6"/>
  <c r="M5462" i="6"/>
  <c r="L5462" i="6"/>
  <c r="N5462" i="6"/>
  <c r="K5446" i="6"/>
  <c r="M5446" i="6"/>
  <c r="L5446" i="6"/>
  <c r="N5446" i="6"/>
  <c r="K5430" i="6"/>
  <c r="M5430" i="6"/>
  <c r="L5430" i="6"/>
  <c r="N5430" i="6"/>
  <c r="K5422" i="6"/>
  <c r="M5422" i="6"/>
  <c r="L5422" i="6"/>
  <c r="N5422" i="6"/>
  <c r="K5398" i="6"/>
  <c r="M5398" i="6"/>
  <c r="L5398" i="6"/>
  <c r="N5398" i="6"/>
  <c r="K5382" i="6"/>
  <c r="M5382" i="6"/>
  <c r="L5382" i="6"/>
  <c r="N5382" i="6"/>
  <c r="K5366" i="6"/>
  <c r="M5366" i="6"/>
  <c r="L5366" i="6"/>
  <c r="N5366" i="6"/>
  <c r="K5358" i="6"/>
  <c r="M5358" i="6"/>
  <c r="L5358" i="6"/>
  <c r="N5358" i="6"/>
  <c r="K5326" i="6"/>
  <c r="M5326" i="6"/>
  <c r="L5326" i="6"/>
  <c r="N5326" i="6"/>
  <c r="N5325" i="6"/>
  <c r="L5264" i="6"/>
  <c r="N5264" i="6"/>
  <c r="K5264" i="6"/>
  <c r="M5264" i="6"/>
  <c r="K5146" i="6"/>
  <c r="M5146" i="6"/>
  <c r="L5146" i="6"/>
  <c r="N5146" i="6"/>
  <c r="L5908" i="6"/>
  <c r="N5908" i="6"/>
  <c r="L5900" i="6"/>
  <c r="N5900" i="6"/>
  <c r="L5896" i="6"/>
  <c r="N5896" i="6"/>
  <c r="L5888" i="6"/>
  <c r="N5888" i="6"/>
  <c r="L5880" i="6"/>
  <c r="N5880" i="6"/>
  <c r="L5876" i="6"/>
  <c r="N5876" i="6"/>
  <c r="L5868" i="6"/>
  <c r="N5868" i="6"/>
  <c r="L5864" i="6"/>
  <c r="N5864" i="6"/>
  <c r="L5860" i="6"/>
  <c r="N5860" i="6"/>
  <c r="L5856" i="6"/>
  <c r="N5856" i="6"/>
  <c r="L5848" i="6"/>
  <c r="N5848" i="6"/>
  <c r="M5846" i="6"/>
  <c r="L5844" i="6"/>
  <c r="N5844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04" i="6"/>
  <c r="N5804" i="6"/>
  <c r="L5800" i="6"/>
  <c r="N5800" i="6"/>
  <c r="L5796" i="6"/>
  <c r="N5796" i="6"/>
  <c r="L5788" i="6"/>
  <c r="N5788" i="6"/>
  <c r="L5784" i="6"/>
  <c r="N5784" i="6"/>
  <c r="L5772" i="6"/>
  <c r="N5772" i="6"/>
  <c r="L5756" i="6"/>
  <c r="N5756" i="6"/>
  <c r="L5748" i="6"/>
  <c r="N5748" i="6"/>
  <c r="L5744" i="6"/>
  <c r="N5744" i="6"/>
  <c r="L5740" i="6"/>
  <c r="N5740" i="6"/>
  <c r="L5732" i="6"/>
  <c r="N5732" i="6"/>
  <c r="L5728" i="6"/>
  <c r="N5728" i="6"/>
  <c r="L5724" i="6"/>
  <c r="N5724" i="6"/>
  <c r="M5710" i="6"/>
  <c r="L5708" i="6"/>
  <c r="N5708" i="6"/>
  <c r="L5704" i="6"/>
  <c r="N5704" i="6"/>
  <c r="M5702" i="6"/>
  <c r="L5700" i="6"/>
  <c r="N5700" i="6"/>
  <c r="L5696" i="6"/>
  <c r="N5696" i="6"/>
  <c r="L5680" i="6"/>
  <c r="N5680" i="6"/>
  <c r="K5624" i="6"/>
  <c r="M5624" i="6"/>
  <c r="L5622" i="6"/>
  <c r="N5622" i="6"/>
  <c r="N5621" i="6"/>
  <c r="L5270" i="6"/>
  <c r="N5270" i="6"/>
  <c r="K5270" i="6"/>
  <c r="M5270" i="6"/>
  <c r="L5206" i="6"/>
  <c r="N5206" i="6"/>
  <c r="K5206" i="6"/>
  <c r="M5206" i="6"/>
  <c r="N5612" i="6"/>
  <c r="N5512" i="6"/>
  <c r="N5496" i="6"/>
  <c r="N5472" i="6"/>
  <c r="N5468" i="6"/>
  <c r="N5456" i="6"/>
  <c r="N5380" i="6"/>
  <c r="N5360" i="6"/>
  <c r="N5352" i="6"/>
  <c r="N5336" i="6"/>
  <c r="N5332" i="6"/>
  <c r="N5296" i="6"/>
  <c r="L5266" i="6"/>
  <c r="N5266" i="6"/>
  <c r="L5260" i="6"/>
  <c r="N5260" i="6"/>
  <c r="L5250" i="6"/>
  <c r="N5250" i="6"/>
  <c r="L5244" i="6"/>
  <c r="N5244" i="6"/>
  <c r="L5228" i="6"/>
  <c r="N5228" i="6"/>
  <c r="K5034" i="6"/>
  <c r="M5034" i="6"/>
  <c r="L5034" i="6"/>
  <c r="N5034" i="6"/>
  <c r="L5262" i="6"/>
  <c r="N5262" i="6"/>
  <c r="L5256" i="6"/>
  <c r="N5256" i="6"/>
  <c r="L5246" i="6"/>
  <c r="N5246" i="6"/>
  <c r="L5240" i="6"/>
  <c r="N5240" i="6"/>
  <c r="L5224" i="6"/>
  <c r="N5224" i="6"/>
  <c r="K5158" i="6"/>
  <c r="M5158" i="6"/>
  <c r="L5158" i="6"/>
  <c r="N5158" i="6"/>
  <c r="K5126" i="6"/>
  <c r="M5126" i="6"/>
  <c r="L5126" i="6"/>
  <c r="N5126" i="6"/>
  <c r="K5094" i="6"/>
  <c r="M5094" i="6"/>
  <c r="L5094" i="6"/>
  <c r="N5094" i="6"/>
  <c r="K5042" i="6"/>
  <c r="M5042" i="6"/>
  <c r="L5042" i="6"/>
  <c r="N5042" i="6"/>
  <c r="N5273" i="6"/>
  <c r="L5268" i="6"/>
  <c r="N5268" i="6"/>
  <c r="L5258" i="6"/>
  <c r="N5258" i="6"/>
  <c r="L5242" i="6"/>
  <c r="N5242" i="6"/>
  <c r="L5236" i="6"/>
  <c r="N5236" i="6"/>
  <c r="L5226" i="6"/>
  <c r="N5226" i="6"/>
  <c r="M5224" i="6"/>
  <c r="L5204" i="6"/>
  <c r="N5204" i="6"/>
  <c r="L5200" i="6"/>
  <c r="N5200" i="6"/>
  <c r="K5082" i="6"/>
  <c r="M5082" i="6"/>
  <c r="L5082" i="6"/>
  <c r="N5082" i="6"/>
  <c r="N4897" i="6"/>
  <c r="K4990" i="6"/>
  <c r="M4990" i="6"/>
  <c r="L4990" i="6"/>
  <c r="N4990" i="6"/>
  <c r="K4974" i="6"/>
  <c r="M4974" i="6"/>
  <c r="L4974" i="6"/>
  <c r="N4974" i="6"/>
  <c r="K4942" i="6"/>
  <c r="M4942" i="6"/>
  <c r="L4942" i="6"/>
  <c r="N4942" i="6"/>
  <c r="K4926" i="6"/>
  <c r="M4926" i="6"/>
  <c r="L4926" i="6"/>
  <c r="N4926" i="6"/>
  <c r="K4918" i="6"/>
  <c r="M4918" i="6"/>
  <c r="L4918" i="6"/>
  <c r="N4918" i="6"/>
  <c r="K4870" i="6"/>
  <c r="M4870" i="6"/>
  <c r="L4870" i="6"/>
  <c r="N4870" i="6"/>
  <c r="K4854" i="6"/>
  <c r="M4854" i="6"/>
  <c r="L4854" i="6"/>
  <c r="N4854" i="6"/>
  <c r="K4830" i="6"/>
  <c r="M4830" i="6"/>
  <c r="L4830" i="6"/>
  <c r="N4830" i="6"/>
  <c r="K4798" i="6"/>
  <c r="M4798" i="6"/>
  <c r="L4798" i="6"/>
  <c r="N4798" i="6"/>
  <c r="K4782" i="6"/>
  <c r="M4782" i="6"/>
  <c r="L4782" i="6"/>
  <c r="N4782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70" i="6"/>
  <c r="M4970" i="6"/>
  <c r="L4970" i="6"/>
  <c r="N4970" i="6"/>
  <c r="K4962" i="6"/>
  <c r="M4962" i="6"/>
  <c r="L4962" i="6"/>
  <c r="N4962" i="6"/>
  <c r="K4946" i="6"/>
  <c r="M4946" i="6"/>
  <c r="L4946" i="6"/>
  <c r="N4946" i="6"/>
  <c r="K4938" i="6"/>
  <c r="M4938" i="6"/>
  <c r="L4938" i="6"/>
  <c r="N4938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74" i="6"/>
  <c r="M4874" i="6"/>
  <c r="L4874" i="6"/>
  <c r="N4874" i="6"/>
  <c r="K4858" i="6"/>
  <c r="M4858" i="6"/>
  <c r="L4858" i="6"/>
  <c r="N4858" i="6"/>
  <c r="K4842" i="6"/>
  <c r="M4842" i="6"/>
  <c r="L4842" i="6"/>
  <c r="N4842" i="6"/>
  <c r="K4834" i="6"/>
  <c r="M4834" i="6"/>
  <c r="L4834" i="6"/>
  <c r="N4834" i="6"/>
  <c r="N4833" i="6"/>
  <c r="K4818" i="6"/>
  <c r="M4818" i="6"/>
  <c r="L4818" i="6"/>
  <c r="N4818" i="6"/>
  <c r="N4817" i="6"/>
  <c r="K4810" i="6"/>
  <c r="M4810" i="6"/>
  <c r="L4810" i="6"/>
  <c r="N4810" i="6"/>
  <c r="N4809" i="6"/>
  <c r="K4794" i="6"/>
  <c r="M4794" i="6"/>
  <c r="L4794" i="6"/>
  <c r="N4794" i="6"/>
  <c r="N4793" i="6"/>
  <c r="K4786" i="6"/>
  <c r="M4786" i="6"/>
  <c r="L4786" i="6"/>
  <c r="N4786" i="6"/>
  <c r="N4785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14" i="6"/>
  <c r="M5014" i="6"/>
  <c r="L5014" i="6"/>
  <c r="N5014" i="6"/>
  <c r="K4543" i="6"/>
  <c r="M4543" i="6"/>
  <c r="L4543" i="6"/>
  <c r="N4543" i="6"/>
  <c r="K4519" i="6"/>
  <c r="M4519" i="6"/>
  <c r="L4519" i="6"/>
  <c r="N4519" i="6"/>
  <c r="K4496" i="6"/>
  <c r="M4496" i="6"/>
  <c r="L4496" i="6"/>
  <c r="N4496" i="6"/>
  <c r="K4480" i="6"/>
  <c r="M4480" i="6"/>
  <c r="L4480" i="6"/>
  <c r="N4480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M4074" i="6"/>
  <c r="L4074" i="6"/>
  <c r="N4074" i="6"/>
  <c r="N5124" i="6"/>
  <c r="N5092" i="6"/>
  <c r="N5084" i="6"/>
  <c r="N5080" i="6"/>
  <c r="N5060" i="6"/>
  <c r="N5044" i="6"/>
  <c r="N4992" i="6"/>
  <c r="N4968" i="6"/>
  <c r="N4960" i="6"/>
  <c r="N4944" i="6"/>
  <c r="N4936" i="6"/>
  <c r="N4904" i="6"/>
  <c r="N4888" i="6"/>
  <c r="N4884" i="6"/>
  <c r="N4872" i="6"/>
  <c r="N4852" i="6"/>
  <c r="N4840" i="6"/>
  <c r="L4754" i="6"/>
  <c r="N4754" i="6"/>
  <c r="N4752" i="6"/>
  <c r="L4730" i="6"/>
  <c r="N4730" i="6"/>
  <c r="L4726" i="6"/>
  <c r="N4726" i="6"/>
  <c r="L4718" i="6"/>
  <c r="N4718" i="6"/>
  <c r="L4714" i="6"/>
  <c r="N4714" i="6"/>
  <c r="L4710" i="6"/>
  <c r="N4710" i="6"/>
  <c r="L4702" i="6"/>
  <c r="N4702" i="6"/>
  <c r="N4700" i="6"/>
  <c r="L4690" i="6"/>
  <c r="N4690" i="6"/>
  <c r="N4688" i="6"/>
  <c r="L4686" i="6"/>
  <c r="N4686" i="6"/>
  <c r="N4684" i="6"/>
  <c r="K4544" i="6"/>
  <c r="M4544" i="6"/>
  <c r="K4520" i="6"/>
  <c r="M4520" i="6"/>
  <c r="K4492" i="6"/>
  <c r="M4492" i="6"/>
  <c r="L4492" i="6"/>
  <c r="N4492" i="6"/>
  <c r="K4476" i="6"/>
  <c r="M4476" i="6"/>
  <c r="L4476" i="6"/>
  <c r="N4476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16" i="6"/>
  <c r="M4316" i="6"/>
  <c r="L4316" i="6"/>
  <c r="N4316" i="6"/>
  <c r="K4300" i="6"/>
  <c r="M4300" i="6"/>
  <c r="L4300" i="6"/>
  <c r="N4300" i="6"/>
  <c r="K4058" i="6"/>
  <c r="M4058" i="6"/>
  <c r="L4058" i="6"/>
  <c r="N4058" i="6"/>
  <c r="M4042" i="6"/>
  <c r="L4042" i="6"/>
  <c r="N4042" i="6"/>
  <c r="K4754" i="6"/>
  <c r="M4754" i="6"/>
  <c r="K4730" i="6"/>
  <c r="M4730" i="6"/>
  <c r="K4726" i="6"/>
  <c r="M4726" i="6"/>
  <c r="K4718" i="6"/>
  <c r="M4718" i="6"/>
  <c r="K4714" i="6"/>
  <c r="M4714" i="6"/>
  <c r="K4710" i="6"/>
  <c r="M4710" i="6"/>
  <c r="K4702" i="6"/>
  <c r="M4702" i="6"/>
  <c r="K4690" i="6"/>
  <c r="M4690" i="6"/>
  <c r="K4686" i="6"/>
  <c r="M4686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60" i="6"/>
  <c r="M4360" i="6"/>
  <c r="L4360" i="6"/>
  <c r="N4360" i="6"/>
  <c r="K4296" i="6"/>
  <c r="M4296" i="6"/>
  <c r="L4296" i="6"/>
  <c r="N4296" i="6"/>
  <c r="L4676" i="6"/>
  <c r="N4676" i="6"/>
  <c r="L4672" i="6"/>
  <c r="N4672" i="6"/>
  <c r="L4668" i="6"/>
  <c r="N4668" i="6"/>
  <c r="L4660" i="6"/>
  <c r="N4660" i="6"/>
  <c r="L4656" i="6"/>
  <c r="N4656" i="6"/>
  <c r="L4652" i="6"/>
  <c r="N4652" i="6"/>
  <c r="L4648" i="6"/>
  <c r="N4648" i="6"/>
  <c r="L4636" i="6"/>
  <c r="N4636" i="6"/>
  <c r="L4632" i="6"/>
  <c r="N4632" i="6"/>
  <c r="L4628" i="6"/>
  <c r="N4628" i="6"/>
  <c r="L4596" i="6"/>
  <c r="N4596" i="6"/>
  <c r="L4564" i="6"/>
  <c r="N4564" i="6"/>
  <c r="L4544" i="6"/>
  <c r="N4544" i="6"/>
  <c r="L4520" i="6"/>
  <c r="N4520" i="6"/>
  <c r="K4500" i="6"/>
  <c r="M4500" i="6"/>
  <c r="L4500" i="6"/>
  <c r="N4500" i="6"/>
  <c r="K4484" i="6"/>
  <c r="M4484" i="6"/>
  <c r="L4484" i="6"/>
  <c r="N4484" i="6"/>
  <c r="K4420" i="6"/>
  <c r="M4420" i="6"/>
  <c r="L4420" i="6"/>
  <c r="N4420" i="6"/>
  <c r="K4388" i="6"/>
  <c r="M4388" i="6"/>
  <c r="L4388" i="6"/>
  <c r="N4388" i="6"/>
  <c r="K4372" i="6"/>
  <c r="M4372" i="6"/>
  <c r="L4372" i="6"/>
  <c r="N4372" i="6"/>
  <c r="K4356" i="6"/>
  <c r="M4356" i="6"/>
  <c r="L4356" i="6"/>
  <c r="N4356" i="6"/>
  <c r="K4308" i="6"/>
  <c r="M4308" i="6"/>
  <c r="L4308" i="6"/>
  <c r="N4308" i="6"/>
  <c r="K4106" i="6"/>
  <c r="M4106" i="6"/>
  <c r="L4106" i="6"/>
  <c r="N4106" i="6"/>
  <c r="K3865" i="6"/>
  <c r="M3865" i="6"/>
  <c r="L3865" i="6"/>
  <c r="N3865" i="6"/>
  <c r="K4107" i="6"/>
  <c r="M4107" i="6"/>
  <c r="K4078" i="6"/>
  <c r="M4078" i="6"/>
  <c r="L4078" i="6"/>
  <c r="N4078" i="6"/>
  <c r="M4046" i="6"/>
  <c r="L4046" i="6"/>
  <c r="N4046" i="6"/>
  <c r="N3868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55" i="6"/>
  <c r="N445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1" i="6"/>
  <c r="N4371" i="6"/>
  <c r="L4367" i="6"/>
  <c r="N4367" i="6"/>
  <c r="L4363" i="6"/>
  <c r="N4363" i="6"/>
  <c r="L4359" i="6"/>
  <c r="N4359" i="6"/>
  <c r="L4355" i="6"/>
  <c r="N4355" i="6"/>
  <c r="L4335" i="6"/>
  <c r="N4335" i="6"/>
  <c r="L4319" i="6"/>
  <c r="N4319" i="6"/>
  <c r="L4315" i="6"/>
  <c r="N4315" i="6"/>
  <c r="L4307" i="6"/>
  <c r="N4307" i="6"/>
  <c r="L4303" i="6"/>
  <c r="N4303" i="6"/>
  <c r="L4299" i="6"/>
  <c r="N4299" i="6"/>
  <c r="L4295" i="6"/>
  <c r="N4295" i="6"/>
  <c r="M4277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857" i="6"/>
  <c r="M3857" i="6"/>
  <c r="L3857" i="6"/>
  <c r="N3857" i="6"/>
  <c r="N4264" i="6"/>
  <c r="N4257" i="6"/>
  <c r="N4252" i="6"/>
  <c r="N4245" i="6"/>
  <c r="N4240" i="6"/>
  <c r="N4196" i="6"/>
  <c r="N4192" i="6"/>
  <c r="N4176" i="6"/>
  <c r="N4152" i="6"/>
  <c r="N4137" i="6"/>
  <c r="N4121" i="6"/>
  <c r="L4107" i="6"/>
  <c r="N4107" i="6"/>
  <c r="N4104" i="6"/>
  <c r="K4086" i="6"/>
  <c r="M4086" i="6"/>
  <c r="L4086" i="6"/>
  <c r="N4086" i="6"/>
  <c r="N4079" i="6"/>
  <c r="M4070" i="6"/>
  <c r="L4070" i="6"/>
  <c r="N4070" i="6"/>
  <c r="K4054" i="6"/>
  <c r="M4054" i="6"/>
  <c r="L4054" i="6"/>
  <c r="N4054" i="6"/>
  <c r="N4047" i="6"/>
  <c r="M3913" i="6"/>
  <c r="L3913" i="6"/>
  <c r="N3913" i="6"/>
  <c r="K4087" i="6"/>
  <c r="M4087" i="6"/>
  <c r="K4083" i="6"/>
  <c r="M4083" i="6"/>
  <c r="M4079" i="6"/>
  <c r="M4075" i="6"/>
  <c r="M4071" i="6"/>
  <c r="K4059" i="6"/>
  <c r="M4059" i="6"/>
  <c r="M4055" i="6"/>
  <c r="K4051" i="6"/>
  <c r="M4051" i="6"/>
  <c r="K4047" i="6"/>
  <c r="M4047" i="6"/>
  <c r="K4043" i="6"/>
  <c r="M4043" i="6"/>
  <c r="K4039" i="6"/>
  <c r="M4039" i="6"/>
  <c r="L4032" i="6"/>
  <c r="N4032" i="6"/>
  <c r="K4031" i="6"/>
  <c r="M4031" i="6"/>
  <c r="L4028" i="6"/>
  <c r="N4028" i="6"/>
  <c r="K4027" i="6"/>
  <c r="M4027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3996" i="6"/>
  <c r="N3996" i="6"/>
  <c r="K3995" i="6"/>
  <c r="M3995" i="6"/>
  <c r="L3992" i="6"/>
  <c r="N3992" i="6"/>
  <c r="M3991" i="6"/>
  <c r="L3980" i="6"/>
  <c r="N3980" i="6"/>
  <c r="M3979" i="6"/>
  <c r="L3964" i="6"/>
  <c r="N3964" i="6"/>
  <c r="K3963" i="6"/>
  <c r="M3963" i="6"/>
  <c r="L3960" i="6"/>
  <c r="N3960" i="6"/>
  <c r="K3959" i="6"/>
  <c r="M3959" i="6"/>
  <c r="L3944" i="6"/>
  <c r="N3944" i="6"/>
  <c r="M3943" i="6"/>
  <c r="L3936" i="6"/>
  <c r="N3936" i="6"/>
  <c r="K3935" i="6"/>
  <c r="M3935" i="6"/>
  <c r="L3924" i="6"/>
  <c r="N3924" i="6"/>
  <c r="M3923" i="6"/>
  <c r="L3920" i="6"/>
  <c r="N3920" i="6"/>
  <c r="K3919" i="6"/>
  <c r="M3919" i="6"/>
  <c r="M3901" i="6"/>
  <c r="L3901" i="6"/>
  <c r="N3901" i="6"/>
  <c r="K3885" i="6"/>
  <c r="M3885" i="6"/>
  <c r="L3885" i="6"/>
  <c r="N3885" i="6"/>
  <c r="M3869" i="6"/>
  <c r="L3869" i="6"/>
  <c r="N3869" i="6"/>
  <c r="K3861" i="6"/>
  <c r="M3861" i="6"/>
  <c r="L3861" i="6"/>
  <c r="N3861" i="6"/>
  <c r="K3738" i="6"/>
  <c r="M3738" i="6"/>
  <c r="L3738" i="6"/>
  <c r="N3738" i="6"/>
  <c r="N4037" i="6"/>
  <c r="N4025" i="6"/>
  <c r="N4005" i="6"/>
  <c r="N4001" i="6"/>
  <c r="N3989" i="6"/>
  <c r="N3985" i="6"/>
  <c r="N3977" i="6"/>
  <c r="N3958" i="6"/>
  <c r="N3949" i="6"/>
  <c r="N3941" i="6"/>
  <c r="N3933" i="6"/>
  <c r="N3922" i="6"/>
  <c r="N3851" i="6"/>
  <c r="K3722" i="6"/>
  <c r="M3722" i="6"/>
  <c r="L3722" i="6"/>
  <c r="N3722" i="6"/>
  <c r="K3698" i="6"/>
  <c r="M3698" i="6"/>
  <c r="L3698" i="6"/>
  <c r="N3698" i="6"/>
  <c r="K3690" i="6"/>
  <c r="M3690" i="6"/>
  <c r="L3690" i="6"/>
  <c r="N3690" i="6"/>
  <c r="K3658" i="6"/>
  <c r="M3658" i="6"/>
  <c r="L3658" i="6"/>
  <c r="N3658" i="6"/>
  <c r="K3642" i="6"/>
  <c r="M3642" i="6"/>
  <c r="L3642" i="6"/>
  <c r="N3642" i="6"/>
  <c r="K3626" i="6"/>
  <c r="M3626" i="6"/>
  <c r="L3626" i="6"/>
  <c r="N3626" i="6"/>
  <c r="K3610" i="6"/>
  <c r="M3610" i="6"/>
  <c r="L3610" i="6"/>
  <c r="N3610" i="6"/>
  <c r="L3387" i="6"/>
  <c r="N3387" i="6"/>
  <c r="M3387" i="6"/>
  <c r="L3734" i="6"/>
  <c r="N3734" i="6"/>
  <c r="L3736" i="6"/>
  <c r="N3736" i="6"/>
  <c r="K3686" i="6"/>
  <c r="M3686" i="6"/>
  <c r="L3686" i="6"/>
  <c r="N3686" i="6"/>
  <c r="K3654" i="6"/>
  <c r="M3654" i="6"/>
  <c r="L3654" i="6"/>
  <c r="N3654" i="6"/>
  <c r="N3653" i="6"/>
  <c r="K3638" i="6"/>
  <c r="M3638" i="6"/>
  <c r="L3638" i="6"/>
  <c r="N3638" i="6"/>
  <c r="K3622" i="6"/>
  <c r="M3622" i="6"/>
  <c r="L3622" i="6"/>
  <c r="N3622" i="6"/>
  <c r="K3542" i="6"/>
  <c r="M3542" i="6"/>
  <c r="L3542" i="6"/>
  <c r="N3542" i="6"/>
  <c r="L3403" i="6"/>
  <c r="N3403" i="6"/>
  <c r="M3403" i="6"/>
  <c r="M3400" i="6"/>
  <c r="N3400" i="6"/>
  <c r="N3720" i="6"/>
  <c r="N3696" i="6"/>
  <c r="N3684" i="6"/>
  <c r="N3672" i="6"/>
  <c r="N3668" i="6"/>
  <c r="N3664" i="6"/>
  <c r="N3648" i="6"/>
  <c r="N3632" i="6"/>
  <c r="N3620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0" i="6"/>
  <c r="K3487" i="6"/>
  <c r="M3487" i="6"/>
  <c r="L3487" i="6"/>
  <c r="N3487" i="6"/>
  <c r="K3471" i="6"/>
  <c r="M3471" i="6"/>
  <c r="L3471" i="6"/>
  <c r="N3471" i="6"/>
  <c r="L3330" i="6"/>
  <c r="N3330" i="6"/>
  <c r="M3330" i="6"/>
  <c r="N3505" i="6"/>
  <c r="N3503" i="6"/>
  <c r="N3493" i="6"/>
  <c r="L3378" i="6"/>
  <c r="N3378" i="6"/>
  <c r="L3535" i="6"/>
  <c r="N3535" i="6"/>
  <c r="L3523" i="6"/>
  <c r="N3523" i="6"/>
  <c r="L3515" i="6"/>
  <c r="N3515" i="6"/>
  <c r="L3511" i="6"/>
  <c r="N3511" i="6"/>
  <c r="L3507" i="6"/>
  <c r="N3507" i="6"/>
  <c r="M3396" i="6"/>
  <c r="N3331" i="6"/>
  <c r="L3486" i="6"/>
  <c r="N3486" i="6"/>
  <c r="L3470" i="6"/>
  <c r="N3470" i="6"/>
  <c r="L3342" i="6"/>
  <c r="N3342" i="6"/>
  <c r="L3318" i="6"/>
  <c r="N3318" i="6"/>
  <c r="N3463" i="6"/>
  <c r="N3427" i="6"/>
  <c r="N3343" i="6"/>
  <c r="M3342" i="6"/>
  <c r="N3319" i="6"/>
  <c r="M3318" i="6"/>
  <c r="L3255" i="6"/>
  <c r="N3255" i="6"/>
  <c r="L3223" i="6"/>
  <c r="N3223" i="6"/>
  <c r="L3203" i="6"/>
  <c r="N3203" i="6"/>
  <c r="L3195" i="6"/>
  <c r="N3195" i="6"/>
  <c r="L3183" i="6"/>
  <c r="N3183" i="6"/>
  <c r="L3309" i="6"/>
  <c r="N3309" i="6"/>
  <c r="N3296" i="6"/>
  <c r="N3280" i="6"/>
  <c r="M3255" i="6"/>
  <c r="N3248" i="6"/>
  <c r="N3240" i="6"/>
  <c r="N3228" i="6"/>
  <c r="M3223" i="6"/>
  <c r="M3203" i="6"/>
  <c r="M3195" i="6"/>
  <c r="M3183" i="6"/>
  <c r="L3291" i="6"/>
  <c r="N3291" i="6"/>
  <c r="L3275" i="6"/>
  <c r="N3275" i="6"/>
  <c r="L3235" i="6"/>
  <c r="N3235" i="6"/>
  <c r="L3146" i="6"/>
  <c r="N3146" i="6"/>
  <c r="N3056" i="6"/>
  <c r="K3005" i="6"/>
  <c r="M3005" i="6"/>
  <c r="L3005" i="6"/>
  <c r="N3005" i="6"/>
  <c r="L3174" i="6"/>
  <c r="N3174" i="6"/>
  <c r="L3166" i="6"/>
  <c r="N3166" i="6"/>
  <c r="M3146" i="6"/>
  <c r="K3130" i="6"/>
  <c r="M3130" i="6"/>
  <c r="L3130" i="6"/>
  <c r="N3130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M3148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N3128" i="6"/>
  <c r="N3116" i="6"/>
  <c r="N3108" i="6"/>
  <c r="N3100" i="6"/>
  <c r="N3092" i="6"/>
  <c r="K3057" i="6"/>
  <c r="M3057" i="6"/>
  <c r="L3057" i="6"/>
  <c r="N3057" i="6"/>
  <c r="K3009" i="6"/>
  <c r="M3009" i="6"/>
  <c r="L3009" i="6"/>
  <c r="N3009" i="6"/>
  <c r="K3045" i="6"/>
  <c r="M3045" i="6"/>
  <c r="L3045" i="6"/>
  <c r="N3045" i="6"/>
  <c r="N3022" i="6"/>
  <c r="N3006" i="6"/>
  <c r="K3033" i="6"/>
  <c r="M3033" i="6"/>
  <c r="L3033" i="6"/>
  <c r="N3033" i="6"/>
  <c r="K3046" i="6"/>
  <c r="M3046" i="6"/>
  <c r="K3042" i="6"/>
  <c r="M3042" i="6"/>
  <c r="K3030" i="6"/>
  <c r="M3030" i="6"/>
  <c r="K3026" i="6"/>
  <c r="M3026" i="6"/>
  <c r="K3022" i="6"/>
  <c r="M3022" i="6"/>
  <c r="K3006" i="6"/>
  <c r="M3006" i="6"/>
  <c r="K159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55" i="6"/>
  <c r="L91" i="6"/>
  <c r="L103" i="6"/>
  <c r="L123" i="6"/>
  <c r="L135" i="6"/>
  <c r="L155" i="6"/>
  <c r="L167" i="6"/>
  <c r="L187" i="6"/>
  <c r="L199" i="6"/>
  <c r="L262" i="6"/>
  <c r="N262" i="6" s="1"/>
  <c r="L266" i="6"/>
  <c r="N266" i="6" s="1"/>
  <c r="L270" i="6"/>
  <c r="N270" i="6" s="1"/>
  <c r="L274" i="6"/>
  <c r="N274" i="6" s="1"/>
  <c r="L278" i="6"/>
  <c r="N278" i="6"/>
  <c r="L282" i="6"/>
  <c r="N282" i="6"/>
  <c r="L286" i="6"/>
  <c r="N286" i="6"/>
  <c r="L290" i="6"/>
  <c r="N290" i="6"/>
  <c r="L294" i="6"/>
  <c r="N294" i="6"/>
  <c r="L298" i="6"/>
  <c r="N298" i="6"/>
  <c r="L302" i="6"/>
  <c r="N302" i="6"/>
  <c r="L306" i="6"/>
  <c r="N306" i="6"/>
  <c r="L310" i="6"/>
  <c r="N310" i="6"/>
  <c r="L314" i="6"/>
  <c r="N314" i="6"/>
  <c r="L318" i="6"/>
  <c r="N318" i="6"/>
  <c r="L322" i="6"/>
  <c r="N322" i="6"/>
  <c r="L326" i="6"/>
  <c r="N326" i="6"/>
  <c r="L330" i="6"/>
  <c r="N330" i="6"/>
  <c r="L334" i="6"/>
  <c r="N334" i="6"/>
  <c r="L338" i="6"/>
  <c r="N338" i="6"/>
  <c r="L342" i="6"/>
  <c r="N342" i="6"/>
  <c r="L346" i="6"/>
  <c r="N346" i="6"/>
  <c r="L350" i="6"/>
  <c r="N350" i="6"/>
  <c r="L354" i="6"/>
  <c r="N354" i="6"/>
  <c r="L358" i="6"/>
  <c r="N358" i="6"/>
  <c r="L362" i="6"/>
  <c r="N362" i="6"/>
  <c r="L366" i="6"/>
  <c r="N366" i="6"/>
  <c r="L370" i="6"/>
  <c r="N370" i="6"/>
  <c r="L374" i="6"/>
  <c r="N374" i="6"/>
  <c r="L378" i="6"/>
  <c r="N378" i="6"/>
  <c r="L382" i="6"/>
  <c r="N382" i="6"/>
  <c r="L386" i="6"/>
  <c r="N386" i="6"/>
  <c r="L390" i="6"/>
  <c r="N390" i="6"/>
  <c r="L394" i="6"/>
  <c r="N394" i="6"/>
  <c r="L398" i="6"/>
  <c r="N398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N343" i="6" l="1"/>
  <c r="N395" i="6"/>
  <c r="N383" i="6"/>
  <c r="N379" i="6"/>
  <c r="N371" i="6"/>
  <c r="N363" i="6"/>
  <c r="N351" i="6"/>
  <c r="N347" i="6"/>
  <c r="N331" i="6"/>
  <c r="N327" i="6"/>
  <c r="N319" i="6"/>
  <c r="N315" i="6"/>
  <c r="N299" i="6"/>
  <c r="N295" i="6"/>
  <c r="N287" i="6"/>
  <c r="N283" i="6"/>
  <c r="L399" i="6"/>
  <c r="N399" i="6" s="1"/>
  <c r="L395" i="6"/>
  <c r="L391" i="6"/>
  <c r="N391" i="6" s="1"/>
  <c r="L387" i="6"/>
  <c r="N387" i="6" s="1"/>
  <c r="L375" i="6"/>
  <c r="N375" i="6" s="1"/>
  <c r="L371" i="6"/>
  <c r="L367" i="6"/>
  <c r="N367" i="6" s="1"/>
  <c r="L359" i="6"/>
  <c r="N359" i="6" s="1"/>
  <c r="L355" i="6"/>
  <c r="N355" i="6" s="1"/>
  <c r="L343" i="6"/>
  <c r="L339" i="6"/>
  <c r="N339" i="6" s="1"/>
  <c r="L335" i="6"/>
  <c r="N335" i="6" s="1"/>
  <c r="L327" i="6"/>
  <c r="L323" i="6"/>
  <c r="N323" i="6" s="1"/>
  <c r="L311" i="6"/>
  <c r="N311" i="6" s="1"/>
  <c r="L307" i="6"/>
  <c r="N307" i="6" s="1"/>
  <c r="L303" i="6"/>
  <c r="N303" i="6" s="1"/>
  <c r="L295" i="6"/>
  <c r="L291" i="6"/>
  <c r="N291" i="6" s="1"/>
  <c r="L279" i="6"/>
  <c r="N279" i="6" s="1"/>
  <c r="L275" i="6"/>
  <c r="N275" i="6" s="1"/>
  <c r="K59" i="6"/>
  <c r="K55" i="6"/>
  <c r="K51" i="6"/>
  <c r="K47" i="6"/>
  <c r="E401" i="6"/>
  <c r="K401" i="6" s="1"/>
  <c r="E397" i="6"/>
  <c r="K397" i="6" s="1"/>
  <c r="E393" i="6"/>
  <c r="K393" i="6" s="1"/>
  <c r="E389" i="6"/>
  <c r="E385" i="6"/>
  <c r="K385" i="6" s="1"/>
  <c r="E381" i="6"/>
  <c r="K381" i="6" s="1"/>
  <c r="E377" i="6"/>
  <c r="K377" i="6" s="1"/>
  <c r="E373" i="6"/>
  <c r="E369" i="6"/>
  <c r="K369" i="6" s="1"/>
  <c r="E365" i="6"/>
  <c r="K365" i="6" s="1"/>
  <c r="E361" i="6"/>
  <c r="K361" i="6" s="1"/>
  <c r="E357" i="6"/>
  <c r="E353" i="6"/>
  <c r="K353" i="6" s="1"/>
  <c r="E349" i="6"/>
  <c r="K349" i="6" s="1"/>
  <c r="E345" i="6"/>
  <c r="K345" i="6" s="1"/>
  <c r="E341" i="6"/>
  <c r="E337" i="6"/>
  <c r="K337" i="6" s="1"/>
  <c r="E333" i="6"/>
  <c r="K333" i="6" s="1"/>
  <c r="E329" i="6"/>
  <c r="K329" i="6" s="1"/>
  <c r="E325" i="6"/>
  <c r="E321" i="6"/>
  <c r="K321" i="6" s="1"/>
  <c r="E317" i="6"/>
  <c r="K317" i="6" s="1"/>
  <c r="E313" i="6"/>
  <c r="K313" i="6" s="1"/>
  <c r="E309" i="6"/>
  <c r="E305" i="6"/>
  <c r="K305" i="6" s="1"/>
  <c r="E301" i="6"/>
  <c r="K301" i="6" s="1"/>
  <c r="E297" i="6"/>
  <c r="K297" i="6" s="1"/>
  <c r="E293" i="6"/>
  <c r="E289" i="6"/>
  <c r="K289" i="6" s="1"/>
  <c r="E285" i="6"/>
  <c r="K285" i="6" s="1"/>
  <c r="E281" i="6"/>
  <c r="K281" i="6" s="1"/>
  <c r="E277" i="6"/>
  <c r="E273" i="6"/>
  <c r="L273" i="6" s="1"/>
  <c r="N273" i="6" s="1"/>
  <c r="E269" i="6"/>
  <c r="L269" i="6" s="1"/>
  <c r="N269" i="6" s="1"/>
  <c r="E265" i="6"/>
  <c r="K265" i="6" s="1"/>
  <c r="E261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L272" i="6" s="1"/>
  <c r="N272" i="6" s="1"/>
  <c r="E268" i="6"/>
  <c r="E264" i="6"/>
  <c r="L264" i="6" s="1"/>
  <c r="N264" i="6" s="1"/>
  <c r="E260" i="6"/>
  <c r="L260" i="6" s="1"/>
  <c r="N260" i="6" s="1"/>
  <c r="E256" i="6"/>
  <c r="L256" i="6" s="1"/>
  <c r="N256" i="6" s="1"/>
  <c r="E252" i="6"/>
  <c r="L252" i="6" s="1"/>
  <c r="N252" i="6" s="1"/>
  <c r="E248" i="6"/>
  <c r="L248" i="6" s="1"/>
  <c r="N248" i="6" s="1"/>
  <c r="E244" i="6"/>
  <c r="L244" i="6" s="1"/>
  <c r="N244" i="6" s="1"/>
  <c r="E240" i="6"/>
  <c r="L240" i="6" s="1"/>
  <c r="N240" i="6" s="1"/>
  <c r="E236" i="6"/>
  <c r="E232" i="6"/>
  <c r="L232" i="6" s="1"/>
  <c r="N232" i="6" s="1"/>
  <c r="E228" i="6"/>
  <c r="L228" i="6" s="1"/>
  <c r="N228" i="6" s="1"/>
  <c r="E224" i="6"/>
  <c r="L224" i="6" s="1"/>
  <c r="N224" i="6" s="1"/>
  <c r="E220" i="6"/>
  <c r="L220" i="6" s="1"/>
  <c r="N220" i="6" s="1"/>
  <c r="E216" i="6"/>
  <c r="L216" i="6" s="1"/>
  <c r="N216" i="6" s="1"/>
  <c r="E212" i="6"/>
  <c r="L212" i="6" s="1"/>
  <c r="N212" i="6" s="1"/>
  <c r="E208" i="6"/>
  <c r="L208" i="6" s="1"/>
  <c r="N208" i="6" s="1"/>
  <c r="E204" i="6"/>
  <c r="E200" i="6"/>
  <c r="L200" i="6" s="1"/>
  <c r="N200" i="6" s="1"/>
  <c r="E196" i="6"/>
  <c r="L196" i="6" s="1"/>
  <c r="N196" i="6" s="1"/>
  <c r="E192" i="6"/>
  <c r="L192" i="6" s="1"/>
  <c r="N192" i="6" s="1"/>
  <c r="E188" i="6"/>
  <c r="E184" i="6"/>
  <c r="L184" i="6" s="1"/>
  <c r="N184" i="6" s="1"/>
  <c r="E180" i="6"/>
  <c r="L180" i="6" s="1"/>
  <c r="N180" i="6" s="1"/>
  <c r="E176" i="6"/>
  <c r="L176" i="6" s="1"/>
  <c r="N176" i="6" s="1"/>
  <c r="E172" i="6"/>
  <c r="L172" i="6" s="1"/>
  <c r="N172" i="6" s="1"/>
  <c r="E168" i="6"/>
  <c r="L168" i="6" s="1"/>
  <c r="N168" i="6" s="1"/>
  <c r="E164" i="6"/>
  <c r="L164" i="6" s="1"/>
  <c r="N164" i="6" s="1"/>
  <c r="E160" i="6"/>
  <c r="L160" i="6" s="1"/>
  <c r="N160" i="6" s="1"/>
  <c r="E156" i="6"/>
  <c r="L156" i="6" s="1"/>
  <c r="N156" i="6" s="1"/>
  <c r="E152" i="6"/>
  <c r="L152" i="6" s="1"/>
  <c r="N152" i="6" s="1"/>
  <c r="E148" i="6"/>
  <c r="L148" i="6" s="1"/>
  <c r="N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L132" i="6" s="1"/>
  <c r="N132" i="6" s="1"/>
  <c r="E128" i="6"/>
  <c r="E124" i="6"/>
  <c r="L124" i="6" s="1"/>
  <c r="N124" i="6" s="1"/>
  <c r="E120" i="6"/>
  <c r="L120" i="6" s="1"/>
  <c r="N120" i="6" s="1"/>
  <c r="E116" i="6"/>
  <c r="L116" i="6" s="1"/>
  <c r="N116" i="6" s="1"/>
  <c r="E112" i="6"/>
  <c r="L112" i="6" s="1"/>
  <c r="N112" i="6" s="1"/>
  <c r="E108" i="6"/>
  <c r="L108" i="6" s="1"/>
  <c r="N108" i="6" s="1"/>
  <c r="E104" i="6"/>
  <c r="L104" i="6" s="1"/>
  <c r="N104" i="6" s="1"/>
  <c r="E100" i="6"/>
  <c r="E96" i="6"/>
  <c r="L96" i="6" s="1"/>
  <c r="N96" i="6" s="1"/>
  <c r="E92" i="6"/>
  <c r="L92" i="6" s="1"/>
  <c r="N92" i="6" s="1"/>
  <c r="E88" i="6"/>
  <c r="L88" i="6" s="1"/>
  <c r="N88" i="6" s="1"/>
  <c r="E84" i="6"/>
  <c r="L84" i="6" s="1"/>
  <c r="N84" i="6" s="1"/>
  <c r="E80" i="6"/>
  <c r="L80" i="6" s="1"/>
  <c r="N80" i="6" s="1"/>
  <c r="E76" i="6"/>
  <c r="L76" i="6" s="1"/>
  <c r="N76" i="6" s="1"/>
  <c r="E72" i="6"/>
  <c r="L72" i="6" s="1"/>
  <c r="N72" i="6" s="1"/>
  <c r="E68" i="6"/>
  <c r="L68" i="6" s="1"/>
  <c r="N68" i="6" s="1"/>
  <c r="E64" i="6"/>
  <c r="L64" i="6" s="1"/>
  <c r="N64" i="6" s="1"/>
  <c r="E60" i="6"/>
  <c r="L60" i="6" s="1"/>
  <c r="N60" i="6" s="1"/>
  <c r="E56" i="6"/>
  <c r="L56" i="6" s="1"/>
  <c r="N56" i="6" s="1"/>
  <c r="E52" i="6"/>
  <c r="L52" i="6" s="1"/>
  <c r="N52" i="6" s="1"/>
  <c r="E48" i="6"/>
  <c r="L48" i="6" s="1"/>
  <c r="N48" i="6" s="1"/>
  <c r="E44" i="6"/>
  <c r="E40" i="6"/>
  <c r="L40" i="6" s="1"/>
  <c r="N40" i="6" s="1"/>
  <c r="E36" i="6"/>
  <c r="E32" i="6"/>
  <c r="L32" i="6" s="1"/>
  <c r="N32" i="6" s="1"/>
  <c r="E28" i="6"/>
  <c r="E24" i="6"/>
  <c r="L24" i="6" s="1"/>
  <c r="N24" i="6" s="1"/>
  <c r="E20" i="6"/>
  <c r="E16" i="6"/>
  <c r="L16" i="6" s="1"/>
  <c r="N16" i="6" s="1"/>
  <c r="E12" i="6"/>
  <c r="E8" i="6"/>
  <c r="E4" i="6"/>
  <c r="E6904" i="6"/>
  <c r="E6903" i="6"/>
  <c r="E6898" i="6"/>
  <c r="E6892" i="6"/>
  <c r="E6888" i="6"/>
  <c r="E6887" i="6"/>
  <c r="E6883" i="6"/>
  <c r="E6878" i="6"/>
  <c r="E6872" i="6"/>
  <c r="E6871" i="6"/>
  <c r="E6866" i="6"/>
  <c r="E6862" i="6"/>
  <c r="E6857" i="6"/>
  <c r="E6852" i="6"/>
  <c r="E6847" i="6"/>
  <c r="E6843" i="6"/>
  <c r="E6839" i="6"/>
  <c r="E6833" i="6"/>
  <c r="E6829" i="6"/>
  <c r="E6824" i="6"/>
  <c r="E6823" i="6"/>
  <c r="E6819" i="6"/>
  <c r="E6818" i="6"/>
  <c r="E6813" i="6"/>
  <c r="E6808" i="6"/>
  <c r="E6804" i="6"/>
  <c r="E6803" i="6"/>
  <c r="E6798" i="6"/>
  <c r="E6793" i="6"/>
  <c r="E6792" i="6"/>
  <c r="E6787" i="6"/>
  <c r="E6786" i="6"/>
  <c r="E6781" i="6"/>
  <c r="E6775" i="6"/>
  <c r="E6770" i="6"/>
  <c r="E6764" i="6"/>
  <c r="E6763" i="6"/>
  <c r="E6759" i="6"/>
  <c r="E6758" i="6"/>
  <c r="E6753" i="6"/>
  <c r="E6752" i="6"/>
  <c r="E6745" i="6"/>
  <c r="E6744" i="6"/>
  <c r="E6739" i="6"/>
  <c r="E6735" i="6"/>
  <c r="E6731" i="6"/>
  <c r="E6730" i="6"/>
  <c r="E6725" i="6"/>
  <c r="E6721" i="6"/>
  <c r="E6717" i="6"/>
  <c r="E6712" i="6"/>
  <c r="E6711" i="6"/>
  <c r="E6710" i="6"/>
  <c r="E6703" i="6"/>
  <c r="E6697" i="6"/>
  <c r="E6690" i="6"/>
  <c r="E6686" i="6"/>
  <c r="E6681" i="6"/>
  <c r="E6680" i="6"/>
  <c r="E6679" i="6"/>
  <c r="E6674" i="6"/>
  <c r="E6668" i="6"/>
  <c r="E6662" i="6"/>
  <c r="E6656" i="6"/>
  <c r="E6655" i="6"/>
  <c r="E6650" i="6"/>
  <c r="E6643" i="6"/>
  <c r="E6642" i="6"/>
  <c r="E6637" i="6"/>
  <c r="E6636" i="6"/>
  <c r="E6630" i="6"/>
  <c r="E6623" i="6"/>
  <c r="E6622" i="6"/>
  <c r="E6617" i="6"/>
  <c r="E6616" i="6"/>
  <c r="E6615" i="6"/>
  <c r="E6611" i="6"/>
  <c r="E6605" i="6"/>
  <c r="E6597" i="6"/>
  <c r="E6596" i="6"/>
  <c r="E6595" i="6"/>
  <c r="E6591" i="6"/>
  <c r="E6587" i="6"/>
  <c r="E6581" i="6"/>
  <c r="E6580" i="6"/>
  <c r="E6576" i="6"/>
  <c r="E6575" i="6"/>
  <c r="E6571" i="6"/>
  <c r="E6565" i="6"/>
  <c r="E6560" i="6"/>
  <c r="E6555" i="6"/>
  <c r="E6550" i="6"/>
  <c r="E6545" i="6"/>
  <c r="E6540" i="6"/>
  <c r="E6539" i="6"/>
  <c r="E6538" i="6"/>
  <c r="E6530" i="6"/>
  <c r="E6525" i="6"/>
  <c r="E6521" i="6"/>
  <c r="E6513" i="6"/>
  <c r="E6512" i="6"/>
  <c r="E6505" i="6"/>
  <c r="E6500" i="6"/>
  <c r="E6499" i="6"/>
  <c r="E6498" i="6"/>
  <c r="E6493" i="6"/>
  <c r="E6486" i="6"/>
  <c r="E6481" i="6"/>
  <c r="E6475" i="6"/>
  <c r="E6469" i="6"/>
  <c r="E6464" i="6"/>
  <c r="E6459" i="6"/>
  <c r="E6453" i="6"/>
  <c r="E6452" i="6"/>
  <c r="E6451" i="6"/>
  <c r="E6445" i="6"/>
  <c r="E6444" i="6"/>
  <c r="E6434" i="6"/>
  <c r="E6426" i="6"/>
  <c r="E6419" i="6"/>
  <c r="E6415" i="6"/>
  <c r="E6410" i="6"/>
  <c r="E6406" i="6"/>
  <c r="E6399" i="6"/>
  <c r="E6395" i="6"/>
  <c r="E6394" i="6"/>
  <c r="E6386" i="6"/>
  <c r="E6377" i="6"/>
  <c r="E6371" i="6"/>
  <c r="E6370" i="6"/>
  <c r="E6363" i="6"/>
  <c r="E6356" i="6"/>
  <c r="E6355" i="6"/>
  <c r="E6354" i="6"/>
  <c r="E6353" i="6"/>
  <c r="E6346" i="6"/>
  <c r="E6345" i="6"/>
  <c r="E6338" i="6"/>
  <c r="E6333" i="6"/>
  <c r="E6328" i="6"/>
  <c r="E6327" i="6"/>
  <c r="E6319" i="6"/>
  <c r="E6318" i="6"/>
  <c r="E6317" i="6"/>
  <c r="E6305" i="6"/>
  <c r="E6299" i="6"/>
  <c r="E6298" i="6"/>
  <c r="E6297" i="6"/>
  <c r="E6296" i="6"/>
  <c r="E6288" i="6"/>
  <c r="E6287" i="6"/>
  <c r="E6286" i="6"/>
  <c r="E6279" i="6"/>
  <c r="E6278" i="6"/>
  <c r="E6270" i="6"/>
  <c r="E6269" i="6"/>
  <c r="E6264" i="6"/>
  <c r="E6258" i="6"/>
  <c r="E6249" i="6"/>
  <c r="E6242" i="6"/>
  <c r="E6241" i="6"/>
  <c r="E6240" i="6"/>
  <c r="E6239" i="6"/>
  <c r="E6232" i="6"/>
  <c r="K6228" i="6"/>
  <c r="E6226" i="6"/>
  <c r="E6225" i="6"/>
  <c r="E6220" i="6"/>
  <c r="E6219" i="6"/>
  <c r="E6218" i="6"/>
  <c r="E6217" i="6"/>
  <c r="E6211" i="6"/>
  <c r="E6210" i="6"/>
  <c r="E6203" i="6"/>
  <c r="E6202" i="6"/>
  <c r="E6196" i="6"/>
  <c r="E6191" i="6"/>
  <c r="E6190" i="6"/>
  <c r="E6189" i="6"/>
  <c r="E6185" i="6"/>
  <c r="E6179" i="6"/>
  <c r="E6174" i="6"/>
  <c r="E6173" i="6"/>
  <c r="E6168" i="6"/>
  <c r="E6167" i="6"/>
  <c r="E6161" i="6"/>
  <c r="E6154" i="6"/>
  <c r="E6150" i="6"/>
  <c r="E6145" i="6"/>
  <c r="E6140" i="6"/>
  <c r="E6139" i="6"/>
  <c r="E6135" i="6"/>
  <c r="E6128" i="6"/>
  <c r="E6127" i="6"/>
  <c r="E6126" i="6"/>
  <c r="E6122" i="6"/>
  <c r="E6116" i="6"/>
  <c r="E6112" i="6"/>
  <c r="E6106" i="6"/>
  <c r="E6105" i="6"/>
  <c r="E6100" i="6"/>
  <c r="E6099" i="6"/>
  <c r="E6094" i="6"/>
  <c r="E6093" i="6"/>
  <c r="E6082" i="6"/>
  <c r="E6066" i="6"/>
  <c r="E6065" i="6"/>
  <c r="E6064" i="6"/>
  <c r="E6063" i="6"/>
  <c r="E6049" i="6"/>
  <c r="E6048" i="6"/>
  <c r="E6037" i="6"/>
  <c r="E6036" i="6"/>
  <c r="E6027" i="6"/>
  <c r="E6026" i="6"/>
  <c r="E6025" i="6"/>
  <c r="E6024" i="6"/>
  <c r="E6013" i="6"/>
  <c r="E6012" i="6"/>
  <c r="E6003" i="6"/>
  <c r="E6002" i="6"/>
  <c r="E6001" i="6"/>
  <c r="E6000" i="6"/>
  <c r="E5986" i="6"/>
  <c r="E5985" i="6"/>
  <c r="E5984" i="6"/>
  <c r="E5983" i="6"/>
  <c r="E5982" i="6"/>
  <c r="E5981" i="6"/>
  <c r="E5980" i="6"/>
  <c r="E5979" i="6"/>
  <c r="E5970" i="6"/>
  <c r="E5957" i="6"/>
  <c r="E5956" i="6"/>
  <c r="E5955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19" i="6"/>
  <c r="E5918" i="6"/>
  <c r="E5917" i="6"/>
  <c r="E5916" i="6"/>
  <c r="E5906" i="6"/>
  <c r="E5905" i="6"/>
  <c r="E5904" i="6"/>
  <c r="E5903" i="6"/>
  <c r="E5902" i="6"/>
  <c r="E5901" i="6"/>
  <c r="E5885" i="6"/>
  <c r="E5884" i="6"/>
  <c r="E5883" i="6"/>
  <c r="E5882" i="6"/>
  <c r="E5881" i="6"/>
  <c r="E5853" i="6"/>
  <c r="E5852" i="6"/>
  <c r="E5851" i="6"/>
  <c r="E5842" i="6"/>
  <c r="E5841" i="6"/>
  <c r="E5840" i="6"/>
  <c r="E5839" i="6"/>
  <c r="E5838" i="6"/>
  <c r="E5813" i="6"/>
  <c r="E5812" i="6"/>
  <c r="E5811" i="6"/>
  <c r="E5810" i="6"/>
  <c r="E5809" i="6"/>
  <c r="E5808" i="6"/>
  <c r="E5807" i="6"/>
  <c r="E5794" i="6"/>
  <c r="E5793" i="6"/>
  <c r="E5792" i="6"/>
  <c r="E5791" i="6"/>
  <c r="E579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67" i="6"/>
  <c r="E5649" i="6"/>
  <c r="E5648" i="6"/>
  <c r="E5647" i="6"/>
  <c r="E5646" i="6"/>
  <c r="E5645" i="6"/>
  <c r="E5635" i="6"/>
  <c r="E5634" i="6"/>
  <c r="E5633" i="6"/>
  <c r="E5632" i="6"/>
  <c r="E5631" i="6"/>
  <c r="E5630" i="6"/>
  <c r="E5629" i="6"/>
  <c r="E5611" i="6"/>
  <c r="E5610" i="6"/>
  <c r="E5609" i="6"/>
  <c r="E5608" i="6"/>
  <c r="E5607" i="6"/>
  <c r="E5586" i="6"/>
  <c r="E5585" i="6"/>
  <c r="E5562" i="6"/>
  <c r="E5561" i="6"/>
  <c r="E5560" i="6"/>
  <c r="E5559" i="6"/>
  <c r="E5530" i="6"/>
  <c r="E5529" i="6"/>
  <c r="E5528" i="6"/>
  <c r="E5527" i="6"/>
  <c r="E5514" i="6"/>
  <c r="E5513" i="6"/>
  <c r="E5495" i="6"/>
  <c r="E5494" i="6"/>
  <c r="E5493" i="6"/>
  <c r="E5492" i="6"/>
  <c r="E5491" i="6"/>
  <c r="E5490" i="6"/>
  <c r="E5489" i="6"/>
  <c r="E5488" i="6"/>
  <c r="E5467" i="6"/>
  <c r="E5466" i="6"/>
  <c r="E5465" i="6"/>
  <c r="E5394" i="6"/>
  <c r="E5393" i="6"/>
  <c r="E5392" i="6"/>
  <c r="E5391" i="6"/>
  <c r="E5390" i="6"/>
  <c r="E5389" i="6"/>
  <c r="E5388" i="6"/>
  <c r="E5387" i="6"/>
  <c r="E5386" i="6"/>
  <c r="E5385" i="6"/>
  <c r="E5384" i="6"/>
  <c r="E5351" i="6"/>
  <c r="E5350" i="6"/>
  <c r="E5349" i="6"/>
  <c r="E5348" i="6"/>
  <c r="E5302" i="6"/>
  <c r="E5301" i="6"/>
  <c r="E5300" i="6"/>
  <c r="E5286" i="6"/>
  <c r="E5285" i="6"/>
  <c r="E5284" i="6"/>
  <c r="E5283" i="6"/>
  <c r="E5282" i="6"/>
  <c r="E5281" i="6"/>
  <c r="E5280" i="6"/>
  <c r="E5279" i="6"/>
  <c r="E5278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156" i="6"/>
  <c r="E5155" i="6"/>
  <c r="E5096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08" i="6"/>
  <c r="E5007" i="6"/>
  <c r="E5006" i="6"/>
  <c r="E5005" i="6"/>
  <c r="E4986" i="6"/>
  <c r="E4985" i="6"/>
  <c r="E4984" i="6"/>
  <c r="E4910" i="6"/>
  <c r="E4909" i="6"/>
  <c r="E4908" i="6"/>
  <c r="E4907" i="6"/>
  <c r="E4894" i="6"/>
  <c r="E4893" i="6"/>
  <c r="E4851" i="6"/>
  <c r="E4850" i="6"/>
  <c r="E4849" i="6"/>
  <c r="E4848" i="6"/>
  <c r="E4847" i="6"/>
  <c r="E4846" i="6"/>
  <c r="E4845" i="6"/>
  <c r="E4844" i="6"/>
  <c r="E4843" i="6"/>
  <c r="E4828" i="6"/>
  <c r="E4827" i="6"/>
  <c r="E4826" i="6"/>
  <c r="E4825" i="6"/>
  <c r="E4780" i="6"/>
  <c r="E4779" i="6"/>
  <c r="E4778" i="6"/>
  <c r="E4777" i="6"/>
  <c r="E4751" i="6"/>
  <c r="E4750" i="6"/>
  <c r="E4749" i="6"/>
  <c r="E4748" i="6"/>
  <c r="E4747" i="6"/>
  <c r="E4746" i="6"/>
  <c r="E4745" i="6"/>
  <c r="E4744" i="6"/>
  <c r="E4646" i="6"/>
  <c r="E4645" i="6"/>
  <c r="E4644" i="6"/>
  <c r="E4643" i="6"/>
  <c r="E4642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K6804" i="6"/>
  <c r="K4196" i="6"/>
  <c r="K4152" i="6"/>
  <c r="K3600" i="6"/>
  <c r="K3422" i="6"/>
  <c r="K252" i="6"/>
  <c r="M252" i="6" s="1"/>
  <c r="K220" i="6"/>
  <c r="M220" i="6" s="1"/>
  <c r="K204" i="6"/>
  <c r="M204" i="6" s="1"/>
  <c r="K144" i="6"/>
  <c r="M144" i="6" s="1"/>
  <c r="K112" i="6"/>
  <c r="M112" i="6" s="1"/>
  <c r="K100" i="6"/>
  <c r="M100" i="6" s="1"/>
  <c r="E6901" i="6"/>
  <c r="E6900" i="6"/>
  <c r="E6895" i="6"/>
  <c r="E6894" i="6"/>
  <c r="E6890" i="6"/>
  <c r="E6885" i="6"/>
  <c r="E6881" i="6"/>
  <c r="E6875" i="6"/>
  <c r="E6874" i="6"/>
  <c r="E6869" i="6"/>
  <c r="E6864" i="6"/>
  <c r="E6860" i="6"/>
  <c r="E6859" i="6"/>
  <c r="E6855" i="6"/>
  <c r="E6854" i="6"/>
  <c r="E6849" i="6"/>
  <c r="E6845" i="6"/>
  <c r="E6841" i="6"/>
  <c r="E6837" i="6"/>
  <c r="E6836" i="6"/>
  <c r="E6835" i="6"/>
  <c r="E6831" i="6"/>
  <c r="E6826" i="6"/>
  <c r="E6821" i="6"/>
  <c r="E6815" i="6"/>
  <c r="E6810" i="6"/>
  <c r="E6806" i="6"/>
  <c r="E6801" i="6"/>
  <c r="E6800" i="6"/>
  <c r="E6795" i="6"/>
  <c r="E6790" i="6"/>
  <c r="E6784" i="6"/>
  <c r="E6783" i="6"/>
  <c r="E6778" i="6"/>
  <c r="E6773" i="6"/>
  <c r="E6772" i="6"/>
  <c r="E6767" i="6"/>
  <c r="E6766" i="6"/>
  <c r="E6761" i="6"/>
  <c r="E6755" i="6"/>
  <c r="E6750" i="6"/>
  <c r="E6742" i="6"/>
  <c r="E6737" i="6"/>
  <c r="E6733" i="6"/>
  <c r="E6728" i="6"/>
  <c r="E6727" i="6"/>
  <c r="E6723" i="6"/>
  <c r="E6719" i="6"/>
  <c r="E6715" i="6"/>
  <c r="E6714" i="6"/>
  <c r="E6708" i="6"/>
  <c r="E6707" i="6"/>
  <c r="E6706" i="6"/>
  <c r="E6701" i="6"/>
  <c r="E6700" i="6"/>
  <c r="E6699" i="6"/>
  <c r="E6693" i="6"/>
  <c r="E6688" i="6"/>
  <c r="E6684" i="6"/>
  <c r="E6683" i="6"/>
  <c r="E6677" i="6"/>
  <c r="E6676" i="6"/>
  <c r="E6670" i="6"/>
  <c r="E6665" i="6"/>
  <c r="E6664" i="6"/>
  <c r="E6660" i="6"/>
  <c r="E6659" i="6"/>
  <c r="E6658" i="6"/>
  <c r="E6653" i="6"/>
  <c r="E6645" i="6"/>
  <c r="E6640" i="6"/>
  <c r="E6639" i="6"/>
  <c r="E6633" i="6"/>
  <c r="E6632" i="6"/>
  <c r="E6626" i="6"/>
  <c r="E6619" i="6"/>
  <c r="E6613" i="6"/>
  <c r="E6609" i="6"/>
  <c r="E6608" i="6"/>
  <c r="E6603" i="6"/>
  <c r="E6602" i="6"/>
  <c r="E6593" i="6"/>
  <c r="E6589" i="6"/>
  <c r="E6585" i="6"/>
  <c r="E6578" i="6"/>
  <c r="E6573" i="6"/>
  <c r="E6569" i="6"/>
  <c r="E6568" i="6"/>
  <c r="E6563" i="6"/>
  <c r="E6562" i="6"/>
  <c r="E6557" i="6"/>
  <c r="E6553" i="6"/>
  <c r="E6552" i="6"/>
  <c r="E6547" i="6"/>
  <c r="E6543" i="6"/>
  <c r="E6542" i="6"/>
  <c r="E6536" i="6"/>
  <c r="E6535" i="6"/>
  <c r="E6534" i="6"/>
  <c r="E6528" i="6"/>
  <c r="E6523" i="6"/>
  <c r="E6519" i="6"/>
  <c r="E6518" i="6"/>
  <c r="E6509" i="6"/>
  <c r="E6502" i="6"/>
  <c r="E6495" i="6"/>
  <c r="E6489" i="6"/>
  <c r="E6484" i="6"/>
  <c r="E6479" i="6"/>
  <c r="E6478" i="6"/>
  <c r="E6473" i="6"/>
  <c r="E6472" i="6"/>
  <c r="E6471" i="6"/>
  <c r="E6466" i="6"/>
  <c r="E6461" i="6"/>
  <c r="E6457" i="6"/>
  <c r="E6449" i="6"/>
  <c r="E6448" i="6"/>
  <c r="E6441" i="6"/>
  <c r="E6440" i="6"/>
  <c r="E6439" i="6"/>
  <c r="E6438" i="6"/>
  <c r="E6429" i="6"/>
  <c r="E6421" i="6"/>
  <c r="E6417" i="6"/>
  <c r="E6413" i="6"/>
  <c r="E6412" i="6"/>
  <c r="E6408" i="6"/>
  <c r="E6402" i="6"/>
  <c r="E6397" i="6"/>
  <c r="E6392" i="6"/>
  <c r="E6384" i="6"/>
  <c r="E6383" i="6"/>
  <c r="E6382" i="6"/>
  <c r="E6373" i="6"/>
  <c r="E6367" i="6"/>
  <c r="E6366" i="6"/>
  <c r="E6365" i="6"/>
  <c r="E6359" i="6"/>
  <c r="E6358" i="6"/>
  <c r="E6350" i="6"/>
  <c r="E6349" i="6"/>
  <c r="E6348" i="6"/>
  <c r="E6343" i="6"/>
  <c r="E6342" i="6"/>
  <c r="E6341" i="6"/>
  <c r="E6340" i="6"/>
  <c r="E6336" i="6"/>
  <c r="E6335" i="6"/>
  <c r="E6330" i="6"/>
  <c r="E6323" i="6"/>
  <c r="E6312" i="6"/>
  <c r="E6311" i="6"/>
  <c r="E6310" i="6"/>
  <c r="E6309" i="6"/>
  <c r="E6308" i="6"/>
  <c r="E6302" i="6"/>
  <c r="E6291" i="6"/>
  <c r="E6283" i="6"/>
  <c r="E6282" i="6"/>
  <c r="E6281" i="6"/>
  <c r="E6276" i="6"/>
  <c r="E6275" i="6"/>
  <c r="E6267" i="6"/>
  <c r="E6262" i="6"/>
  <c r="E6254" i="6"/>
  <c r="E6253" i="6"/>
  <c r="E6252" i="6"/>
  <c r="E6251" i="6"/>
  <c r="E6245" i="6"/>
  <c r="E6236" i="6"/>
  <c r="E6235" i="6"/>
  <c r="E6230" i="6"/>
  <c r="E6229" i="6"/>
  <c r="E6223" i="6"/>
  <c r="E6215" i="6"/>
  <c r="E6214" i="6"/>
  <c r="E6213" i="6"/>
  <c r="E6208" i="6"/>
  <c r="E6207" i="6"/>
  <c r="E6206" i="6"/>
  <c r="E6205" i="6"/>
  <c r="E6200" i="6"/>
  <c r="E6199" i="6"/>
  <c r="E6194" i="6"/>
  <c r="E6193" i="6"/>
  <c r="E6187" i="6"/>
  <c r="E6181" i="6"/>
  <c r="E6177" i="6"/>
  <c r="E6171" i="6"/>
  <c r="E6170" i="6"/>
  <c r="E6164" i="6"/>
  <c r="E6163" i="6"/>
  <c r="E6157" i="6"/>
  <c r="E6152" i="6"/>
  <c r="E6148" i="6"/>
  <c r="E6147" i="6"/>
  <c r="E6142" i="6"/>
  <c r="E6137" i="6"/>
  <c r="E6133" i="6"/>
  <c r="E6124" i="6"/>
  <c r="E6120" i="6"/>
  <c r="E6114" i="6"/>
  <c r="E6110" i="6"/>
  <c r="E6109" i="6"/>
  <c r="E6102" i="6"/>
  <c r="E6096" i="6"/>
  <c r="E6091" i="6"/>
  <c r="E6090" i="6"/>
  <c r="E6075" i="6"/>
  <c r="E6074" i="6"/>
  <c r="E6054" i="6"/>
  <c r="E6053" i="6"/>
  <c r="E6052" i="6"/>
  <c r="E6051" i="6"/>
  <c r="E6043" i="6"/>
  <c r="E6042" i="6"/>
  <c r="E6041" i="6"/>
  <c r="E6040" i="6"/>
  <c r="E6031" i="6"/>
  <c r="E6030" i="6"/>
  <c r="E6019" i="6"/>
  <c r="E6018" i="6"/>
  <c r="E6017" i="6"/>
  <c r="E6016" i="6"/>
  <c r="E6007" i="6"/>
  <c r="E6006" i="6"/>
  <c r="E5995" i="6"/>
  <c r="E5994" i="6"/>
  <c r="E5993" i="6"/>
  <c r="E5992" i="6"/>
  <c r="E5991" i="6"/>
  <c r="E5974" i="6"/>
  <c r="E5962" i="6"/>
  <c r="E5961" i="6"/>
  <c r="E5960" i="6"/>
  <c r="E5959" i="6"/>
  <c r="E5949" i="6"/>
  <c r="E5948" i="6"/>
  <c r="E5947" i="6"/>
  <c r="E5926" i="6"/>
  <c r="E5913" i="6"/>
  <c r="E5912" i="6"/>
  <c r="E5893" i="6"/>
  <c r="E5892" i="6"/>
  <c r="E5891" i="6"/>
  <c r="E5872" i="6"/>
  <c r="E5871" i="6"/>
  <c r="E5845" i="6"/>
  <c r="E5821" i="6"/>
  <c r="E5801" i="6"/>
  <c r="E5781" i="6"/>
  <c r="E5780" i="6"/>
  <c r="E5779" i="6"/>
  <c r="E5778" i="6"/>
  <c r="E5777" i="6"/>
  <c r="E5776" i="6"/>
  <c r="E5775" i="6"/>
  <c r="E5754" i="6"/>
  <c r="E5753" i="6"/>
  <c r="E5752" i="6"/>
  <c r="E5751" i="6"/>
  <c r="E5750" i="6"/>
  <c r="E5720" i="6"/>
  <c r="E5719" i="6"/>
  <c r="E5718" i="6"/>
  <c r="E5717" i="6"/>
  <c r="E5716" i="6"/>
  <c r="E5715" i="6"/>
  <c r="E5714" i="6"/>
  <c r="E5713" i="6"/>
  <c r="E5712" i="6"/>
  <c r="E5711" i="6"/>
  <c r="E5677" i="6"/>
  <c r="E5676" i="6"/>
  <c r="E5675" i="6"/>
  <c r="E5674" i="6"/>
  <c r="E5673" i="6"/>
  <c r="E5672" i="6"/>
  <c r="E5671" i="6"/>
  <c r="E5670" i="6"/>
  <c r="E5656" i="6"/>
  <c r="E5655" i="6"/>
  <c r="E5654" i="6"/>
  <c r="E5642" i="6"/>
  <c r="E5641" i="6"/>
  <c r="E5640" i="6"/>
  <c r="E5620" i="6"/>
  <c r="E5619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78" i="6"/>
  <c r="E5577" i="6"/>
  <c r="E5576" i="6"/>
  <c r="E5575" i="6"/>
  <c r="E5546" i="6"/>
  <c r="E5545" i="6"/>
  <c r="E5544" i="6"/>
  <c r="E5543" i="6"/>
  <c r="E5520" i="6"/>
  <c r="E5519" i="6"/>
  <c r="E5511" i="6"/>
  <c r="E5510" i="6"/>
  <c r="E5509" i="6"/>
  <c r="E5508" i="6"/>
  <c r="E5507" i="6"/>
  <c r="E5506" i="6"/>
  <c r="E5505" i="6"/>
  <c r="E5455" i="6"/>
  <c r="E5454" i="6"/>
  <c r="E5453" i="6"/>
  <c r="E5452" i="6"/>
  <c r="E5451" i="6"/>
  <c r="E5450" i="6"/>
  <c r="E5449" i="6"/>
  <c r="E5448" i="6"/>
  <c r="E5447" i="6"/>
  <c r="E5414" i="6"/>
  <c r="E5413" i="6"/>
  <c r="E5412" i="6"/>
  <c r="E5411" i="6"/>
  <c r="E5335" i="6"/>
  <c r="E5334" i="6"/>
  <c r="E5333" i="6"/>
  <c r="E5318" i="6"/>
  <c r="E5317" i="6"/>
  <c r="E5316" i="6"/>
  <c r="E5272" i="6"/>
  <c r="E5271" i="6"/>
  <c r="E5234" i="6"/>
  <c r="E5233" i="6"/>
  <c r="E5232" i="6"/>
  <c r="E5231" i="6"/>
  <c r="E5144" i="6"/>
  <c r="E5143" i="6"/>
  <c r="E5142" i="6"/>
  <c r="E5141" i="6"/>
  <c r="E5140" i="6"/>
  <c r="E5139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059" i="6"/>
  <c r="E5058" i="6"/>
  <c r="E5057" i="6"/>
  <c r="E5056" i="6"/>
  <c r="E5030" i="6"/>
  <c r="E5029" i="6"/>
  <c r="E5028" i="6"/>
  <c r="E5027" i="6"/>
  <c r="E4967" i="6"/>
  <c r="E4966" i="6"/>
  <c r="E4965" i="6"/>
  <c r="E4964" i="6"/>
  <c r="E4935" i="6"/>
  <c r="E4934" i="6"/>
  <c r="E4933" i="6"/>
  <c r="E4932" i="6"/>
  <c r="E4887" i="6"/>
  <c r="E4886" i="6"/>
  <c r="E4885" i="6"/>
  <c r="E4866" i="6"/>
  <c r="E4865" i="6"/>
  <c r="E4864" i="6"/>
  <c r="E4816" i="6"/>
  <c r="E4815" i="6"/>
  <c r="E4814" i="6"/>
  <c r="E4813" i="6"/>
  <c r="E4792" i="6"/>
  <c r="E4791" i="6"/>
  <c r="E4790" i="6"/>
  <c r="E4789" i="6"/>
  <c r="E4728" i="6"/>
  <c r="E4727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562" i="6"/>
  <c r="E4561" i="6"/>
  <c r="E4560" i="6"/>
  <c r="E4559" i="6"/>
  <c r="E4558" i="6"/>
  <c r="E5502" i="6"/>
  <c r="E5501" i="6"/>
  <c r="E5500" i="6"/>
  <c r="E5478" i="6"/>
  <c r="E5477" i="6"/>
  <c r="E5476" i="6"/>
  <c r="E5475" i="6"/>
  <c r="E5464" i="6"/>
  <c r="E546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47" i="6"/>
  <c r="E5346" i="6"/>
  <c r="E5345" i="6"/>
  <c r="E5344" i="6"/>
  <c r="E5343" i="6"/>
  <c r="E5342" i="6"/>
  <c r="E5341" i="6"/>
  <c r="E5340" i="6"/>
  <c r="E5331" i="6"/>
  <c r="E5330" i="6"/>
  <c r="E5329" i="6"/>
  <c r="E5328" i="6"/>
  <c r="E5315" i="6"/>
  <c r="E5314" i="6"/>
  <c r="E5313" i="6"/>
  <c r="E5312" i="6"/>
  <c r="E5311" i="6"/>
  <c r="E5310" i="6"/>
  <c r="E5309" i="6"/>
  <c r="E5308" i="6"/>
  <c r="E5307" i="6"/>
  <c r="E5306" i="6"/>
  <c r="E5305" i="6"/>
  <c r="E5295" i="6"/>
  <c r="E5294" i="6"/>
  <c r="E5293" i="6"/>
  <c r="E5277" i="6"/>
  <c r="E5276" i="6"/>
  <c r="E5275" i="6"/>
  <c r="E5274" i="6"/>
  <c r="E5254" i="6"/>
  <c r="E5253" i="6"/>
  <c r="E5252" i="6"/>
  <c r="E5251" i="6"/>
  <c r="E5230" i="6"/>
  <c r="E522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54" i="6"/>
  <c r="E5153" i="6"/>
  <c r="E5152" i="6"/>
  <c r="E5151" i="6"/>
  <c r="E5150" i="6"/>
  <c r="E5149" i="6"/>
  <c r="E5148" i="6"/>
  <c r="E5134" i="6"/>
  <c r="E5133" i="6"/>
  <c r="E5132" i="6"/>
  <c r="E5131" i="6"/>
  <c r="E5130" i="6"/>
  <c r="E5129" i="6"/>
  <c r="E5103" i="6"/>
  <c r="E5102" i="6"/>
  <c r="E5101" i="6"/>
  <c r="E5100" i="6"/>
  <c r="E5091" i="6"/>
  <c r="E5090" i="6"/>
  <c r="E5089" i="6"/>
  <c r="E5064" i="6"/>
  <c r="E5052" i="6"/>
  <c r="E5051" i="6"/>
  <c r="E5050" i="6"/>
  <c r="E5049" i="6"/>
  <c r="E5048" i="6"/>
  <c r="E504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00" i="6"/>
  <c r="E4999" i="6"/>
  <c r="E4998" i="6"/>
  <c r="E4997" i="6"/>
  <c r="E4983" i="6"/>
  <c r="E4982" i="6"/>
  <c r="E4981" i="6"/>
  <c r="E4980" i="6"/>
  <c r="E4979" i="6"/>
  <c r="E4978" i="6"/>
  <c r="E4977" i="6"/>
  <c r="E4976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31" i="6"/>
  <c r="E4930" i="6"/>
  <c r="E4929" i="6"/>
  <c r="E4928" i="6"/>
  <c r="E4903" i="6"/>
  <c r="E4902" i="6"/>
  <c r="E4901" i="6"/>
  <c r="E4900" i="6"/>
  <c r="E4892" i="6"/>
  <c r="E4883" i="6"/>
  <c r="E4882" i="6"/>
  <c r="E4881" i="6"/>
  <c r="E4880" i="6"/>
  <c r="E4879" i="6"/>
  <c r="E4878" i="6"/>
  <c r="E4877" i="6"/>
  <c r="E4863" i="6"/>
  <c r="E4862" i="6"/>
  <c r="E4861" i="6"/>
  <c r="E4860" i="6"/>
  <c r="E4839" i="6"/>
  <c r="E4838" i="6"/>
  <c r="E4837" i="6"/>
  <c r="E4824" i="6"/>
  <c r="E4823" i="6"/>
  <c r="E4822" i="6"/>
  <c r="E4821" i="6"/>
  <c r="E4808" i="6"/>
  <c r="E4807" i="6"/>
  <c r="E4806" i="6"/>
  <c r="E4805" i="6"/>
  <c r="E4768" i="6"/>
  <c r="E4767" i="6"/>
  <c r="E4766" i="6"/>
  <c r="E4765" i="6"/>
  <c r="E4743" i="6"/>
  <c r="E4742" i="6"/>
  <c r="E4741" i="6"/>
  <c r="E4740" i="6"/>
  <c r="E4739" i="6"/>
  <c r="E4738" i="6"/>
  <c r="E4737" i="6"/>
  <c r="E4699" i="6"/>
  <c r="E4698" i="6"/>
  <c r="E4697" i="6"/>
  <c r="E4696" i="6"/>
  <c r="E4695" i="6"/>
  <c r="E4694" i="6"/>
  <c r="E4693" i="6"/>
  <c r="E4692" i="6"/>
  <c r="E4664" i="6"/>
  <c r="E4663" i="6"/>
  <c r="E4662" i="6"/>
  <c r="E4604" i="6"/>
  <c r="E4603" i="6"/>
  <c r="E4602" i="6"/>
  <c r="E4601" i="6"/>
  <c r="E4600" i="6"/>
  <c r="E4599" i="6"/>
  <c r="E4598" i="6"/>
  <c r="E4597" i="6"/>
  <c r="E4557" i="6"/>
  <c r="E4556" i="6"/>
  <c r="E4555" i="6"/>
  <c r="E4554" i="6"/>
  <c r="E4553" i="6"/>
  <c r="E4552" i="6"/>
  <c r="E4551" i="6"/>
  <c r="E4550" i="6"/>
  <c r="E4549" i="6"/>
  <c r="K4176" i="6"/>
  <c r="K4149" i="6"/>
  <c r="K4064" i="6"/>
  <c r="K3918" i="6"/>
  <c r="K3894" i="6"/>
  <c r="K3696" i="6"/>
  <c r="E4802" i="6"/>
  <c r="E4801" i="6"/>
  <c r="E4788" i="6"/>
  <c r="E4787" i="6"/>
  <c r="E4776" i="6"/>
  <c r="E4775" i="6"/>
  <c r="E4774" i="6"/>
  <c r="E4773" i="6"/>
  <c r="E4760" i="6"/>
  <c r="E4759" i="6"/>
  <c r="E4758" i="6"/>
  <c r="E4757" i="6"/>
  <c r="E4736" i="6"/>
  <c r="E4735" i="6"/>
  <c r="E4734" i="6"/>
  <c r="E4733" i="6"/>
  <c r="E4724" i="6"/>
  <c r="E4723" i="6"/>
  <c r="E4722" i="6"/>
  <c r="E4721" i="6"/>
  <c r="E4708" i="6"/>
  <c r="E4707" i="6"/>
  <c r="E4706" i="6"/>
  <c r="E4705" i="6"/>
  <c r="E4704" i="6"/>
  <c r="E4683" i="6"/>
  <c r="E4682" i="6"/>
  <c r="E4681" i="6"/>
  <c r="E4680" i="6"/>
  <c r="E4679" i="6"/>
  <c r="E4678" i="6"/>
  <c r="E4661" i="6"/>
  <c r="E4641" i="6"/>
  <c r="E4640" i="6"/>
  <c r="E4639" i="6"/>
  <c r="E4638" i="6"/>
  <c r="E4637" i="6"/>
  <c r="E4610" i="6"/>
  <c r="E4609" i="6"/>
  <c r="E4608" i="6"/>
  <c r="E4607" i="6"/>
  <c r="E4606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48" i="6"/>
  <c r="E4547" i="6"/>
  <c r="E4546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464" i="6"/>
  <c r="E4463" i="6"/>
  <c r="E4462" i="6"/>
  <c r="E4461" i="6"/>
  <c r="E4460" i="6"/>
  <c r="E4459" i="6"/>
  <c r="E4458" i="6"/>
  <c r="E4457" i="6"/>
  <c r="E4436" i="6"/>
  <c r="E4435" i="6"/>
  <c r="E4434" i="6"/>
  <c r="E4376" i="6"/>
  <c r="E4375" i="6"/>
  <c r="E437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292" i="6"/>
  <c r="E4291" i="6"/>
  <c r="E4290" i="6"/>
  <c r="E4270" i="6"/>
  <c r="E4269" i="6"/>
  <c r="E4268" i="6"/>
  <c r="E4267" i="6"/>
  <c r="E4266" i="6"/>
  <c r="E4265" i="6"/>
  <c r="E4258" i="6"/>
  <c r="E4251" i="6"/>
  <c r="E4250" i="6"/>
  <c r="E4249" i="6"/>
  <c r="E4248" i="6"/>
  <c r="E4238" i="6"/>
  <c r="E4237" i="6"/>
  <c r="E4236" i="6"/>
  <c r="E4229" i="6"/>
  <c r="E4228" i="6"/>
  <c r="E4227" i="6"/>
  <c r="E4226" i="6"/>
  <c r="E4225" i="6"/>
  <c r="E4224" i="6"/>
  <c r="E4223" i="6"/>
  <c r="E4206" i="6"/>
  <c r="E4195" i="6"/>
  <c r="K4186" i="6"/>
  <c r="K4185" i="6"/>
  <c r="K4184" i="6"/>
  <c r="E4182" i="6"/>
  <c r="E4181" i="6"/>
  <c r="E4180" i="6"/>
  <c r="E4170" i="6"/>
  <c r="E4169" i="6"/>
  <c r="E4168" i="6"/>
  <c r="E4167" i="6"/>
  <c r="E4166" i="6"/>
  <c r="K4156" i="6"/>
  <c r="E4151" i="6"/>
  <c r="K4138" i="6"/>
  <c r="E4136" i="6"/>
  <c r="E4125" i="6"/>
  <c r="E4124" i="6"/>
  <c r="E4117" i="6"/>
  <c r="E4116" i="6"/>
  <c r="E4115" i="6"/>
  <c r="E4114" i="6"/>
  <c r="E4113" i="6"/>
  <c r="E4112" i="6"/>
  <c r="K4112" i="6" s="1"/>
  <c r="E4111" i="6"/>
  <c r="E4110" i="6"/>
  <c r="K4088" i="6"/>
  <c r="K4085" i="6"/>
  <c r="K4084" i="6"/>
  <c r="K4079" i="6"/>
  <c r="K4075" i="6"/>
  <c r="K4074" i="6"/>
  <c r="K4073" i="6"/>
  <c r="K4071" i="6"/>
  <c r="K4070" i="6"/>
  <c r="K4069" i="6"/>
  <c r="E4067" i="6"/>
  <c r="K4060" i="6"/>
  <c r="E4056" i="6"/>
  <c r="E4029" i="6"/>
  <c r="K4018" i="6"/>
  <c r="K4017" i="6"/>
  <c r="K4016" i="6"/>
  <c r="K4015" i="6"/>
  <c r="K4014" i="6"/>
  <c r="K4012" i="6"/>
  <c r="E4004" i="6"/>
  <c r="K4004" i="6" s="1"/>
  <c r="E4003" i="6"/>
  <c r="E4002" i="6"/>
  <c r="E3993" i="6"/>
  <c r="E3984" i="6"/>
  <c r="E3983" i="6"/>
  <c r="E3982" i="6"/>
  <c r="E3981" i="6"/>
  <c r="E3957" i="6"/>
  <c r="K3957" i="6" s="1"/>
  <c r="E3956" i="6"/>
  <c r="E3955" i="6"/>
  <c r="E3954" i="6"/>
  <c r="E3953" i="6"/>
  <c r="E3952" i="6"/>
  <c r="E3951" i="6"/>
  <c r="E3950" i="6"/>
  <c r="K3944" i="6"/>
  <c r="K3943" i="6"/>
  <c r="E3940" i="6"/>
  <c r="K3940" i="6" s="1"/>
  <c r="E3939" i="6"/>
  <c r="E3938" i="6"/>
  <c r="K3924" i="6"/>
  <c r="K3923" i="6"/>
  <c r="E3921" i="6"/>
  <c r="K3915" i="6"/>
  <c r="K3913" i="6"/>
  <c r="K3911" i="6"/>
  <c r="E3909" i="6"/>
  <c r="E3908" i="6"/>
  <c r="K3903" i="6"/>
  <c r="K3901" i="6"/>
  <c r="E3899" i="6"/>
  <c r="E3898" i="6"/>
  <c r="E3897" i="6"/>
  <c r="E3896" i="6"/>
  <c r="K3891" i="6"/>
  <c r="E3889" i="6"/>
  <c r="E3888" i="6"/>
  <c r="K3871" i="6"/>
  <c r="K3870" i="6"/>
  <c r="K3869" i="6"/>
  <c r="E3867" i="6"/>
  <c r="E3866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K3723" i="6"/>
  <c r="E3719" i="6"/>
  <c r="E3718" i="6"/>
  <c r="E3717" i="6"/>
  <c r="K3717" i="6" s="1"/>
  <c r="E3716" i="6"/>
  <c r="E3715" i="6"/>
  <c r="E3714" i="6"/>
  <c r="E3713" i="6"/>
  <c r="E3712" i="6"/>
  <c r="K3712" i="6" s="1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K3691" i="6"/>
  <c r="K3688" i="6"/>
  <c r="K3687" i="6"/>
  <c r="K3685" i="6"/>
  <c r="E3683" i="6"/>
  <c r="E3682" i="6"/>
  <c r="E3681" i="6"/>
  <c r="K3681" i="6" s="1"/>
  <c r="E3680" i="6"/>
  <c r="E3679" i="6"/>
  <c r="E3678" i="6"/>
  <c r="E3677" i="6"/>
  <c r="E3676" i="6"/>
  <c r="E3675" i="6"/>
  <c r="E3674" i="6"/>
  <c r="E3673" i="6"/>
  <c r="E3667" i="6"/>
  <c r="E3666" i="6"/>
  <c r="E3665" i="6"/>
  <c r="K3657" i="6"/>
  <c r="K3656" i="6"/>
  <c r="K3655" i="6"/>
  <c r="E3652" i="6"/>
  <c r="E3651" i="6"/>
  <c r="E3650" i="6"/>
  <c r="E3649" i="6"/>
  <c r="K3643" i="6"/>
  <c r="K3641" i="6"/>
  <c r="K3640" i="6"/>
  <c r="K3639" i="6"/>
  <c r="E3636" i="6"/>
  <c r="E3635" i="6"/>
  <c r="E3634" i="6"/>
  <c r="E3633" i="6"/>
  <c r="K3627" i="6"/>
  <c r="K3625" i="6"/>
  <c r="K3624" i="6"/>
  <c r="K3621" i="6"/>
  <c r="E3619" i="6"/>
  <c r="E3618" i="6"/>
  <c r="E3617" i="6"/>
  <c r="E3616" i="6"/>
  <c r="E3615" i="6"/>
  <c r="E3614" i="6"/>
  <c r="E3613" i="6"/>
  <c r="E3612" i="6"/>
  <c r="E3599" i="6"/>
  <c r="E3598" i="6"/>
  <c r="E3597" i="6"/>
  <c r="E3591" i="6"/>
  <c r="E3590" i="6"/>
  <c r="E3589" i="6"/>
  <c r="E3583" i="6"/>
  <c r="E3582" i="6"/>
  <c r="E3581" i="6"/>
  <c r="E3575" i="6"/>
  <c r="E3574" i="6"/>
  <c r="E3573" i="6"/>
  <c r="E3567" i="6"/>
  <c r="E3566" i="6"/>
  <c r="E3565" i="6"/>
  <c r="E3559" i="6"/>
  <c r="E3558" i="6"/>
  <c r="E3557" i="6"/>
  <c r="E3551" i="6"/>
  <c r="E3550" i="6"/>
  <c r="E3549" i="6"/>
  <c r="E3548" i="6"/>
  <c r="E3547" i="6"/>
  <c r="E3546" i="6"/>
  <c r="E3545" i="6"/>
  <c r="E3544" i="6"/>
  <c r="E3533" i="6"/>
  <c r="E3532" i="6"/>
  <c r="E3531" i="6"/>
  <c r="E3530" i="6"/>
  <c r="E3529" i="6"/>
  <c r="E3528" i="6"/>
  <c r="E3527" i="6"/>
  <c r="E3526" i="6"/>
  <c r="E3519" i="6"/>
  <c r="E3518" i="6"/>
  <c r="K3514" i="6"/>
  <c r="K3513" i="6"/>
  <c r="K3512" i="6"/>
  <c r="K3510" i="6"/>
  <c r="K3509" i="6"/>
  <c r="K3508" i="6"/>
  <c r="K3506" i="6"/>
  <c r="E3504" i="6"/>
  <c r="E3492" i="6"/>
  <c r="E3491" i="6"/>
  <c r="E3490" i="6"/>
  <c r="E3489" i="6"/>
  <c r="E3488" i="6"/>
  <c r="E3468" i="6"/>
  <c r="E3461" i="6"/>
  <c r="K3456" i="6"/>
  <c r="K3454" i="6"/>
  <c r="K3453" i="6"/>
  <c r="E3451" i="6"/>
  <c r="E3450" i="6"/>
  <c r="E3440" i="6"/>
  <c r="E3439" i="6"/>
  <c r="E3438" i="6"/>
  <c r="K3431" i="6"/>
  <c r="E3429" i="6"/>
  <c r="E3421" i="6"/>
  <c r="E3420" i="6"/>
  <c r="K3420" i="6" s="1"/>
  <c r="E3419" i="6"/>
  <c r="E3418" i="6"/>
  <c r="E3417" i="6"/>
  <c r="E3416" i="6"/>
  <c r="K3410" i="6"/>
  <c r="E3408" i="6"/>
  <c r="E3395" i="6"/>
  <c r="E3394" i="6"/>
  <c r="K3378" i="6"/>
  <c r="E3376" i="6"/>
  <c r="E3355" i="6"/>
  <c r="E3354" i="6"/>
  <c r="E3353" i="6"/>
  <c r="E3352" i="6"/>
  <c r="K3331" i="6"/>
  <c r="K3330" i="6"/>
  <c r="K3329" i="6"/>
  <c r="E3327" i="6"/>
  <c r="E3326" i="6"/>
  <c r="E3325" i="6"/>
  <c r="K3309" i="6"/>
  <c r="E3307" i="6"/>
  <c r="E3306" i="6"/>
  <c r="E3295" i="6"/>
  <c r="E3294" i="6"/>
  <c r="E3284" i="6"/>
  <c r="E3273" i="6"/>
  <c r="E3260" i="6"/>
  <c r="E3247" i="6"/>
  <c r="E3246" i="6"/>
  <c r="E3245" i="6"/>
  <c r="E3233" i="6"/>
  <c r="K3223" i="6"/>
  <c r="K3222" i="6"/>
  <c r="E3220" i="6"/>
  <c r="E3208" i="6"/>
  <c r="K3195" i="6"/>
  <c r="E3193" i="6"/>
  <c r="K3183" i="6"/>
  <c r="K3182" i="6"/>
  <c r="E3180" i="6"/>
  <c r="K3166" i="6"/>
  <c r="E3164" i="6"/>
  <c r="E3163" i="6"/>
  <c r="E3162" i="6"/>
  <c r="E3161" i="6"/>
  <c r="K3146" i="6"/>
  <c r="E3144" i="6"/>
  <c r="E3143" i="6"/>
  <c r="E3142" i="6"/>
  <c r="E3141" i="6"/>
  <c r="E3140" i="6"/>
  <c r="E3115" i="6"/>
  <c r="E3114" i="6"/>
  <c r="E3113" i="6"/>
  <c r="E3099" i="6"/>
  <c r="E3098" i="6"/>
  <c r="E3097" i="6"/>
  <c r="E3055" i="6"/>
  <c r="E3054" i="6"/>
  <c r="E4468" i="6"/>
  <c r="E4467" i="6"/>
  <c r="E4466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04" i="6"/>
  <c r="E4403" i="6"/>
  <c r="E4402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12" i="6"/>
  <c r="E4311" i="6"/>
  <c r="E4310" i="6"/>
  <c r="E4286" i="6"/>
  <c r="E4285" i="6"/>
  <c r="E4284" i="6"/>
  <c r="E4283" i="6"/>
  <c r="E4282" i="6"/>
  <c r="E4281" i="6"/>
  <c r="E4280" i="6"/>
  <c r="E4279" i="6"/>
  <c r="E4278" i="6"/>
  <c r="E4263" i="6"/>
  <c r="E4262" i="6"/>
  <c r="E4256" i="6"/>
  <c r="E4255" i="6"/>
  <c r="E4254" i="6"/>
  <c r="E4253" i="6"/>
  <c r="E4244" i="6"/>
  <c r="E4243" i="6"/>
  <c r="E4242" i="6"/>
  <c r="E4233" i="6"/>
  <c r="E4232" i="6"/>
  <c r="E4231" i="6"/>
  <c r="E4221" i="6"/>
  <c r="E4220" i="6"/>
  <c r="E4219" i="6"/>
  <c r="E4218" i="6"/>
  <c r="E4217" i="6"/>
  <c r="E4216" i="6"/>
  <c r="E4215" i="6"/>
  <c r="E4214" i="6"/>
  <c r="E4213" i="6"/>
  <c r="E4212" i="6"/>
  <c r="E4211" i="6"/>
  <c r="E4201" i="6"/>
  <c r="K4195" i="6"/>
  <c r="E4190" i="6"/>
  <c r="K4190" i="6" s="1"/>
  <c r="E4189" i="6"/>
  <c r="E4188" i="6"/>
  <c r="E4175" i="6"/>
  <c r="K4175" i="6" s="1"/>
  <c r="E4174" i="6"/>
  <c r="K4166" i="6"/>
  <c r="E4161" i="6"/>
  <c r="E4148" i="6"/>
  <c r="K4148" i="6" s="1"/>
  <c r="E4147" i="6"/>
  <c r="K4147" i="6" s="1"/>
  <c r="E4146" i="6"/>
  <c r="E4145" i="6"/>
  <c r="E4144" i="6"/>
  <c r="E4143" i="6"/>
  <c r="E4142" i="6"/>
  <c r="E4141" i="6"/>
  <c r="E4140" i="6"/>
  <c r="K4136" i="6"/>
  <c r="E4133" i="6"/>
  <c r="E4132" i="6"/>
  <c r="E4131" i="6"/>
  <c r="E4130" i="6"/>
  <c r="K4124" i="6"/>
  <c r="E4120" i="6"/>
  <c r="E4103" i="6"/>
  <c r="E4102" i="6"/>
  <c r="K4102" i="6" s="1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K4067" i="6"/>
  <c r="E4063" i="6"/>
  <c r="E4062" i="6"/>
  <c r="E4061" i="6"/>
  <c r="K4056" i="6"/>
  <c r="K4055" i="6"/>
  <c r="K4053" i="6"/>
  <c r="K4046" i="6"/>
  <c r="K4042" i="6"/>
  <c r="K4041" i="6"/>
  <c r="K4040" i="6"/>
  <c r="E4036" i="6"/>
  <c r="E4035" i="6"/>
  <c r="E4034" i="6"/>
  <c r="E4033" i="6"/>
  <c r="K4029" i="6"/>
  <c r="K4026" i="6"/>
  <c r="E4024" i="6"/>
  <c r="E4023" i="6"/>
  <c r="E4022" i="6"/>
  <c r="E4021" i="6"/>
  <c r="E4000" i="6"/>
  <c r="K4000" i="6" s="1"/>
  <c r="E3999" i="6"/>
  <c r="E3998" i="6"/>
  <c r="E3997" i="6"/>
  <c r="K3993" i="6"/>
  <c r="K3992" i="6"/>
  <c r="K3991" i="6"/>
  <c r="K3990" i="6"/>
  <c r="E3988" i="6"/>
  <c r="E3987" i="6"/>
  <c r="E3986" i="6"/>
  <c r="K3981" i="6"/>
  <c r="K3979" i="6"/>
  <c r="K3978" i="6"/>
  <c r="E3976" i="6"/>
  <c r="E3975" i="6"/>
  <c r="E3974" i="6"/>
  <c r="E3973" i="6"/>
  <c r="E3972" i="6"/>
  <c r="E3971" i="6"/>
  <c r="E3970" i="6"/>
  <c r="E3969" i="6"/>
  <c r="E3968" i="6"/>
  <c r="E3967" i="6"/>
  <c r="E3966" i="6"/>
  <c r="E3948" i="6"/>
  <c r="E3947" i="6"/>
  <c r="E3946" i="6"/>
  <c r="E3945" i="6"/>
  <c r="K3945" i="6" s="1"/>
  <c r="K3938" i="6"/>
  <c r="K3937" i="6"/>
  <c r="E3932" i="6"/>
  <c r="E3931" i="6"/>
  <c r="E3930" i="6"/>
  <c r="E3929" i="6"/>
  <c r="E3928" i="6"/>
  <c r="E3927" i="6"/>
  <c r="E3926" i="6"/>
  <c r="E3925" i="6"/>
  <c r="K3925" i="6" s="1"/>
  <c r="K3921" i="6"/>
  <c r="K3920" i="6"/>
  <c r="E3917" i="6"/>
  <c r="E3916" i="6"/>
  <c r="K3916" i="6" s="1"/>
  <c r="E3905" i="6"/>
  <c r="E3904" i="6"/>
  <c r="E3893" i="6"/>
  <c r="E3892" i="6"/>
  <c r="K3892" i="6" s="1"/>
  <c r="K3888" i="6"/>
  <c r="K3886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K3872" i="6" s="1"/>
  <c r="K3864" i="6"/>
  <c r="K3862" i="6"/>
  <c r="K3858" i="6"/>
  <c r="E3855" i="6"/>
  <c r="E3854" i="6"/>
  <c r="E3853" i="6"/>
  <c r="E3852" i="6"/>
  <c r="E3732" i="6"/>
  <c r="E3731" i="6"/>
  <c r="E3730" i="6"/>
  <c r="E3729" i="6"/>
  <c r="E3728" i="6"/>
  <c r="E3727" i="6"/>
  <c r="E3726" i="6"/>
  <c r="E3725" i="6"/>
  <c r="E3724" i="6"/>
  <c r="K3700" i="6"/>
  <c r="K3697" i="6"/>
  <c r="E3695" i="6"/>
  <c r="E3694" i="6"/>
  <c r="E3693" i="6"/>
  <c r="E3692" i="6"/>
  <c r="E3671" i="6"/>
  <c r="E3670" i="6"/>
  <c r="E3669" i="6"/>
  <c r="K3669" i="6" s="1"/>
  <c r="K3665" i="6"/>
  <c r="E3663" i="6"/>
  <c r="E3662" i="6"/>
  <c r="E3661" i="6"/>
  <c r="E3660" i="6"/>
  <c r="K3649" i="6"/>
  <c r="E3647" i="6"/>
  <c r="E3646" i="6"/>
  <c r="E3645" i="6"/>
  <c r="E3644" i="6"/>
  <c r="E3631" i="6"/>
  <c r="E3630" i="6"/>
  <c r="E3629" i="6"/>
  <c r="E3628" i="6"/>
  <c r="E3607" i="6"/>
  <c r="E3606" i="6"/>
  <c r="E3605" i="6"/>
  <c r="E3604" i="6"/>
  <c r="E3603" i="6"/>
  <c r="E3602" i="6"/>
  <c r="E3601" i="6"/>
  <c r="K3597" i="6"/>
  <c r="E3595" i="6"/>
  <c r="E3594" i="6"/>
  <c r="E3593" i="6"/>
  <c r="E3587" i="6"/>
  <c r="E3586" i="6"/>
  <c r="E3585" i="6"/>
  <c r="K3581" i="6"/>
  <c r="E3579" i="6"/>
  <c r="E3578" i="6"/>
  <c r="E3577" i="6"/>
  <c r="E3571" i="6"/>
  <c r="E3570" i="6"/>
  <c r="E3569" i="6"/>
  <c r="K3569" i="6" s="1"/>
  <c r="K3565" i="6"/>
  <c r="E3563" i="6"/>
  <c r="E3562" i="6"/>
  <c r="E3561" i="6"/>
  <c r="K3557" i="6"/>
  <c r="E3555" i="6"/>
  <c r="E3554" i="6"/>
  <c r="E3553" i="6"/>
  <c r="K3544" i="6"/>
  <c r="E3539" i="6"/>
  <c r="E3538" i="6"/>
  <c r="E3537" i="6"/>
  <c r="E3536" i="6"/>
  <c r="K3526" i="6"/>
  <c r="K3524" i="6"/>
  <c r="K3523" i="6"/>
  <c r="E3521" i="6"/>
  <c r="E3516" i="6"/>
  <c r="K3516" i="6" s="1"/>
  <c r="E3499" i="6"/>
  <c r="E3498" i="6"/>
  <c r="E3497" i="6"/>
  <c r="E3496" i="6"/>
  <c r="E3495" i="6"/>
  <c r="E3494" i="6"/>
  <c r="K3486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K3467" i="6"/>
  <c r="E3464" i="6"/>
  <c r="K3461" i="6"/>
  <c r="K3460" i="6"/>
  <c r="E3457" i="6"/>
  <c r="K3450" i="6"/>
  <c r="E3448" i="6"/>
  <c r="E3447" i="6"/>
  <c r="E3446" i="6"/>
  <c r="E3445" i="6"/>
  <c r="E3444" i="6"/>
  <c r="E3443" i="6"/>
  <c r="E3442" i="6"/>
  <c r="E3436" i="6"/>
  <c r="E3435" i="6"/>
  <c r="E3434" i="6"/>
  <c r="E3433" i="6"/>
  <c r="E3432" i="6"/>
  <c r="K3432" i="6" s="1"/>
  <c r="K3429" i="6"/>
  <c r="K3428" i="6"/>
  <c r="E3425" i="6"/>
  <c r="E3401" i="6"/>
  <c r="K3387" i="6"/>
  <c r="E3385" i="6"/>
  <c r="E3384" i="6"/>
  <c r="E3367" i="6"/>
  <c r="E3366" i="6"/>
  <c r="E3365" i="6"/>
  <c r="E3364" i="6"/>
  <c r="K3343" i="6"/>
  <c r="K3342" i="6"/>
  <c r="K3341" i="6"/>
  <c r="E3339" i="6"/>
  <c r="E3338" i="6"/>
  <c r="E3337" i="6"/>
  <c r="K3319" i="6"/>
  <c r="K3318" i="6"/>
  <c r="E3316" i="6"/>
  <c r="E3301" i="6"/>
  <c r="K3291" i="6"/>
  <c r="E3289" i="6"/>
  <c r="E3279" i="6"/>
  <c r="E3278" i="6"/>
  <c r="E3267" i="6"/>
  <c r="E3266" i="6"/>
  <c r="E3265" i="6"/>
  <c r="K3255" i="6"/>
  <c r="E3253" i="6"/>
  <c r="E3252" i="6"/>
  <c r="E3239" i="6"/>
  <c r="E3238" i="6"/>
  <c r="E3227" i="6"/>
  <c r="E3226" i="6"/>
  <c r="E3215" i="6"/>
  <c r="E3214" i="6"/>
  <c r="E3213" i="6"/>
  <c r="K3203" i="6"/>
  <c r="K3202" i="6"/>
  <c r="E3200" i="6"/>
  <c r="E3187" i="6"/>
  <c r="E3186" i="6"/>
  <c r="E3172" i="6"/>
  <c r="E3156" i="6"/>
  <c r="E3155" i="6"/>
  <c r="E3154" i="6"/>
  <c r="E3127" i="6"/>
  <c r="E3126" i="6"/>
  <c r="E3125" i="6"/>
  <c r="E3124" i="6"/>
  <c r="K3112" i="6"/>
  <c r="E3107" i="6"/>
  <c r="E3106" i="6"/>
  <c r="E3105" i="6"/>
  <c r="K3044" i="6"/>
  <c r="E3041" i="6"/>
  <c r="E3040" i="6"/>
  <c r="E3039" i="6"/>
  <c r="E3038" i="6"/>
  <c r="E3393" i="6"/>
  <c r="K3393" i="6" s="1"/>
  <c r="E3392" i="6"/>
  <c r="E3383" i="6"/>
  <c r="E3382" i="6"/>
  <c r="E3375" i="6"/>
  <c r="E3374" i="6"/>
  <c r="E3373" i="6"/>
  <c r="E3372" i="6"/>
  <c r="K3366" i="6"/>
  <c r="K3365" i="6"/>
  <c r="E3363" i="6"/>
  <c r="E3362" i="6"/>
  <c r="E3361" i="6"/>
  <c r="E3360" i="6"/>
  <c r="E3351" i="6"/>
  <c r="E3350" i="6"/>
  <c r="E3349" i="6"/>
  <c r="K3349" i="6" s="1"/>
  <c r="E3348" i="6"/>
  <c r="E3336" i="6"/>
  <c r="E3324" i="6"/>
  <c r="K3317" i="6"/>
  <c r="E3315" i="6"/>
  <c r="E3314" i="6"/>
  <c r="E3305" i="6"/>
  <c r="E3300" i="6"/>
  <c r="E3299" i="6"/>
  <c r="E3298" i="6"/>
  <c r="E3293" i="6"/>
  <c r="E3288" i="6"/>
  <c r="K3288" i="6" s="1"/>
  <c r="E3283" i="6"/>
  <c r="E3282" i="6"/>
  <c r="E3277" i="6"/>
  <c r="K3277" i="6" s="1"/>
  <c r="E3272" i="6"/>
  <c r="K3272" i="6" s="1"/>
  <c r="E3264" i="6"/>
  <c r="E3259" i="6"/>
  <c r="E3258" i="6"/>
  <c r="E3257" i="6"/>
  <c r="E3251" i="6"/>
  <c r="E3250" i="6"/>
  <c r="E3244" i="6"/>
  <c r="K3244" i="6" s="1"/>
  <c r="E3237" i="6"/>
  <c r="E3232" i="6"/>
  <c r="E3225" i="6"/>
  <c r="E3219" i="6"/>
  <c r="E3218" i="6"/>
  <c r="K3218" i="6" s="1"/>
  <c r="E3212" i="6"/>
  <c r="E3207" i="6"/>
  <c r="E3206" i="6"/>
  <c r="E3205" i="6"/>
  <c r="E3199" i="6"/>
  <c r="E3198" i="6"/>
  <c r="E3197" i="6"/>
  <c r="K3197" i="6" s="1"/>
  <c r="E3192" i="6"/>
  <c r="E3185" i="6"/>
  <c r="E3179" i="6"/>
  <c r="E3178" i="6"/>
  <c r="E3177" i="6"/>
  <c r="E3171" i="6"/>
  <c r="E3170" i="6"/>
  <c r="K3162" i="6"/>
  <c r="E3160" i="6"/>
  <c r="E3153" i="6"/>
  <c r="E3152" i="6"/>
  <c r="K3144" i="6"/>
  <c r="E3139" i="6"/>
  <c r="E3138" i="6"/>
  <c r="E3137" i="6"/>
  <c r="E3136" i="6"/>
  <c r="K3125" i="6"/>
  <c r="E3123" i="6"/>
  <c r="E3122" i="6"/>
  <c r="E3121" i="6"/>
  <c r="E3120" i="6"/>
  <c r="E3112" i="6"/>
  <c r="E3104" i="6"/>
  <c r="K3100" i="6"/>
  <c r="E309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53" i="6"/>
  <c r="E3052" i="6"/>
  <c r="E3051" i="6"/>
  <c r="E3050" i="6"/>
  <c r="E3021" i="6"/>
  <c r="E3020" i="6"/>
  <c r="E3019" i="6"/>
  <c r="E3018" i="6"/>
  <c r="K3415" i="6"/>
  <c r="E3413" i="6"/>
  <c r="E3407" i="6"/>
  <c r="E3406" i="6"/>
  <c r="E3405" i="6"/>
  <c r="E3404" i="6"/>
  <c r="K3401" i="6"/>
  <c r="E3399" i="6"/>
  <c r="E3398" i="6"/>
  <c r="E3397" i="6"/>
  <c r="E3391" i="6"/>
  <c r="E3390" i="6"/>
  <c r="E3389" i="6"/>
  <c r="E3388" i="6"/>
  <c r="K3384" i="6"/>
  <c r="E3381" i="6"/>
  <c r="E3380" i="6"/>
  <c r="E3371" i="6"/>
  <c r="E3370" i="6"/>
  <c r="E3369" i="6"/>
  <c r="K3369" i="6" s="1"/>
  <c r="E3359" i="6"/>
  <c r="E3358" i="6"/>
  <c r="E3357" i="6"/>
  <c r="K3352" i="6"/>
  <c r="K3350" i="6"/>
  <c r="E3347" i="6"/>
  <c r="E3346" i="6"/>
  <c r="E3345" i="6"/>
  <c r="E3344" i="6"/>
  <c r="K3337" i="6"/>
  <c r="E3335" i="6"/>
  <c r="E3334" i="6"/>
  <c r="E3333" i="6"/>
  <c r="E3332" i="6"/>
  <c r="E3323" i="6"/>
  <c r="E3322" i="6"/>
  <c r="E3321" i="6"/>
  <c r="E3320" i="6"/>
  <c r="E3313" i="6"/>
  <c r="E3312" i="6"/>
  <c r="E3311" i="6"/>
  <c r="E3310" i="6"/>
  <c r="K3310" i="6" s="1"/>
  <c r="E3304" i="6"/>
  <c r="K3304" i="6" s="1"/>
  <c r="K3301" i="6"/>
  <c r="K3300" i="6"/>
  <c r="K3299" i="6"/>
  <c r="E3297" i="6"/>
  <c r="K3297" i="6" s="1"/>
  <c r="E3292" i="6"/>
  <c r="E3287" i="6"/>
  <c r="E3286" i="6"/>
  <c r="K3286" i="6" s="1"/>
  <c r="E3281" i="6"/>
  <c r="E3276" i="6"/>
  <c r="K3273" i="6"/>
  <c r="E3271" i="6"/>
  <c r="E3270" i="6"/>
  <c r="E3269" i="6"/>
  <c r="E3263" i="6"/>
  <c r="E3262" i="6"/>
  <c r="K3262" i="6" s="1"/>
  <c r="K3258" i="6"/>
  <c r="E3256" i="6"/>
  <c r="K3252" i="6"/>
  <c r="E3249" i="6"/>
  <c r="K3245" i="6"/>
  <c r="E3243" i="6"/>
  <c r="E3242" i="6"/>
  <c r="E3241" i="6"/>
  <c r="K3241" i="6" s="1"/>
  <c r="K3238" i="6"/>
  <c r="E3236" i="6"/>
  <c r="E3231" i="6"/>
  <c r="E3230" i="6"/>
  <c r="K3230" i="6" s="1"/>
  <c r="E3229" i="6"/>
  <c r="K3226" i="6"/>
  <c r="E3224" i="6"/>
  <c r="E3217" i="6"/>
  <c r="E3211" i="6"/>
  <c r="E3210" i="6"/>
  <c r="K3208" i="6"/>
  <c r="E3204" i="6"/>
  <c r="E3196" i="6"/>
  <c r="E3191" i="6"/>
  <c r="E3190" i="6"/>
  <c r="E3189" i="6"/>
  <c r="K3189" i="6" s="1"/>
  <c r="K3186" i="6"/>
  <c r="E3184" i="6"/>
  <c r="K3180" i="6"/>
  <c r="K3178" i="6"/>
  <c r="E3176" i="6"/>
  <c r="E3169" i="6"/>
  <c r="E3168" i="6"/>
  <c r="E3159" i="6"/>
  <c r="E3158" i="6"/>
  <c r="K3158" i="6" s="1"/>
  <c r="E3151" i="6"/>
  <c r="E3150" i="6"/>
  <c r="E3149" i="6"/>
  <c r="K3149" i="6" s="1"/>
  <c r="E3135" i="6"/>
  <c r="E3134" i="6"/>
  <c r="E3133" i="6"/>
  <c r="E3132" i="6"/>
  <c r="K3132" i="6" s="1"/>
  <c r="E3119" i="6"/>
  <c r="E3118" i="6"/>
  <c r="E3117" i="6"/>
  <c r="E3111" i="6"/>
  <c r="E3110" i="6"/>
  <c r="E3109" i="6"/>
  <c r="E3103" i="6"/>
  <c r="E3102" i="6"/>
  <c r="E3101" i="6"/>
  <c r="E3095" i="6"/>
  <c r="E3094" i="6"/>
  <c r="E3093" i="6"/>
  <c r="E3061" i="6"/>
  <c r="E3060" i="6"/>
  <c r="K3032" i="6"/>
  <c r="E3029" i="6"/>
  <c r="E3028" i="6"/>
  <c r="E3017" i="6"/>
  <c r="E3016" i="6"/>
  <c r="E3015" i="6"/>
  <c r="E3014" i="6"/>
  <c r="E3091" i="6"/>
  <c r="E3090" i="6"/>
  <c r="E3089" i="6"/>
  <c r="E3088" i="6"/>
  <c r="E3087" i="6"/>
  <c r="E3086" i="6"/>
  <c r="E3085" i="6"/>
  <c r="E3084" i="6"/>
  <c r="E3059" i="6"/>
  <c r="E3058" i="6"/>
  <c r="K3051" i="6"/>
  <c r="E3049" i="6"/>
  <c r="E3048" i="6"/>
  <c r="E3037" i="6"/>
  <c r="E3036" i="6"/>
  <c r="E3035" i="6"/>
  <c r="E3034" i="6"/>
  <c r="E3025" i="6"/>
  <c r="E3024" i="6"/>
  <c r="E3013" i="6"/>
  <c r="E3012" i="6"/>
  <c r="E3011" i="6"/>
  <c r="E3010" i="6"/>
  <c r="L100" i="6"/>
  <c r="N100" i="6" s="1"/>
  <c r="K172" i="6"/>
  <c r="M172" i="6" s="1"/>
  <c r="K256" i="6"/>
  <c r="M256" i="6" s="1"/>
  <c r="K248" i="6"/>
  <c r="M248" i="6" s="1"/>
  <c r="K244" i="6"/>
  <c r="M244" i="6" s="1"/>
  <c r="K240" i="6"/>
  <c r="M240" i="6" s="1"/>
  <c r="K232" i="6"/>
  <c r="M232" i="6" s="1"/>
  <c r="K228" i="6"/>
  <c r="M228" i="6" s="1"/>
  <c r="K224" i="6"/>
  <c r="M224" i="6" s="1"/>
  <c r="K216" i="6"/>
  <c r="M216" i="6" s="1"/>
  <c r="K212" i="6"/>
  <c r="M212" i="6" s="1"/>
  <c r="K208" i="6"/>
  <c r="M208" i="6" s="1"/>
  <c r="K200" i="6"/>
  <c r="M200" i="6" s="1"/>
  <c r="K196" i="6"/>
  <c r="M196" i="6" s="1"/>
  <c r="K192" i="6"/>
  <c r="M192" i="6" s="1"/>
  <c r="K184" i="6"/>
  <c r="M184" i="6" s="1"/>
  <c r="K180" i="6"/>
  <c r="K176" i="6"/>
  <c r="M176" i="6" s="1"/>
  <c r="K168" i="6"/>
  <c r="K164" i="6"/>
  <c r="M164" i="6" s="1"/>
  <c r="K160" i="6"/>
  <c r="M160" i="6" s="1"/>
  <c r="K156" i="6"/>
  <c r="M156" i="6" s="1"/>
  <c r="K152" i="6"/>
  <c r="M152" i="6" s="1"/>
  <c r="K148" i="6"/>
  <c r="M148" i="6" s="1"/>
  <c r="K140" i="6"/>
  <c r="M140" i="6" s="1"/>
  <c r="K136" i="6"/>
  <c r="M136" i="6" s="1"/>
  <c r="K132" i="6"/>
  <c r="M132" i="6" s="1"/>
  <c r="K124" i="6"/>
  <c r="M124" i="6" s="1"/>
  <c r="K120" i="6"/>
  <c r="M120" i="6" s="1"/>
  <c r="K116" i="6"/>
  <c r="M116" i="6" s="1"/>
  <c r="K108" i="6"/>
  <c r="M108" i="6" s="1"/>
  <c r="K104" i="6"/>
  <c r="M104" i="6" s="1"/>
  <c r="K96" i="6"/>
  <c r="M96" i="6" s="1"/>
  <c r="K92" i="6"/>
  <c r="M92" i="6" s="1"/>
  <c r="L204" i="6"/>
  <c r="N204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L222" i="6" s="1"/>
  <c r="N222" i="6" s="1"/>
  <c r="E218" i="6"/>
  <c r="L218" i="6" s="1"/>
  <c r="N218" i="6" s="1"/>
  <c r="E214" i="6"/>
  <c r="L214" i="6" s="1"/>
  <c r="N214" i="6" s="1"/>
  <c r="E210" i="6"/>
  <c r="L210" i="6" s="1"/>
  <c r="N210" i="6" s="1"/>
  <c r="E206" i="6"/>
  <c r="L206" i="6" s="1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L158" i="6" s="1"/>
  <c r="E154" i="6"/>
  <c r="L154" i="6" s="1"/>
  <c r="E150" i="6"/>
  <c r="L150" i="6" s="1"/>
  <c r="E146" i="6"/>
  <c r="L146" i="6" s="1"/>
  <c r="E142" i="6"/>
  <c r="L142" i="6" s="1"/>
  <c r="E138" i="6"/>
  <c r="L138" i="6" s="1"/>
  <c r="E134" i="6"/>
  <c r="L134" i="6" s="1"/>
  <c r="E130" i="6"/>
  <c r="L130" i="6" s="1"/>
  <c r="E126" i="6"/>
  <c r="L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L94" i="6" s="1"/>
  <c r="N94" i="6" s="1"/>
  <c r="E90" i="6"/>
  <c r="L90" i="6" s="1"/>
  <c r="E86" i="6"/>
  <c r="L86" i="6" s="1"/>
  <c r="E82" i="6"/>
  <c r="L82" i="6" s="1"/>
  <c r="E78" i="6"/>
  <c r="L78" i="6" s="1"/>
  <c r="E74" i="6"/>
  <c r="L74" i="6" s="1"/>
  <c r="E70" i="6"/>
  <c r="L70" i="6" s="1"/>
  <c r="N70" i="6" s="1"/>
  <c r="E66" i="6"/>
  <c r="L66" i="6" s="1"/>
  <c r="N66" i="6" s="1"/>
  <c r="E62" i="6"/>
  <c r="L62" i="6" s="1"/>
  <c r="N62" i="6" s="1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L30" i="6" s="1"/>
  <c r="E26" i="6"/>
  <c r="L26" i="6" s="1"/>
  <c r="N26" i="6" s="1"/>
  <c r="E22" i="6"/>
  <c r="L22" i="6" s="1"/>
  <c r="N22" i="6" s="1"/>
  <c r="E18" i="6"/>
  <c r="L18" i="6" s="1"/>
  <c r="E14" i="6"/>
  <c r="L14" i="6" s="1"/>
  <c r="E10" i="6"/>
  <c r="L10" i="6" s="1"/>
  <c r="N10" i="6" s="1"/>
  <c r="E6" i="6"/>
  <c r="L6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L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E49" i="6"/>
  <c r="L49" i="6" s="1"/>
  <c r="E45" i="6"/>
  <c r="L45" i="6" s="1"/>
  <c r="E41" i="6"/>
  <c r="L41" i="6" s="1"/>
  <c r="E37" i="6"/>
  <c r="L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E5" i="6"/>
  <c r="L5" i="6" s="1"/>
  <c r="E2" i="6"/>
  <c r="L2" i="6" s="1"/>
  <c r="K3227" i="6"/>
  <c r="N86" i="6"/>
  <c r="N82" i="6"/>
  <c r="N78" i="6"/>
  <c r="N74" i="6"/>
  <c r="K69" i="6"/>
  <c r="M69" i="6" s="1"/>
  <c r="N181" i="6"/>
  <c r="N149" i="6"/>
  <c r="N133" i="6"/>
  <c r="N117" i="6"/>
  <c r="N101" i="6"/>
  <c r="N77" i="6"/>
  <c r="N201" i="6"/>
  <c r="N185" i="6"/>
  <c r="N169" i="6"/>
  <c r="N153" i="6"/>
  <c r="N137" i="6"/>
  <c r="N121" i="6"/>
  <c r="N105" i="6"/>
  <c r="N89" i="6"/>
  <c r="N73" i="6"/>
  <c r="N41" i="6"/>
  <c r="N37" i="6"/>
  <c r="N25" i="6"/>
  <c r="N21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52" i="6"/>
  <c r="M52" i="6" s="1"/>
  <c r="N150" i="6"/>
  <c r="N166" i="6"/>
  <c r="N170" i="6"/>
  <c r="N182" i="6"/>
  <c r="N190" i="6"/>
  <c r="N206" i="6"/>
  <c r="K3251" i="6"/>
  <c r="N57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74" i="6"/>
  <c r="M74" i="6" s="1"/>
  <c r="N90" i="6"/>
  <c r="N102" i="6"/>
  <c r="N106" i="6"/>
  <c r="N110" i="6"/>
  <c r="N118" i="6"/>
  <c r="N122" i="6"/>
  <c r="N126" i="6"/>
  <c r="N134" i="6"/>
  <c r="N138" i="6"/>
  <c r="N142" i="6"/>
  <c r="N154" i="6"/>
  <c r="N158" i="6"/>
  <c r="N174" i="6"/>
  <c r="N186" i="6"/>
  <c r="N198" i="6"/>
  <c r="N202" i="6"/>
  <c r="M180" i="6"/>
  <c r="M168" i="6"/>
  <c r="K3759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M398" i="6" s="1"/>
  <c r="K394" i="6"/>
  <c r="M394" i="6" s="1"/>
  <c r="K390" i="6"/>
  <c r="M390" i="6" s="1"/>
  <c r="K386" i="6"/>
  <c r="M386" i="6" s="1"/>
  <c r="K382" i="6"/>
  <c r="M382" i="6" s="1"/>
  <c r="K378" i="6"/>
  <c r="M378" i="6" s="1"/>
  <c r="K374" i="6"/>
  <c r="M374" i="6" s="1"/>
  <c r="K370" i="6"/>
  <c r="M370" i="6" s="1"/>
  <c r="K366" i="6"/>
  <c r="M366" i="6" s="1"/>
  <c r="K362" i="6"/>
  <c r="M362" i="6" s="1"/>
  <c r="K358" i="6"/>
  <c r="M358" i="6" s="1"/>
  <c r="K354" i="6"/>
  <c r="M354" i="6" s="1"/>
  <c r="K350" i="6"/>
  <c r="M350" i="6" s="1"/>
  <c r="M8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2" i="6"/>
  <c r="M62" i="6" s="1"/>
  <c r="K431" i="6"/>
  <c r="K427" i="6"/>
  <c r="K423" i="6"/>
  <c r="K419" i="6"/>
  <c r="K415" i="6"/>
  <c r="K411" i="6"/>
  <c r="K407" i="6"/>
  <c r="K403" i="6"/>
  <c r="K399" i="6"/>
  <c r="M399" i="6" s="1"/>
  <c r="K395" i="6"/>
  <c r="M395" i="6" s="1"/>
  <c r="K391" i="6"/>
  <c r="M391" i="6" s="1"/>
  <c r="K387" i="6"/>
  <c r="M387" i="6" s="1"/>
  <c r="K383" i="6"/>
  <c r="M383" i="6" s="1"/>
  <c r="K379" i="6"/>
  <c r="M379" i="6" s="1"/>
  <c r="K375" i="6"/>
  <c r="M375" i="6" s="1"/>
  <c r="K371" i="6"/>
  <c r="M371" i="6" s="1"/>
  <c r="K367" i="6"/>
  <c r="M367" i="6" s="1"/>
  <c r="K363" i="6"/>
  <c r="M363" i="6" s="1"/>
  <c r="K359" i="6"/>
  <c r="M359" i="6" s="1"/>
  <c r="K355" i="6"/>
  <c r="M355" i="6" s="1"/>
  <c r="K351" i="6"/>
  <c r="M351" i="6" s="1"/>
  <c r="K347" i="6"/>
  <c r="M347" i="6" s="1"/>
  <c r="K343" i="6"/>
  <c r="M343" i="6" s="1"/>
  <c r="K339" i="6"/>
  <c r="M339" i="6" s="1"/>
  <c r="K335" i="6"/>
  <c r="M335" i="6" s="1"/>
  <c r="K331" i="6"/>
  <c r="M331" i="6" s="1"/>
  <c r="K327" i="6"/>
  <c r="M327" i="6" s="1"/>
  <c r="K323" i="6"/>
  <c r="M323" i="6" s="1"/>
  <c r="K319" i="6"/>
  <c r="M319" i="6" s="1"/>
  <c r="K315" i="6"/>
  <c r="M315" i="6" s="1"/>
  <c r="K311" i="6"/>
  <c r="M311" i="6" s="1"/>
  <c r="K307" i="6"/>
  <c r="M307" i="6" s="1"/>
  <c r="K303" i="6"/>
  <c r="M303" i="6" s="1"/>
  <c r="K299" i="6"/>
  <c r="M299" i="6" s="1"/>
  <c r="K295" i="6"/>
  <c r="M295" i="6" s="1"/>
  <c r="K291" i="6"/>
  <c r="M291" i="6" s="1"/>
  <c r="K287" i="6"/>
  <c r="M287" i="6" s="1"/>
  <c r="K283" i="6"/>
  <c r="M283" i="6" s="1"/>
  <c r="K279" i="6"/>
  <c r="M279" i="6" s="1"/>
  <c r="K275" i="6"/>
  <c r="M275" i="6" s="1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M199" i="6" s="1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M131" i="6" s="1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M346" i="6" s="1"/>
  <c r="K342" i="6"/>
  <c r="M342" i="6" s="1"/>
  <c r="K338" i="6"/>
  <c r="M338" i="6" s="1"/>
  <c r="K334" i="6"/>
  <c r="M334" i="6" s="1"/>
  <c r="K330" i="6"/>
  <c r="M330" i="6" s="1"/>
  <c r="K326" i="6"/>
  <c r="M326" i="6" s="1"/>
  <c r="K322" i="6"/>
  <c r="M322" i="6" s="1"/>
  <c r="K318" i="6"/>
  <c r="M318" i="6" s="1"/>
  <c r="K314" i="6"/>
  <c r="M314" i="6" s="1"/>
  <c r="K310" i="6"/>
  <c r="M310" i="6" s="1"/>
  <c r="K306" i="6"/>
  <c r="M306" i="6" s="1"/>
  <c r="K302" i="6"/>
  <c r="M302" i="6" s="1"/>
  <c r="K298" i="6"/>
  <c r="M298" i="6" s="1"/>
  <c r="K294" i="6"/>
  <c r="M294" i="6" s="1"/>
  <c r="K290" i="6"/>
  <c r="M290" i="6" s="1"/>
  <c r="K286" i="6"/>
  <c r="M286" i="6" s="1"/>
  <c r="K282" i="6"/>
  <c r="M282" i="6" s="1"/>
  <c r="K278" i="6"/>
  <c r="M278" i="6" s="1"/>
  <c r="K274" i="6"/>
  <c r="M274" i="6" s="1"/>
  <c r="K270" i="6"/>
  <c r="M270" i="6" s="1"/>
  <c r="K266" i="6"/>
  <c r="M266" i="6" s="1"/>
  <c r="K262" i="6"/>
  <c r="M262" i="6" s="1"/>
  <c r="K254" i="6"/>
  <c r="M254" i="6" s="1"/>
  <c r="K250" i="6"/>
  <c r="M250" i="6" s="1"/>
  <c r="K246" i="6"/>
  <c r="M246" i="6" s="1"/>
  <c r="K238" i="6"/>
  <c r="M238" i="6" s="1"/>
  <c r="K234" i="6"/>
  <c r="M234" i="6" s="1"/>
  <c r="K230" i="6"/>
  <c r="M230" i="6" s="1"/>
  <c r="K222" i="6"/>
  <c r="M222" i="6" s="1"/>
  <c r="K218" i="6"/>
  <c r="M218" i="6" s="1"/>
  <c r="K214" i="6"/>
  <c r="M214" i="6" s="1"/>
  <c r="K206" i="6"/>
  <c r="M206" i="6" s="1"/>
  <c r="K202" i="6"/>
  <c r="M202" i="6" s="1"/>
  <c r="K198" i="6"/>
  <c r="M198" i="6" s="1"/>
  <c r="K190" i="6"/>
  <c r="M190" i="6" s="1"/>
  <c r="K186" i="6"/>
  <c r="M186" i="6" s="1"/>
  <c r="K182" i="6"/>
  <c r="M182" i="6" s="1"/>
  <c r="K174" i="6"/>
  <c r="M174" i="6" s="1"/>
  <c r="K170" i="6"/>
  <c r="M170" i="6" s="1"/>
  <c r="K166" i="6"/>
  <c r="M166" i="6" s="1"/>
  <c r="K158" i="6"/>
  <c r="M158" i="6" s="1"/>
  <c r="K154" i="6"/>
  <c r="M154" i="6" s="1"/>
  <c r="K150" i="6"/>
  <c r="M150" i="6" s="1"/>
  <c r="K142" i="6"/>
  <c r="M142" i="6" s="1"/>
  <c r="K138" i="6"/>
  <c r="M138" i="6" s="1"/>
  <c r="K134" i="6"/>
  <c r="M134" i="6" s="1"/>
  <c r="K126" i="6"/>
  <c r="M126" i="6" s="1"/>
  <c r="K122" i="6"/>
  <c r="M122" i="6" s="1"/>
  <c r="K118" i="6"/>
  <c r="M118" i="6" s="1"/>
  <c r="K110" i="6"/>
  <c r="M110" i="6" s="1"/>
  <c r="K106" i="6"/>
  <c r="M106" i="6" s="1"/>
  <c r="K102" i="6"/>
  <c r="M102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K89" i="6"/>
  <c r="M89" i="6" s="1"/>
  <c r="K85" i="6"/>
  <c r="M85" i="6" s="1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55" i="6"/>
  <c r="M51" i="6"/>
  <c r="M47" i="6"/>
  <c r="K276" i="6" l="1"/>
  <c r="L276" i="6"/>
  <c r="N276" i="6" s="1"/>
  <c r="M276" i="6"/>
  <c r="K292" i="6"/>
  <c r="M292" i="6"/>
  <c r="L292" i="6"/>
  <c r="N292" i="6" s="1"/>
  <c r="K308" i="6"/>
  <c r="M308" i="6"/>
  <c r="L308" i="6"/>
  <c r="N308" i="6" s="1"/>
  <c r="K324" i="6"/>
  <c r="M324" i="6"/>
  <c r="L324" i="6"/>
  <c r="N324" i="6" s="1"/>
  <c r="K340" i="6"/>
  <c r="L340" i="6"/>
  <c r="N340" i="6" s="1"/>
  <c r="M340" i="6"/>
  <c r="K356" i="6"/>
  <c r="M356" i="6"/>
  <c r="L356" i="6"/>
  <c r="N356" i="6" s="1"/>
  <c r="K372" i="6"/>
  <c r="M372" i="6" s="1"/>
  <c r="L372" i="6"/>
  <c r="N372" i="6"/>
  <c r="K388" i="6"/>
  <c r="M388" i="6" s="1"/>
  <c r="L388" i="6"/>
  <c r="N388" i="6" s="1"/>
  <c r="L261" i="6"/>
  <c r="N261" i="6" s="1"/>
  <c r="L277" i="6"/>
  <c r="N277" i="6"/>
  <c r="L293" i="6"/>
  <c r="N293" i="6" s="1"/>
  <c r="L309" i="6"/>
  <c r="N309" i="6" s="1"/>
  <c r="L325" i="6"/>
  <c r="N325" i="6"/>
  <c r="L341" i="6"/>
  <c r="N341" i="6"/>
  <c r="L357" i="6"/>
  <c r="N357" i="6" s="1"/>
  <c r="L373" i="6"/>
  <c r="N373" i="6" s="1"/>
  <c r="L389" i="6"/>
  <c r="N389" i="6"/>
  <c r="K260" i="6"/>
  <c r="M260" i="6" s="1"/>
  <c r="K280" i="6"/>
  <c r="M280" i="6"/>
  <c r="L280" i="6"/>
  <c r="N280" i="6" s="1"/>
  <c r="L296" i="6"/>
  <c r="K296" i="6"/>
  <c r="M296" i="6" s="1"/>
  <c r="N296" i="6"/>
  <c r="K312" i="6"/>
  <c r="M312" i="6" s="1"/>
  <c r="L312" i="6"/>
  <c r="N312" i="6" s="1"/>
  <c r="L328" i="6"/>
  <c r="K328" i="6"/>
  <c r="M328" i="6" s="1"/>
  <c r="N328" i="6"/>
  <c r="K344" i="6"/>
  <c r="M344" i="6" s="1"/>
  <c r="L344" i="6"/>
  <c r="N344" i="6" s="1"/>
  <c r="L360" i="6"/>
  <c r="N360" i="6"/>
  <c r="K360" i="6"/>
  <c r="M360" i="6" s="1"/>
  <c r="K376" i="6"/>
  <c r="M376" i="6" s="1"/>
  <c r="L376" i="6"/>
  <c r="N376" i="6" s="1"/>
  <c r="K392" i="6"/>
  <c r="M392" i="6" s="1"/>
  <c r="L392" i="6"/>
  <c r="N392" i="6" s="1"/>
  <c r="M265" i="6"/>
  <c r="L265" i="6"/>
  <c r="N265" i="6" s="1"/>
  <c r="M281" i="6"/>
  <c r="L281" i="6"/>
  <c r="N281" i="6"/>
  <c r="M297" i="6"/>
  <c r="L297" i="6"/>
  <c r="N297" i="6" s="1"/>
  <c r="M313" i="6"/>
  <c r="L313" i="6"/>
  <c r="N313" i="6"/>
  <c r="M329" i="6"/>
  <c r="L329" i="6"/>
  <c r="N329" i="6" s="1"/>
  <c r="M345" i="6"/>
  <c r="L345" i="6"/>
  <c r="N345" i="6"/>
  <c r="M361" i="6"/>
  <c r="L361" i="6"/>
  <c r="N361" i="6" s="1"/>
  <c r="M377" i="6"/>
  <c r="L377" i="6"/>
  <c r="N377" i="6"/>
  <c r="M393" i="6"/>
  <c r="L393" i="6"/>
  <c r="N393" i="6" s="1"/>
  <c r="K264" i="6"/>
  <c r="M264" i="6" s="1"/>
  <c r="K269" i="6"/>
  <c r="M269" i="6" s="1"/>
  <c r="L188" i="6"/>
  <c r="N188" i="6" s="1"/>
  <c r="K188" i="6"/>
  <c r="M188" i="6" s="1"/>
  <c r="K236" i="6"/>
  <c r="M236" i="6" s="1"/>
  <c r="L236" i="6"/>
  <c r="N236" i="6" s="1"/>
  <c r="L268" i="6"/>
  <c r="N268" i="6" s="1"/>
  <c r="K268" i="6"/>
  <c r="M268" i="6" s="1"/>
  <c r="M284" i="6"/>
  <c r="K284" i="6"/>
  <c r="L284" i="6"/>
  <c r="N284" i="6" s="1"/>
  <c r="M300" i="6"/>
  <c r="K300" i="6"/>
  <c r="L300" i="6"/>
  <c r="N300" i="6" s="1"/>
  <c r="M316" i="6"/>
  <c r="K316" i="6"/>
  <c r="L316" i="6"/>
  <c r="N316" i="6" s="1"/>
  <c r="K332" i="6"/>
  <c r="M332" i="6" s="1"/>
  <c r="L332" i="6"/>
  <c r="N332" i="6" s="1"/>
  <c r="K348" i="6"/>
  <c r="M348" i="6" s="1"/>
  <c r="L348" i="6"/>
  <c r="N348" i="6" s="1"/>
  <c r="K364" i="6"/>
  <c r="M364" i="6" s="1"/>
  <c r="L364" i="6"/>
  <c r="N364" i="6" s="1"/>
  <c r="K380" i="6"/>
  <c r="M380" i="6" s="1"/>
  <c r="L380" i="6"/>
  <c r="N380" i="6" s="1"/>
  <c r="K396" i="6"/>
  <c r="M396" i="6" s="1"/>
  <c r="L396" i="6"/>
  <c r="N396" i="6" s="1"/>
  <c r="M285" i="6"/>
  <c r="L285" i="6"/>
  <c r="N285" i="6" s="1"/>
  <c r="M301" i="6"/>
  <c r="L301" i="6"/>
  <c r="N301" i="6"/>
  <c r="M317" i="6"/>
  <c r="L317" i="6"/>
  <c r="N317" i="6"/>
  <c r="M333" i="6"/>
  <c r="L333" i="6"/>
  <c r="N333" i="6" s="1"/>
  <c r="M349" i="6"/>
  <c r="L349" i="6"/>
  <c r="N349" i="6" s="1"/>
  <c r="M365" i="6"/>
  <c r="L365" i="6"/>
  <c r="N365" i="6"/>
  <c r="M381" i="6"/>
  <c r="L381" i="6"/>
  <c r="N381" i="6"/>
  <c r="L397" i="6"/>
  <c r="N397" i="6" s="1"/>
  <c r="M397" i="6"/>
  <c r="K272" i="6"/>
  <c r="M272" i="6" s="1"/>
  <c r="K273" i="6"/>
  <c r="M273" i="6" s="1"/>
  <c r="K128" i="6"/>
  <c r="M128" i="6" s="1"/>
  <c r="L128" i="6"/>
  <c r="N128" i="6" s="1"/>
  <c r="K288" i="6"/>
  <c r="M288" i="6"/>
  <c r="L288" i="6"/>
  <c r="N288" i="6" s="1"/>
  <c r="K304" i="6"/>
  <c r="M304" i="6"/>
  <c r="L304" i="6"/>
  <c r="N304" i="6" s="1"/>
  <c r="K320" i="6"/>
  <c r="M320" i="6"/>
  <c r="L320" i="6"/>
  <c r="N320" i="6" s="1"/>
  <c r="K336" i="6"/>
  <c r="M336" i="6"/>
  <c r="L336" i="6"/>
  <c r="N336" i="6" s="1"/>
  <c r="K352" i="6"/>
  <c r="M352" i="6" s="1"/>
  <c r="L352" i="6"/>
  <c r="N352" i="6" s="1"/>
  <c r="K368" i="6"/>
  <c r="M368" i="6" s="1"/>
  <c r="L368" i="6"/>
  <c r="N368" i="6" s="1"/>
  <c r="K384" i="6"/>
  <c r="M384" i="6" s="1"/>
  <c r="L384" i="6"/>
  <c r="N384" i="6" s="1"/>
  <c r="K400" i="6"/>
  <c r="M400" i="6" s="1"/>
  <c r="L400" i="6"/>
  <c r="N400" i="6" s="1"/>
  <c r="L289" i="6"/>
  <c r="N289" i="6" s="1"/>
  <c r="M289" i="6"/>
  <c r="L305" i="6"/>
  <c r="M305" i="6"/>
  <c r="N305" i="6"/>
  <c r="L321" i="6"/>
  <c r="N321" i="6" s="1"/>
  <c r="M321" i="6"/>
  <c r="L337" i="6"/>
  <c r="N337" i="6" s="1"/>
  <c r="M337" i="6"/>
  <c r="L353" i="6"/>
  <c r="N353" i="6" s="1"/>
  <c r="M353" i="6"/>
  <c r="L369" i="6"/>
  <c r="M369" i="6"/>
  <c r="N369" i="6"/>
  <c r="L385" i="6"/>
  <c r="N385" i="6" s="1"/>
  <c r="M385" i="6"/>
  <c r="L401" i="6"/>
  <c r="N401" i="6" s="1"/>
  <c r="M401" i="6"/>
  <c r="K261" i="6"/>
  <c r="M261" i="6" s="1"/>
  <c r="K277" i="6"/>
  <c r="M277" i="6" s="1"/>
  <c r="K293" i="6"/>
  <c r="M293" i="6" s="1"/>
  <c r="K309" i="6"/>
  <c r="M309" i="6" s="1"/>
  <c r="K325" i="6"/>
  <c r="M325" i="6" s="1"/>
  <c r="K341" i="6"/>
  <c r="M341" i="6" s="1"/>
  <c r="K357" i="6"/>
  <c r="M357" i="6" s="1"/>
  <c r="K373" i="6"/>
  <c r="M373" i="6" s="1"/>
  <c r="K389" i="6"/>
  <c r="M389" i="6" s="1"/>
  <c r="K45" i="6"/>
  <c r="M45" i="6" s="1"/>
  <c r="M3011" i="6"/>
  <c r="K3011" i="6"/>
  <c r="L3011" i="6"/>
  <c r="N3011" i="6"/>
  <c r="K3025" i="6"/>
  <c r="M3025" i="6"/>
  <c r="L3025" i="6"/>
  <c r="N3025" i="6"/>
  <c r="K3037" i="6"/>
  <c r="M3037" i="6"/>
  <c r="L3037" i="6"/>
  <c r="N3037" i="6"/>
  <c r="L3058" i="6"/>
  <c r="N3058" i="6"/>
  <c r="K3058" i="6"/>
  <c r="M3058" i="6"/>
  <c r="N3086" i="6"/>
  <c r="K3086" i="6"/>
  <c r="M3086" i="6"/>
  <c r="L3086" i="6"/>
  <c r="M3090" i="6"/>
  <c r="L3090" i="6"/>
  <c r="N3090" i="6"/>
  <c r="K3090" i="6"/>
  <c r="L3016" i="6"/>
  <c r="K3016" i="6"/>
  <c r="N3016" i="6"/>
  <c r="M3016" i="6"/>
  <c r="N3094" i="6"/>
  <c r="K3094" i="6"/>
  <c r="M3094" i="6"/>
  <c r="L3094" i="6"/>
  <c r="L3103" i="6"/>
  <c r="M3103" i="6"/>
  <c r="N3103" i="6"/>
  <c r="K3103" i="6"/>
  <c r="L3117" i="6"/>
  <c r="N3117" i="6"/>
  <c r="K3117" i="6"/>
  <c r="M3117" i="6"/>
  <c r="N3133" i="6"/>
  <c r="K3133" i="6"/>
  <c r="M3133" i="6"/>
  <c r="L3133" i="6"/>
  <c r="K3150" i="6"/>
  <c r="M3150" i="6"/>
  <c r="N3150" i="6"/>
  <c r="L3150" i="6"/>
  <c r="L3168" i="6"/>
  <c r="N3168" i="6"/>
  <c r="M3168" i="6"/>
  <c r="L3190" i="6"/>
  <c r="M3190" i="6"/>
  <c r="N3190" i="6"/>
  <c r="L3224" i="6"/>
  <c r="M3224" i="6"/>
  <c r="N3224" i="6"/>
  <c r="M3231" i="6"/>
  <c r="L3231" i="6"/>
  <c r="N3231" i="6"/>
  <c r="M3242" i="6"/>
  <c r="L3242" i="6"/>
  <c r="N3242" i="6"/>
  <c r="M3263" i="6"/>
  <c r="L3263" i="6"/>
  <c r="N3263" i="6"/>
  <c r="L3287" i="6"/>
  <c r="N3287" i="6"/>
  <c r="M3287" i="6"/>
  <c r="L3311" i="6"/>
  <c r="K3311" i="6"/>
  <c r="N3311" i="6"/>
  <c r="M3311" i="6"/>
  <c r="M3321" i="6"/>
  <c r="L3321" i="6"/>
  <c r="K3321" i="6"/>
  <c r="N3321" i="6"/>
  <c r="M3333" i="6"/>
  <c r="K3333" i="6"/>
  <c r="N3333" i="6"/>
  <c r="L3333" i="6"/>
  <c r="L3344" i="6"/>
  <c r="N3344" i="6"/>
  <c r="M3344" i="6"/>
  <c r="L3358" i="6"/>
  <c r="N3358" i="6"/>
  <c r="M3358" i="6"/>
  <c r="L3371" i="6"/>
  <c r="M3371" i="6"/>
  <c r="N3371" i="6"/>
  <c r="L3388" i="6"/>
  <c r="M3388" i="6"/>
  <c r="N3388" i="6"/>
  <c r="L3407" i="6"/>
  <c r="M3407" i="6"/>
  <c r="K3407" i="6"/>
  <c r="N3407" i="6"/>
  <c r="L3019" i="6"/>
  <c r="K3019" i="6"/>
  <c r="M3019" i="6"/>
  <c r="N3019" i="6"/>
  <c r="L3050" i="6"/>
  <c r="K3050" i="6"/>
  <c r="N3050" i="6"/>
  <c r="M3050" i="6"/>
  <c r="L3062" i="6"/>
  <c r="N3062" i="6"/>
  <c r="M3062" i="6"/>
  <c r="K3062" i="6"/>
  <c r="M3066" i="6"/>
  <c r="L3066" i="6"/>
  <c r="N3066" i="6"/>
  <c r="K3066" i="6"/>
  <c r="N3070" i="6"/>
  <c r="K3070" i="6"/>
  <c r="M3070" i="6"/>
  <c r="L3070" i="6"/>
  <c r="M3074" i="6"/>
  <c r="L3074" i="6"/>
  <c r="N3074" i="6"/>
  <c r="K3074" i="6"/>
  <c r="L3104" i="6"/>
  <c r="K3104" i="6"/>
  <c r="M3104" i="6"/>
  <c r="N3104" i="6"/>
  <c r="M3122" i="6"/>
  <c r="L3122" i="6"/>
  <c r="N3122" i="6"/>
  <c r="K3122" i="6"/>
  <c r="M3137" i="6"/>
  <c r="L3137" i="6"/>
  <c r="N3137" i="6"/>
  <c r="K3137" i="6"/>
  <c r="L3152" i="6"/>
  <c r="N3152" i="6"/>
  <c r="M3152" i="6"/>
  <c r="L3170" i="6"/>
  <c r="K3170" i="6"/>
  <c r="M3170" i="6"/>
  <c r="N3170" i="6"/>
  <c r="L3179" i="6"/>
  <c r="K3179" i="6"/>
  <c r="M3179" i="6"/>
  <c r="N3179" i="6"/>
  <c r="K3198" i="6"/>
  <c r="L3198" i="6"/>
  <c r="N3198" i="6"/>
  <c r="M3198" i="6"/>
  <c r="K3207" i="6"/>
  <c r="M3207" i="6"/>
  <c r="L3207" i="6"/>
  <c r="N3207" i="6"/>
  <c r="L3225" i="6"/>
  <c r="M3225" i="6"/>
  <c r="N3225" i="6"/>
  <c r="L3250" i="6"/>
  <c r="N3250" i="6"/>
  <c r="M3250" i="6"/>
  <c r="K3259" i="6"/>
  <c r="M3259" i="6"/>
  <c r="L3259" i="6"/>
  <c r="N3259" i="6"/>
  <c r="L3282" i="6"/>
  <c r="K3282" i="6"/>
  <c r="M3282" i="6"/>
  <c r="N3282" i="6"/>
  <c r="L3298" i="6"/>
  <c r="N3298" i="6"/>
  <c r="M3298" i="6"/>
  <c r="L3314" i="6"/>
  <c r="K3314" i="6"/>
  <c r="N3314" i="6"/>
  <c r="M3314" i="6"/>
  <c r="L3336" i="6"/>
  <c r="K3336" i="6"/>
  <c r="M3336" i="6"/>
  <c r="N3336" i="6"/>
  <c r="L3351" i="6"/>
  <c r="M3351" i="6"/>
  <c r="N3351" i="6"/>
  <c r="L3363" i="6"/>
  <c r="K3363" i="6"/>
  <c r="M3363" i="6"/>
  <c r="N3363" i="6"/>
  <c r="K3373" i="6"/>
  <c r="L3373" i="6"/>
  <c r="N3373" i="6"/>
  <c r="M3373" i="6"/>
  <c r="L3383" i="6"/>
  <c r="M3383" i="6"/>
  <c r="K3383" i="6"/>
  <c r="N3383" i="6"/>
  <c r="M3039" i="6"/>
  <c r="L3039" i="6"/>
  <c r="N3039" i="6"/>
  <c r="L3105" i="6"/>
  <c r="M3105" i="6"/>
  <c r="N3105" i="6"/>
  <c r="K3105" i="6"/>
  <c r="L3124" i="6"/>
  <c r="M3124" i="6"/>
  <c r="K3124" i="6"/>
  <c r="N3124" i="6"/>
  <c r="K3187" i="6"/>
  <c r="L3187" i="6"/>
  <c r="N3187" i="6"/>
  <c r="M3187" i="6"/>
  <c r="L3200" i="6"/>
  <c r="K3200" i="6"/>
  <c r="M3200" i="6"/>
  <c r="N3200" i="6"/>
  <c r="L3213" i="6"/>
  <c r="K3213" i="6"/>
  <c r="M3213" i="6"/>
  <c r="N3213" i="6"/>
  <c r="K3253" i="6"/>
  <c r="M3253" i="6"/>
  <c r="L3253" i="6"/>
  <c r="N3253" i="6"/>
  <c r="K3266" i="6"/>
  <c r="M3266" i="6"/>
  <c r="N3266" i="6"/>
  <c r="L3266" i="6"/>
  <c r="L3289" i="6"/>
  <c r="K3289" i="6"/>
  <c r="M3289" i="6"/>
  <c r="N3289" i="6"/>
  <c r="L3301" i="6"/>
  <c r="M3301" i="6"/>
  <c r="N3301" i="6"/>
  <c r="L3364" i="6"/>
  <c r="K3364" i="6"/>
  <c r="N3364" i="6"/>
  <c r="M3364" i="6"/>
  <c r="K3388" i="6"/>
  <c r="L3425" i="6"/>
  <c r="K3425" i="6"/>
  <c r="M3425" i="6"/>
  <c r="N3425" i="6"/>
  <c r="K3433" i="6"/>
  <c r="M3433" i="6"/>
  <c r="L3433" i="6"/>
  <c r="N3433" i="6"/>
  <c r="L3442" i="6"/>
  <c r="N3442" i="6"/>
  <c r="M3442" i="6"/>
  <c r="K3442" i="6"/>
  <c r="K3446" i="6"/>
  <c r="M3446" i="6"/>
  <c r="L3446" i="6"/>
  <c r="N3446" i="6"/>
  <c r="L3457" i="6"/>
  <c r="N3457" i="6"/>
  <c r="M3457" i="6"/>
  <c r="M3475" i="6"/>
  <c r="L3475" i="6"/>
  <c r="N3475" i="6"/>
  <c r="K3475" i="6"/>
  <c r="L3479" i="6"/>
  <c r="N3479" i="6"/>
  <c r="K3479" i="6"/>
  <c r="M3479" i="6"/>
  <c r="K3483" i="6"/>
  <c r="M3483" i="6"/>
  <c r="L3483" i="6"/>
  <c r="N3483" i="6"/>
  <c r="K3495" i="6"/>
  <c r="M3495" i="6"/>
  <c r="L3495" i="6"/>
  <c r="N3495" i="6"/>
  <c r="L3499" i="6"/>
  <c r="M3499" i="6"/>
  <c r="K3499" i="6"/>
  <c r="N3499" i="6"/>
  <c r="N3538" i="6"/>
  <c r="K3538" i="6"/>
  <c r="M3538" i="6"/>
  <c r="L3538" i="6"/>
  <c r="N3554" i="6"/>
  <c r="K3554" i="6"/>
  <c r="M3554" i="6"/>
  <c r="L3554" i="6"/>
  <c r="N3562" i="6"/>
  <c r="K3562" i="6"/>
  <c r="M3562" i="6"/>
  <c r="L3562" i="6"/>
  <c r="N3570" i="6"/>
  <c r="K3570" i="6"/>
  <c r="M3570" i="6"/>
  <c r="L3570" i="6"/>
  <c r="L3579" i="6"/>
  <c r="N3579" i="6"/>
  <c r="K3579" i="6"/>
  <c r="M3579" i="6"/>
  <c r="L3587" i="6"/>
  <c r="M3587" i="6"/>
  <c r="N3587" i="6"/>
  <c r="N3604" i="6"/>
  <c r="L3604" i="6"/>
  <c r="K3604" i="6"/>
  <c r="M3604" i="6"/>
  <c r="L3628" i="6"/>
  <c r="M3628" i="6"/>
  <c r="N3628" i="6"/>
  <c r="L3644" i="6"/>
  <c r="M3644" i="6"/>
  <c r="N3644" i="6"/>
  <c r="L3663" i="6"/>
  <c r="M3663" i="6"/>
  <c r="N3663" i="6"/>
  <c r="K3663" i="6"/>
  <c r="L3671" i="6"/>
  <c r="N3671" i="6"/>
  <c r="K3671" i="6"/>
  <c r="M3671" i="6"/>
  <c r="L3695" i="6"/>
  <c r="K3695" i="6"/>
  <c r="M3695" i="6"/>
  <c r="N3695" i="6"/>
  <c r="M3725" i="6"/>
  <c r="L3725" i="6"/>
  <c r="N3725" i="6"/>
  <c r="N3729" i="6"/>
  <c r="K3729" i="6"/>
  <c r="M3729" i="6"/>
  <c r="L3729" i="6"/>
  <c r="L3852" i="6"/>
  <c r="M3852" i="6"/>
  <c r="N3852" i="6"/>
  <c r="K3873" i="6"/>
  <c r="M3873" i="6"/>
  <c r="L3873" i="6"/>
  <c r="N3873" i="6"/>
  <c r="K3877" i="6"/>
  <c r="M3877" i="6"/>
  <c r="L3877" i="6"/>
  <c r="N3877" i="6"/>
  <c r="L3881" i="6"/>
  <c r="N3881" i="6"/>
  <c r="K3881" i="6"/>
  <c r="M3881" i="6"/>
  <c r="K3905" i="6"/>
  <c r="M3905" i="6"/>
  <c r="L3905" i="6"/>
  <c r="N3905" i="6"/>
  <c r="K3928" i="6"/>
  <c r="M3928" i="6"/>
  <c r="L3928" i="6"/>
  <c r="N3928" i="6"/>
  <c r="M3932" i="6"/>
  <c r="K3932" i="6"/>
  <c r="L3932" i="6"/>
  <c r="N3932" i="6"/>
  <c r="L3946" i="6"/>
  <c r="N3946" i="6"/>
  <c r="K3946" i="6"/>
  <c r="M3946" i="6"/>
  <c r="L3967" i="6"/>
  <c r="N3967" i="6"/>
  <c r="K3967" i="6"/>
  <c r="M3967" i="6"/>
  <c r="L3971" i="6"/>
  <c r="N3971" i="6"/>
  <c r="K3971" i="6"/>
  <c r="M3971" i="6"/>
  <c r="L3975" i="6"/>
  <c r="N3975" i="6"/>
  <c r="K3975" i="6"/>
  <c r="M3975" i="6"/>
  <c r="L3997" i="6"/>
  <c r="K3997" i="6"/>
  <c r="M3997" i="6"/>
  <c r="N3997" i="6"/>
  <c r="L4021" i="6"/>
  <c r="M4021" i="6"/>
  <c r="K4021" i="6"/>
  <c r="N4021" i="6"/>
  <c r="L4035" i="6"/>
  <c r="N4035" i="6"/>
  <c r="K4035" i="6"/>
  <c r="M4035" i="6"/>
  <c r="K4092" i="6"/>
  <c r="L4092" i="6"/>
  <c r="N4092" i="6"/>
  <c r="M4092" i="6"/>
  <c r="N4096" i="6"/>
  <c r="K4096" i="6"/>
  <c r="M4096" i="6"/>
  <c r="L4096" i="6"/>
  <c r="L4100" i="6"/>
  <c r="N4100" i="6"/>
  <c r="M4100" i="6"/>
  <c r="L4120" i="6"/>
  <c r="M4120" i="6"/>
  <c r="K4120" i="6"/>
  <c r="N4120" i="6"/>
  <c r="L4132" i="6"/>
  <c r="N4132" i="6"/>
  <c r="M4132" i="6"/>
  <c r="L4141" i="6"/>
  <c r="N4141" i="6"/>
  <c r="M4141" i="6"/>
  <c r="M4145" i="6"/>
  <c r="L4145" i="6"/>
  <c r="N4145" i="6"/>
  <c r="L4161" i="6"/>
  <c r="K4161" i="6"/>
  <c r="M4161" i="6"/>
  <c r="N4161" i="6"/>
  <c r="L4188" i="6"/>
  <c r="K4188" i="6"/>
  <c r="M4188" i="6"/>
  <c r="N4188" i="6"/>
  <c r="L4201" i="6"/>
  <c r="K4201" i="6"/>
  <c r="M4201" i="6"/>
  <c r="N4201" i="6"/>
  <c r="N4214" i="6"/>
  <c r="L4214" i="6"/>
  <c r="K4214" i="6"/>
  <c r="M4214" i="6"/>
  <c r="N4218" i="6"/>
  <c r="M4218" i="6"/>
  <c r="L4218" i="6"/>
  <c r="K4218" i="6"/>
  <c r="L4231" i="6"/>
  <c r="N4231" i="6"/>
  <c r="K4231" i="6"/>
  <c r="M4231" i="6"/>
  <c r="N4243" i="6"/>
  <c r="M4243" i="6"/>
  <c r="K4243" i="6"/>
  <c r="L4243" i="6"/>
  <c r="L4255" i="6"/>
  <c r="N4255" i="6"/>
  <c r="M4255" i="6"/>
  <c r="K4255" i="6"/>
  <c r="L4278" i="6"/>
  <c r="K4278" i="6"/>
  <c r="M4278" i="6"/>
  <c r="N4278" i="6"/>
  <c r="L4282" i="6"/>
  <c r="M4282" i="6"/>
  <c r="N4282" i="6"/>
  <c r="K4282" i="6"/>
  <c r="K4286" i="6"/>
  <c r="M4286" i="6"/>
  <c r="N4286" i="6"/>
  <c r="L4286" i="6"/>
  <c r="L4337" i="6"/>
  <c r="M4337" i="6"/>
  <c r="K4337" i="6"/>
  <c r="N4337" i="6"/>
  <c r="K4341" i="6"/>
  <c r="N4341" i="6"/>
  <c r="M4341" i="6"/>
  <c r="L4341" i="6"/>
  <c r="K4345" i="6"/>
  <c r="L4345" i="6"/>
  <c r="N4345" i="6"/>
  <c r="M4345" i="6"/>
  <c r="L4349" i="6"/>
  <c r="M4349" i="6"/>
  <c r="N4349" i="6"/>
  <c r="K4349" i="6"/>
  <c r="M4353" i="6"/>
  <c r="L4353" i="6"/>
  <c r="N4353" i="6"/>
  <c r="K4353" i="6"/>
  <c r="L4438" i="6"/>
  <c r="M4438" i="6"/>
  <c r="K4438" i="6"/>
  <c r="N4438" i="6"/>
  <c r="L4442" i="6"/>
  <c r="N4442" i="6"/>
  <c r="K4442" i="6"/>
  <c r="M4442" i="6"/>
  <c r="K4446" i="6"/>
  <c r="L4446" i="6"/>
  <c r="N4446" i="6"/>
  <c r="M4446" i="6"/>
  <c r="L4450" i="6"/>
  <c r="K4450" i="6"/>
  <c r="M4450" i="6"/>
  <c r="N4450" i="6"/>
  <c r="L4466" i="6"/>
  <c r="K4466" i="6"/>
  <c r="N4466" i="6"/>
  <c r="M4466" i="6"/>
  <c r="K3055" i="6"/>
  <c r="M3055" i="6"/>
  <c r="L3055" i="6"/>
  <c r="N3055" i="6"/>
  <c r="L3113" i="6"/>
  <c r="K3113" i="6"/>
  <c r="M3113" i="6"/>
  <c r="N3113" i="6"/>
  <c r="K3141" i="6"/>
  <c r="M3141" i="6"/>
  <c r="L3141" i="6"/>
  <c r="N3141" i="6"/>
  <c r="M3162" i="6"/>
  <c r="L3162" i="6"/>
  <c r="N3162" i="6"/>
  <c r="K3168" i="6"/>
  <c r="L3220" i="6"/>
  <c r="K3220" i="6"/>
  <c r="N3220" i="6"/>
  <c r="M3220" i="6"/>
  <c r="K3225" i="6"/>
  <c r="L3245" i="6"/>
  <c r="M3245" i="6"/>
  <c r="N3245" i="6"/>
  <c r="K3250" i="6"/>
  <c r="L3273" i="6"/>
  <c r="M3273" i="6"/>
  <c r="N3273" i="6"/>
  <c r="L3327" i="6"/>
  <c r="M3327" i="6"/>
  <c r="N3327" i="6"/>
  <c r="L3352" i="6"/>
  <c r="M3352" i="6"/>
  <c r="N3352" i="6"/>
  <c r="K3358" i="6"/>
  <c r="L3394" i="6"/>
  <c r="N3394" i="6"/>
  <c r="M3394" i="6"/>
  <c r="K3394" i="6"/>
  <c r="L3408" i="6"/>
  <c r="K3408" i="6"/>
  <c r="M3408" i="6"/>
  <c r="N3408" i="6"/>
  <c r="M3418" i="6"/>
  <c r="L3418" i="6"/>
  <c r="N3418" i="6"/>
  <c r="L3429" i="6"/>
  <c r="M3429" i="6"/>
  <c r="N3429" i="6"/>
  <c r="L3439" i="6"/>
  <c r="M3439" i="6"/>
  <c r="K3439" i="6"/>
  <c r="N3439" i="6"/>
  <c r="L3461" i="6"/>
  <c r="M3461" i="6"/>
  <c r="N3461" i="6"/>
  <c r="L3489" i="6"/>
  <c r="N3489" i="6"/>
  <c r="M3489" i="6"/>
  <c r="L3504" i="6"/>
  <c r="K3504" i="6"/>
  <c r="M3504" i="6"/>
  <c r="N3504" i="6"/>
  <c r="K3527" i="6"/>
  <c r="M3527" i="6"/>
  <c r="L3527" i="6"/>
  <c r="N3527" i="6"/>
  <c r="M3531" i="6"/>
  <c r="K3531" i="6"/>
  <c r="L3531" i="6"/>
  <c r="N3531" i="6"/>
  <c r="L3544" i="6"/>
  <c r="M3544" i="6"/>
  <c r="N3544" i="6"/>
  <c r="L3548" i="6"/>
  <c r="N3548" i="6"/>
  <c r="M3548" i="6"/>
  <c r="L3557" i="6"/>
  <c r="M3557" i="6"/>
  <c r="N3557" i="6"/>
  <c r="N3566" i="6"/>
  <c r="K3566" i="6"/>
  <c r="M3566" i="6"/>
  <c r="L3566" i="6"/>
  <c r="K3574" i="6"/>
  <c r="M3574" i="6"/>
  <c r="L3574" i="6"/>
  <c r="N3574" i="6"/>
  <c r="M3582" i="6"/>
  <c r="L3582" i="6"/>
  <c r="N3582" i="6"/>
  <c r="K3582" i="6"/>
  <c r="L3591" i="6"/>
  <c r="M3591" i="6"/>
  <c r="K3591" i="6"/>
  <c r="N3591" i="6"/>
  <c r="L3612" i="6"/>
  <c r="M3612" i="6"/>
  <c r="K3612" i="6"/>
  <c r="N3612" i="6"/>
  <c r="M3616" i="6"/>
  <c r="L3616" i="6"/>
  <c r="N3616" i="6"/>
  <c r="K3616" i="6"/>
  <c r="K3628" i="6"/>
  <c r="N3636" i="6"/>
  <c r="M3636" i="6"/>
  <c r="L3636" i="6"/>
  <c r="K3651" i="6"/>
  <c r="M3651" i="6"/>
  <c r="L3651" i="6"/>
  <c r="N3651" i="6"/>
  <c r="M3667" i="6"/>
  <c r="K3667" i="6"/>
  <c r="L3667" i="6"/>
  <c r="N3667" i="6"/>
  <c r="M3675" i="6"/>
  <c r="L3675" i="6"/>
  <c r="N3675" i="6"/>
  <c r="N3679" i="6"/>
  <c r="M3679" i="6"/>
  <c r="L3679" i="6"/>
  <c r="K3679" i="6"/>
  <c r="L3683" i="6"/>
  <c r="N3683" i="6"/>
  <c r="M3683" i="6"/>
  <c r="N3702" i="6"/>
  <c r="K3702" i="6"/>
  <c r="M3702" i="6"/>
  <c r="L3702" i="6"/>
  <c r="N3706" i="6"/>
  <c r="K3706" i="6"/>
  <c r="M3706" i="6"/>
  <c r="L3706" i="6"/>
  <c r="N3710" i="6"/>
  <c r="K3710" i="6"/>
  <c r="M3710" i="6"/>
  <c r="L3710" i="6"/>
  <c r="N3714" i="6"/>
  <c r="K3714" i="6"/>
  <c r="M3714" i="6"/>
  <c r="L3714" i="6"/>
  <c r="N3718" i="6"/>
  <c r="K3718" i="6"/>
  <c r="M3718" i="6"/>
  <c r="L3718" i="6"/>
  <c r="L3740" i="6"/>
  <c r="N3740" i="6"/>
  <c r="M3740" i="6"/>
  <c r="N3744" i="6"/>
  <c r="K3744" i="6"/>
  <c r="M3744" i="6"/>
  <c r="L3744" i="6"/>
  <c r="K3748" i="6"/>
  <c r="M3748" i="6"/>
  <c r="L3748" i="6"/>
  <c r="N3748" i="6"/>
  <c r="N3752" i="6"/>
  <c r="K3752" i="6"/>
  <c r="M3752" i="6"/>
  <c r="L3752" i="6"/>
  <c r="L3756" i="6"/>
  <c r="N3756" i="6"/>
  <c r="K3756" i="6"/>
  <c r="M3756" i="6"/>
  <c r="N3760" i="6"/>
  <c r="K3760" i="6"/>
  <c r="M3760" i="6"/>
  <c r="L3760" i="6"/>
  <c r="N3764" i="6"/>
  <c r="K3764" i="6"/>
  <c r="M3764" i="6"/>
  <c r="L3764" i="6"/>
  <c r="N3768" i="6"/>
  <c r="K3768" i="6"/>
  <c r="M3768" i="6"/>
  <c r="L3768" i="6"/>
  <c r="K3772" i="6"/>
  <c r="M3772" i="6"/>
  <c r="L3772" i="6"/>
  <c r="N3772" i="6"/>
  <c r="N3776" i="6"/>
  <c r="K3776" i="6"/>
  <c r="M3776" i="6"/>
  <c r="L3776" i="6"/>
  <c r="K3780" i="6"/>
  <c r="M3780" i="6"/>
  <c r="L3780" i="6"/>
  <c r="N3780" i="6"/>
  <c r="N3784" i="6"/>
  <c r="K3784" i="6"/>
  <c r="M3784" i="6"/>
  <c r="L3784" i="6"/>
  <c r="L3788" i="6"/>
  <c r="N3788" i="6"/>
  <c r="K3788" i="6"/>
  <c r="M3788" i="6"/>
  <c r="N3792" i="6"/>
  <c r="K3792" i="6"/>
  <c r="M3792" i="6"/>
  <c r="L3792" i="6"/>
  <c r="N3796" i="6"/>
  <c r="K3796" i="6"/>
  <c r="M3796" i="6"/>
  <c r="L3796" i="6"/>
  <c r="N3800" i="6"/>
  <c r="K3800" i="6"/>
  <c r="M3800" i="6"/>
  <c r="L3800" i="6"/>
  <c r="K3804" i="6"/>
  <c r="M3804" i="6"/>
  <c r="L3804" i="6"/>
  <c r="N3804" i="6"/>
  <c r="N3808" i="6"/>
  <c r="K3808" i="6"/>
  <c r="M3808" i="6"/>
  <c r="L3808" i="6"/>
  <c r="K3812" i="6"/>
  <c r="M3812" i="6"/>
  <c r="L3812" i="6"/>
  <c r="N3812" i="6"/>
  <c r="N3816" i="6"/>
  <c r="K3816" i="6"/>
  <c r="M3816" i="6"/>
  <c r="L3816" i="6"/>
  <c r="L3820" i="6"/>
  <c r="N3820" i="6"/>
  <c r="K3820" i="6"/>
  <c r="M3820" i="6"/>
  <c r="N3824" i="6"/>
  <c r="K3824" i="6"/>
  <c r="M3824" i="6"/>
  <c r="L3824" i="6"/>
  <c r="N3828" i="6"/>
  <c r="K3828" i="6"/>
  <c r="M3828" i="6"/>
  <c r="L3828" i="6"/>
  <c r="N3832" i="6"/>
  <c r="K3832" i="6"/>
  <c r="M3832" i="6"/>
  <c r="L3832" i="6"/>
  <c r="N3836" i="6"/>
  <c r="K3836" i="6"/>
  <c r="M3836" i="6"/>
  <c r="L3836" i="6"/>
  <c r="N3840" i="6"/>
  <c r="K3840" i="6"/>
  <c r="M3840" i="6"/>
  <c r="L3840" i="6"/>
  <c r="K3844" i="6"/>
  <c r="M3844" i="6"/>
  <c r="L3844" i="6"/>
  <c r="N3844" i="6"/>
  <c r="M3848" i="6"/>
  <c r="L3848" i="6"/>
  <c r="N3848" i="6"/>
  <c r="K3848" i="6"/>
  <c r="L3867" i="6"/>
  <c r="M3867" i="6"/>
  <c r="N3867" i="6"/>
  <c r="K3899" i="6"/>
  <c r="M3899" i="6"/>
  <c r="L3899" i="6"/>
  <c r="N3899" i="6"/>
  <c r="N3909" i="6"/>
  <c r="K3909" i="6"/>
  <c r="M3909" i="6"/>
  <c r="L3909" i="6"/>
  <c r="L3951" i="6"/>
  <c r="N3951" i="6"/>
  <c r="M3951" i="6"/>
  <c r="L3955" i="6"/>
  <c r="N3955" i="6"/>
  <c r="M3955" i="6"/>
  <c r="K3982" i="6"/>
  <c r="L3982" i="6"/>
  <c r="M3982" i="6"/>
  <c r="N3982" i="6"/>
  <c r="L3993" i="6"/>
  <c r="M3993" i="6"/>
  <c r="N3993" i="6"/>
  <c r="L4056" i="6"/>
  <c r="M4056" i="6"/>
  <c r="N4056" i="6"/>
  <c r="N4113" i="6"/>
  <c r="L4113" i="6"/>
  <c r="K4113" i="6"/>
  <c r="M4113" i="6"/>
  <c r="K4117" i="6"/>
  <c r="M4117" i="6"/>
  <c r="L4117" i="6"/>
  <c r="N4117" i="6"/>
  <c r="N4167" i="6"/>
  <c r="K4167" i="6"/>
  <c r="M4167" i="6"/>
  <c r="L4167" i="6"/>
  <c r="L4180" i="6"/>
  <c r="M4180" i="6"/>
  <c r="K4180" i="6"/>
  <c r="N4180" i="6"/>
  <c r="L4223" i="6"/>
  <c r="K4223" i="6"/>
  <c r="M4223" i="6"/>
  <c r="N4223" i="6"/>
  <c r="L4227" i="6"/>
  <c r="M4227" i="6"/>
  <c r="K4227" i="6"/>
  <c r="N4227" i="6"/>
  <c r="M4237" i="6"/>
  <c r="N4237" i="6"/>
  <c r="K4237" i="6"/>
  <c r="L4237" i="6"/>
  <c r="N4250" i="6"/>
  <c r="M4250" i="6"/>
  <c r="L4250" i="6"/>
  <c r="K4250" i="6"/>
  <c r="N4266" i="6"/>
  <c r="K4266" i="6"/>
  <c r="M4266" i="6"/>
  <c r="L4266" i="6"/>
  <c r="K4270" i="6"/>
  <c r="M4270" i="6"/>
  <c r="L4270" i="6"/>
  <c r="N4270" i="6"/>
  <c r="L4322" i="6"/>
  <c r="M4322" i="6"/>
  <c r="K4322" i="6"/>
  <c r="N4322" i="6"/>
  <c r="N4326" i="6"/>
  <c r="L4326" i="6"/>
  <c r="K4326" i="6"/>
  <c r="M4326" i="6"/>
  <c r="K4330" i="6"/>
  <c r="M4330" i="6"/>
  <c r="L4330" i="6"/>
  <c r="N4330" i="6"/>
  <c r="L4374" i="6"/>
  <c r="K4374" i="6"/>
  <c r="M4374" i="6"/>
  <c r="N4374" i="6"/>
  <c r="M4435" i="6"/>
  <c r="K4435" i="6"/>
  <c r="N4435" i="6"/>
  <c r="L4435" i="6"/>
  <c r="K4459" i="6"/>
  <c r="M4459" i="6"/>
  <c r="N4459" i="6"/>
  <c r="L4459" i="6"/>
  <c r="K4463" i="6"/>
  <c r="M4463" i="6"/>
  <c r="L4463" i="6"/>
  <c r="N4463" i="6"/>
  <c r="K4503" i="6"/>
  <c r="M4503" i="6"/>
  <c r="L4503" i="6"/>
  <c r="N4503" i="6"/>
  <c r="K4507" i="6"/>
  <c r="M4507" i="6"/>
  <c r="N4507" i="6"/>
  <c r="L4507" i="6"/>
  <c r="L4511" i="6"/>
  <c r="N4511" i="6"/>
  <c r="K4511" i="6"/>
  <c r="M4511" i="6"/>
  <c r="L4515" i="6"/>
  <c r="N4515" i="6"/>
  <c r="K4515" i="6"/>
  <c r="M4515" i="6"/>
  <c r="L4547" i="6"/>
  <c r="N4547" i="6"/>
  <c r="K4547" i="6"/>
  <c r="M4547" i="6"/>
  <c r="K4569" i="6"/>
  <c r="L4569" i="6"/>
  <c r="N4569" i="6"/>
  <c r="M4569" i="6"/>
  <c r="N4573" i="6"/>
  <c r="M4573" i="6"/>
  <c r="L4573" i="6"/>
  <c r="K4573" i="6"/>
  <c r="L4577" i="6"/>
  <c r="M4577" i="6"/>
  <c r="N4577" i="6"/>
  <c r="K4577" i="6"/>
  <c r="K4581" i="6"/>
  <c r="M4581" i="6"/>
  <c r="L4581" i="6"/>
  <c r="N4581" i="6"/>
  <c r="N4585" i="6"/>
  <c r="K4585" i="6"/>
  <c r="M4585" i="6"/>
  <c r="L4585" i="6"/>
  <c r="N4589" i="6"/>
  <c r="K4589" i="6"/>
  <c r="M4589" i="6"/>
  <c r="L4589" i="6"/>
  <c r="K4593" i="6"/>
  <c r="L4593" i="6"/>
  <c r="N4593" i="6"/>
  <c r="M4593" i="6"/>
  <c r="M4608" i="6"/>
  <c r="K4608" i="6"/>
  <c r="L4608" i="6"/>
  <c r="N4608" i="6"/>
  <c r="K4638" i="6"/>
  <c r="M4638" i="6"/>
  <c r="L4638" i="6"/>
  <c r="N4638" i="6"/>
  <c r="L4661" i="6"/>
  <c r="K4661" i="6"/>
  <c r="M4661" i="6"/>
  <c r="N4661" i="6"/>
  <c r="M4681" i="6"/>
  <c r="L4681" i="6"/>
  <c r="N4681" i="6"/>
  <c r="K4681" i="6"/>
  <c r="K4705" i="6"/>
  <c r="M4705" i="6"/>
  <c r="L4705" i="6"/>
  <c r="N4705" i="6"/>
  <c r="L4721" i="6"/>
  <c r="N4721" i="6"/>
  <c r="K4721" i="6"/>
  <c r="M4721" i="6"/>
  <c r="L4733" i="6"/>
  <c r="K4733" i="6"/>
  <c r="N4733" i="6"/>
  <c r="M4733" i="6"/>
  <c r="L4757" i="6"/>
  <c r="N4757" i="6"/>
  <c r="K4757" i="6"/>
  <c r="M4757" i="6"/>
  <c r="L4773" i="6"/>
  <c r="N4773" i="6"/>
  <c r="K4773" i="6"/>
  <c r="M4773" i="6"/>
  <c r="L4787" i="6"/>
  <c r="K4787" i="6"/>
  <c r="N4787" i="6"/>
  <c r="M4787" i="6"/>
  <c r="K4145" i="6"/>
  <c r="L4551" i="6"/>
  <c r="N4551" i="6"/>
  <c r="K4551" i="6"/>
  <c r="M4551" i="6"/>
  <c r="K4555" i="6"/>
  <c r="M4555" i="6"/>
  <c r="L4555" i="6"/>
  <c r="N4555" i="6"/>
  <c r="K4598" i="6"/>
  <c r="L4598" i="6"/>
  <c r="N4598" i="6"/>
  <c r="M4598" i="6"/>
  <c r="L4602" i="6"/>
  <c r="N4602" i="6"/>
  <c r="K4602" i="6"/>
  <c r="M4602" i="6"/>
  <c r="K4663" i="6"/>
  <c r="L4663" i="6"/>
  <c r="N4663" i="6"/>
  <c r="M4663" i="6"/>
  <c r="L4694" i="6"/>
  <c r="K4694" i="6"/>
  <c r="N4694" i="6"/>
  <c r="M4694" i="6"/>
  <c r="L4698" i="6"/>
  <c r="K4698" i="6"/>
  <c r="N4698" i="6"/>
  <c r="M4698" i="6"/>
  <c r="L4739" i="6"/>
  <c r="K4739" i="6"/>
  <c r="N4739" i="6"/>
  <c r="M4739" i="6"/>
  <c r="M4743" i="6"/>
  <c r="N4743" i="6"/>
  <c r="K4743" i="6"/>
  <c r="L4743" i="6"/>
  <c r="N4768" i="6"/>
  <c r="L4768" i="6"/>
  <c r="K4768" i="6"/>
  <c r="M4768" i="6"/>
  <c r="M4808" i="6"/>
  <c r="L4808" i="6"/>
  <c r="N4808" i="6"/>
  <c r="K4808" i="6"/>
  <c r="M4824" i="6"/>
  <c r="N4824" i="6"/>
  <c r="K4824" i="6"/>
  <c r="L4824" i="6"/>
  <c r="L4860" i="6"/>
  <c r="M4860" i="6"/>
  <c r="K4860" i="6"/>
  <c r="N4860" i="6"/>
  <c r="L4877" i="6"/>
  <c r="N4877" i="6"/>
  <c r="K4877" i="6"/>
  <c r="M4877" i="6"/>
  <c r="K4881" i="6"/>
  <c r="M4881" i="6"/>
  <c r="L4881" i="6"/>
  <c r="N4881" i="6"/>
  <c r="L4900" i="6"/>
  <c r="M4900" i="6"/>
  <c r="K4900" i="6"/>
  <c r="N4900" i="6"/>
  <c r="L4928" i="6"/>
  <c r="M4928" i="6"/>
  <c r="K4928" i="6"/>
  <c r="N4928" i="6"/>
  <c r="L4948" i="6"/>
  <c r="K4948" i="6"/>
  <c r="M4948" i="6"/>
  <c r="N4948" i="6"/>
  <c r="L4952" i="6"/>
  <c r="N4952" i="6"/>
  <c r="K4952" i="6"/>
  <c r="M4952" i="6"/>
  <c r="K4956" i="6"/>
  <c r="M4956" i="6"/>
  <c r="L4956" i="6"/>
  <c r="N4956" i="6"/>
  <c r="L4976" i="6"/>
  <c r="K4976" i="6"/>
  <c r="M4976" i="6"/>
  <c r="N4976" i="6"/>
  <c r="N4980" i="6"/>
  <c r="K4980" i="6"/>
  <c r="M4980" i="6"/>
  <c r="L4980" i="6"/>
  <c r="L4997" i="6"/>
  <c r="K4997" i="6"/>
  <c r="N4997" i="6"/>
  <c r="M4997" i="6"/>
  <c r="L5015" i="6"/>
  <c r="K5015" i="6"/>
  <c r="M5015" i="6"/>
  <c r="N5015" i="6"/>
  <c r="L5019" i="6"/>
  <c r="N5019" i="6"/>
  <c r="K5019" i="6"/>
  <c r="M5019" i="6"/>
  <c r="L5023" i="6"/>
  <c r="N5023" i="6"/>
  <c r="K5023" i="6"/>
  <c r="M5023" i="6"/>
  <c r="L5047" i="6"/>
  <c r="K5047" i="6"/>
  <c r="N5047" i="6"/>
  <c r="M5047" i="6"/>
  <c r="L5051" i="6"/>
  <c r="N5051" i="6"/>
  <c r="M5051" i="6"/>
  <c r="K5051" i="6"/>
  <c r="K5090" i="6"/>
  <c r="M5090" i="6"/>
  <c r="L5090" i="6"/>
  <c r="N5090" i="6"/>
  <c r="M5102" i="6"/>
  <c r="L5102" i="6"/>
  <c r="N5102" i="6"/>
  <c r="K5102" i="6"/>
  <c r="L5131" i="6"/>
  <c r="N5131" i="6"/>
  <c r="K5131" i="6"/>
  <c r="M5131" i="6"/>
  <c r="L5148" i="6"/>
  <c r="K5148" i="6"/>
  <c r="M5148" i="6"/>
  <c r="N5148" i="6"/>
  <c r="L5152" i="6"/>
  <c r="K5152" i="6"/>
  <c r="M5152" i="6"/>
  <c r="N5152" i="6"/>
  <c r="K5165" i="6"/>
  <c r="N5165" i="6"/>
  <c r="M5165" i="6"/>
  <c r="L5165" i="6"/>
  <c r="K5169" i="6"/>
  <c r="N5169" i="6"/>
  <c r="M5169" i="6"/>
  <c r="L5169" i="6"/>
  <c r="L5173" i="6"/>
  <c r="K5173" i="6"/>
  <c r="M5173" i="6"/>
  <c r="N5173" i="6"/>
  <c r="M5177" i="6"/>
  <c r="N5177" i="6"/>
  <c r="K5177" i="6"/>
  <c r="L5177" i="6"/>
  <c r="N5181" i="6"/>
  <c r="M5181" i="6"/>
  <c r="L5181" i="6"/>
  <c r="K5181" i="6"/>
  <c r="L5185" i="6"/>
  <c r="K5185" i="6"/>
  <c r="M5185" i="6"/>
  <c r="N5185" i="6"/>
  <c r="M5189" i="6"/>
  <c r="N5189" i="6"/>
  <c r="K5189" i="6"/>
  <c r="L5189" i="6"/>
  <c r="N5193" i="6"/>
  <c r="M5193" i="6"/>
  <c r="K5193" i="6"/>
  <c r="L5193" i="6"/>
  <c r="K5197" i="6"/>
  <c r="M5197" i="6"/>
  <c r="L5197" i="6"/>
  <c r="N5197" i="6"/>
  <c r="L5251" i="6"/>
  <c r="K5251" i="6"/>
  <c r="N5251" i="6"/>
  <c r="M5251" i="6"/>
  <c r="L5274" i="6"/>
  <c r="N5274" i="6"/>
  <c r="K5274" i="6"/>
  <c r="M5274" i="6"/>
  <c r="L5293" i="6"/>
  <c r="M5293" i="6"/>
  <c r="K5293" i="6"/>
  <c r="N5293" i="6"/>
  <c r="K5306" i="6"/>
  <c r="L5306" i="6"/>
  <c r="M5306" i="6"/>
  <c r="N5306" i="6"/>
  <c r="L5310" i="6"/>
  <c r="N5310" i="6"/>
  <c r="K5310" i="6"/>
  <c r="M5310" i="6"/>
  <c r="K5314" i="6"/>
  <c r="M5314" i="6"/>
  <c r="L5314" i="6"/>
  <c r="N5314" i="6"/>
  <c r="K5330" i="6"/>
  <c r="M5330" i="6"/>
  <c r="L5330" i="6"/>
  <c r="N5330" i="6"/>
  <c r="K5342" i="6"/>
  <c r="M5342" i="6"/>
  <c r="L5342" i="6"/>
  <c r="N5342" i="6"/>
  <c r="K5346" i="6"/>
  <c r="M5346" i="6"/>
  <c r="L5346" i="6"/>
  <c r="N5346" i="6"/>
  <c r="K5370" i="6"/>
  <c r="L5370" i="6"/>
  <c r="M5370" i="6"/>
  <c r="N5370" i="6"/>
  <c r="K5374" i="6"/>
  <c r="M5374" i="6"/>
  <c r="L5374" i="6"/>
  <c r="N5374" i="6"/>
  <c r="K5378" i="6"/>
  <c r="M5378" i="6"/>
  <c r="L5378" i="6"/>
  <c r="N5378" i="6"/>
  <c r="K5401" i="6"/>
  <c r="L5401" i="6"/>
  <c r="N5401" i="6"/>
  <c r="M5401" i="6"/>
  <c r="K5405" i="6"/>
  <c r="M5405" i="6"/>
  <c r="L5405" i="6"/>
  <c r="N5405" i="6"/>
  <c r="N5409" i="6"/>
  <c r="M5409" i="6"/>
  <c r="L5409" i="6"/>
  <c r="K5409" i="6"/>
  <c r="M5433" i="6"/>
  <c r="L5433" i="6"/>
  <c r="K5433" i="6"/>
  <c r="N5433" i="6"/>
  <c r="N5437" i="6"/>
  <c r="K5437" i="6"/>
  <c r="M5437" i="6"/>
  <c r="L5437" i="6"/>
  <c r="K5441" i="6"/>
  <c r="M5441" i="6"/>
  <c r="L5441" i="6"/>
  <c r="N5441" i="6"/>
  <c r="L5475" i="6"/>
  <c r="N5475" i="6"/>
  <c r="K5475" i="6"/>
  <c r="M5475" i="6"/>
  <c r="L5500" i="6"/>
  <c r="M5500" i="6"/>
  <c r="K5500" i="6"/>
  <c r="N5500" i="6"/>
  <c r="K3636" i="6"/>
  <c r="L4558" i="6"/>
  <c r="K4558" i="6"/>
  <c r="M4558" i="6"/>
  <c r="N4558" i="6"/>
  <c r="L4562" i="6"/>
  <c r="N4562" i="6"/>
  <c r="K4562" i="6"/>
  <c r="M4562" i="6"/>
  <c r="L4614" i="6"/>
  <c r="M4614" i="6"/>
  <c r="N4614" i="6"/>
  <c r="K4614" i="6"/>
  <c r="K4618" i="6"/>
  <c r="N4618" i="6"/>
  <c r="M4618" i="6"/>
  <c r="L4618" i="6"/>
  <c r="L4622" i="6"/>
  <c r="N4622" i="6"/>
  <c r="K4622" i="6"/>
  <c r="M4622" i="6"/>
  <c r="L4727" i="6"/>
  <c r="N4727" i="6"/>
  <c r="K4727" i="6"/>
  <c r="M4727" i="6"/>
  <c r="K4791" i="6"/>
  <c r="M4791" i="6"/>
  <c r="L4791" i="6"/>
  <c r="N4791" i="6"/>
  <c r="L4815" i="6"/>
  <c r="K4815" i="6"/>
  <c r="M4815" i="6"/>
  <c r="N4815" i="6"/>
  <c r="N4866" i="6"/>
  <c r="K4866" i="6"/>
  <c r="M4866" i="6"/>
  <c r="L4866" i="6"/>
  <c r="L4932" i="6"/>
  <c r="K4932" i="6"/>
  <c r="M4932" i="6"/>
  <c r="N4932" i="6"/>
  <c r="L4964" i="6"/>
  <c r="K4964" i="6"/>
  <c r="M4964" i="6"/>
  <c r="N4964" i="6"/>
  <c r="L5027" i="6"/>
  <c r="N5027" i="6"/>
  <c r="K5027" i="6"/>
  <c r="M5027" i="6"/>
  <c r="L5056" i="6"/>
  <c r="K5056" i="6"/>
  <c r="M5056" i="6"/>
  <c r="N5056" i="6"/>
  <c r="L5104" i="6"/>
  <c r="K5104" i="6"/>
  <c r="M5104" i="6"/>
  <c r="N5104" i="6"/>
  <c r="L5108" i="6"/>
  <c r="M5108" i="6"/>
  <c r="N5108" i="6"/>
  <c r="K5108" i="6"/>
  <c r="L5112" i="6"/>
  <c r="N5112" i="6"/>
  <c r="K5112" i="6"/>
  <c r="M5112" i="6"/>
  <c r="L5116" i="6"/>
  <c r="N5116" i="6"/>
  <c r="K5116" i="6"/>
  <c r="M5116" i="6"/>
  <c r="N5120" i="6"/>
  <c r="L5120" i="6"/>
  <c r="K5120" i="6"/>
  <c r="M5120" i="6"/>
  <c r="L5139" i="6"/>
  <c r="N5139" i="6"/>
  <c r="K5139" i="6"/>
  <c r="M5139" i="6"/>
  <c r="L5143" i="6"/>
  <c r="N5143" i="6"/>
  <c r="K5143" i="6"/>
  <c r="M5143" i="6"/>
  <c r="L5233" i="6"/>
  <c r="N5233" i="6"/>
  <c r="K5233" i="6"/>
  <c r="M5233" i="6"/>
  <c r="L5316" i="6"/>
  <c r="K5316" i="6"/>
  <c r="M5316" i="6"/>
  <c r="N5316" i="6"/>
  <c r="K5334" i="6"/>
  <c r="M5334" i="6"/>
  <c r="L5334" i="6"/>
  <c r="N5334" i="6"/>
  <c r="M5413" i="6"/>
  <c r="N5413" i="6"/>
  <c r="K5413" i="6"/>
  <c r="L5413" i="6"/>
  <c r="M5449" i="6"/>
  <c r="L5449" i="6"/>
  <c r="N5449" i="6"/>
  <c r="K5449" i="6"/>
  <c r="L5453" i="6"/>
  <c r="M5453" i="6"/>
  <c r="N5453" i="6"/>
  <c r="K5453" i="6"/>
  <c r="K5506" i="6"/>
  <c r="M5506" i="6"/>
  <c r="L5506" i="6"/>
  <c r="N5506" i="6"/>
  <c r="K5510" i="6"/>
  <c r="M5510" i="6"/>
  <c r="L5510" i="6"/>
  <c r="N5510" i="6"/>
  <c r="L5543" i="6"/>
  <c r="N5543" i="6"/>
  <c r="K5543" i="6"/>
  <c r="M5543" i="6"/>
  <c r="L5575" i="6"/>
  <c r="N5575" i="6"/>
  <c r="K5575" i="6"/>
  <c r="M5575" i="6"/>
  <c r="L5591" i="6"/>
  <c r="N5591" i="6"/>
  <c r="K5591" i="6"/>
  <c r="M5591" i="6"/>
  <c r="L5595" i="6"/>
  <c r="N5595" i="6"/>
  <c r="K5595" i="6"/>
  <c r="M5595" i="6"/>
  <c r="L5599" i="6"/>
  <c r="N5599" i="6"/>
  <c r="K5599" i="6"/>
  <c r="M5599" i="6"/>
  <c r="L5619" i="6"/>
  <c r="K5619" i="6"/>
  <c r="M5619" i="6"/>
  <c r="N5619" i="6"/>
  <c r="N5642" i="6"/>
  <c r="L5642" i="6"/>
  <c r="K5642" i="6"/>
  <c r="M5642" i="6"/>
  <c r="L5670" i="6"/>
  <c r="N5670" i="6"/>
  <c r="K5670" i="6"/>
  <c r="M5670" i="6"/>
  <c r="N5674" i="6"/>
  <c r="M5674" i="6"/>
  <c r="L5674" i="6"/>
  <c r="K5674" i="6"/>
  <c r="L5711" i="6"/>
  <c r="N5711" i="6"/>
  <c r="K5711" i="6"/>
  <c r="M5711" i="6"/>
  <c r="L5715" i="6"/>
  <c r="N5715" i="6"/>
  <c r="K5715" i="6"/>
  <c r="M5715" i="6"/>
  <c r="L5719" i="6"/>
  <c r="K5719" i="6"/>
  <c r="M5719" i="6"/>
  <c r="N5719" i="6"/>
  <c r="K5752" i="6"/>
  <c r="M5752" i="6"/>
  <c r="N5752" i="6"/>
  <c r="L5752" i="6"/>
  <c r="K5776" i="6"/>
  <c r="M5776" i="6"/>
  <c r="N5776" i="6"/>
  <c r="L5776" i="6"/>
  <c r="M5780" i="6"/>
  <c r="K5780" i="6"/>
  <c r="L5780" i="6"/>
  <c r="N5780" i="6"/>
  <c r="L5845" i="6"/>
  <c r="K5845" i="6"/>
  <c r="M5845" i="6"/>
  <c r="N5845" i="6"/>
  <c r="K5892" i="6"/>
  <c r="M5892" i="6"/>
  <c r="L5892" i="6"/>
  <c r="N5892" i="6"/>
  <c r="L5926" i="6"/>
  <c r="K5926" i="6"/>
  <c r="M5926" i="6"/>
  <c r="N5926" i="6"/>
  <c r="L5959" i="6"/>
  <c r="K5959" i="6"/>
  <c r="M5959" i="6"/>
  <c r="N5959" i="6"/>
  <c r="L5974" i="6"/>
  <c r="K5974" i="6"/>
  <c r="M5974" i="6"/>
  <c r="N5974" i="6"/>
  <c r="K5994" i="6"/>
  <c r="M5994" i="6"/>
  <c r="L5994" i="6"/>
  <c r="N5994" i="6"/>
  <c r="L6016" i="6"/>
  <c r="N6016" i="6"/>
  <c r="K6016" i="6"/>
  <c r="M6016" i="6"/>
  <c r="L6030" i="6"/>
  <c r="N6030" i="6"/>
  <c r="M6030" i="6"/>
  <c r="K6030" i="6"/>
  <c r="L6042" i="6"/>
  <c r="K6042" i="6"/>
  <c r="M6042" i="6"/>
  <c r="N6042" i="6"/>
  <c r="N6053" i="6"/>
  <c r="K6053" i="6"/>
  <c r="M6053" i="6"/>
  <c r="L6053" i="6"/>
  <c r="N6090" i="6"/>
  <c r="M6090" i="6"/>
  <c r="L6090" i="6"/>
  <c r="K6090" i="6"/>
  <c r="M6109" i="6"/>
  <c r="N6109" i="6"/>
  <c r="L6109" i="6"/>
  <c r="K6109" i="6"/>
  <c r="M6124" i="6"/>
  <c r="K6124" i="6"/>
  <c r="N6124" i="6"/>
  <c r="L6124" i="6"/>
  <c r="N6147" i="6"/>
  <c r="L6147" i="6"/>
  <c r="K6147" i="6"/>
  <c r="M6147" i="6"/>
  <c r="M6163" i="6"/>
  <c r="N6163" i="6"/>
  <c r="K6163" i="6"/>
  <c r="L6163" i="6"/>
  <c r="M6177" i="6"/>
  <c r="N6177" i="6"/>
  <c r="K6177" i="6"/>
  <c r="L6177" i="6"/>
  <c r="L6194" i="6"/>
  <c r="N6194" i="6"/>
  <c r="M6194" i="6"/>
  <c r="K6194" i="6"/>
  <c r="L6206" i="6"/>
  <c r="N6206" i="6"/>
  <c r="M6206" i="6"/>
  <c r="K6206" i="6"/>
  <c r="N6214" i="6"/>
  <c r="L6214" i="6"/>
  <c r="M6214" i="6"/>
  <c r="K6214" i="6"/>
  <c r="L6230" i="6"/>
  <c r="M6230" i="6"/>
  <c r="N6230" i="6"/>
  <c r="K6230" i="6"/>
  <c r="L6251" i="6"/>
  <c r="M6251" i="6"/>
  <c r="K6251" i="6"/>
  <c r="N6251" i="6"/>
  <c r="L6262" i="6"/>
  <c r="N6262" i="6"/>
  <c r="K6262" i="6"/>
  <c r="M6262" i="6"/>
  <c r="M6281" i="6"/>
  <c r="N6281" i="6"/>
  <c r="K6281" i="6"/>
  <c r="L6281" i="6"/>
  <c r="N6302" i="6"/>
  <c r="M6302" i="6"/>
  <c r="K6302" i="6"/>
  <c r="L6302" i="6"/>
  <c r="K6311" i="6"/>
  <c r="M6311" i="6"/>
  <c r="N6311" i="6"/>
  <c r="L6311" i="6"/>
  <c r="N6335" i="6"/>
  <c r="M6335" i="6"/>
  <c r="K6335" i="6"/>
  <c r="L6335" i="6"/>
  <c r="M6342" i="6"/>
  <c r="L6342" i="6"/>
  <c r="N6342" i="6"/>
  <c r="K6342" i="6"/>
  <c r="K6350" i="6"/>
  <c r="M6350" i="6"/>
  <c r="N6350" i="6"/>
  <c r="L6350" i="6"/>
  <c r="K6366" i="6"/>
  <c r="N6366" i="6"/>
  <c r="L6366" i="6"/>
  <c r="M6366" i="6"/>
  <c r="M6383" i="6"/>
  <c r="N6383" i="6"/>
  <c r="L6383" i="6"/>
  <c r="K6383" i="6"/>
  <c r="N6402" i="6"/>
  <c r="M6402" i="6"/>
  <c r="L6402" i="6"/>
  <c r="K6402" i="6"/>
  <c r="N6417" i="6"/>
  <c r="L6417" i="6"/>
  <c r="K6417" i="6"/>
  <c r="M6417" i="6"/>
  <c r="M6439" i="6"/>
  <c r="N6439" i="6"/>
  <c r="L6439" i="6"/>
  <c r="K6439" i="6"/>
  <c r="M6449" i="6"/>
  <c r="N6449" i="6"/>
  <c r="L6449" i="6"/>
  <c r="K6449" i="6"/>
  <c r="M6471" i="6"/>
  <c r="L6471" i="6"/>
  <c r="N6471" i="6"/>
  <c r="K6471" i="6"/>
  <c r="N6479" i="6"/>
  <c r="M6479" i="6"/>
  <c r="L6479" i="6"/>
  <c r="K6479" i="6"/>
  <c r="N6502" i="6"/>
  <c r="M6502" i="6"/>
  <c r="L6502" i="6"/>
  <c r="K6502" i="6"/>
  <c r="N6523" i="6"/>
  <c r="L6523" i="6"/>
  <c r="M6523" i="6"/>
  <c r="K6523" i="6"/>
  <c r="N6536" i="6"/>
  <c r="M6536" i="6"/>
  <c r="L6536" i="6"/>
  <c r="K6536" i="6"/>
  <c r="L6552" i="6"/>
  <c r="N6552" i="6"/>
  <c r="K6552" i="6"/>
  <c r="M6552" i="6"/>
  <c r="M6563" i="6"/>
  <c r="N6563" i="6"/>
  <c r="L6563" i="6"/>
  <c r="K6563" i="6"/>
  <c r="N6578" i="6"/>
  <c r="M6578" i="6"/>
  <c r="L6578" i="6"/>
  <c r="K6578" i="6"/>
  <c r="N6602" i="6"/>
  <c r="K6602" i="6"/>
  <c r="M6602" i="6"/>
  <c r="L6602" i="6"/>
  <c r="M6613" i="6"/>
  <c r="K6613" i="6"/>
  <c r="N6613" i="6"/>
  <c r="L6613" i="6"/>
  <c r="K6633" i="6"/>
  <c r="N6633" i="6"/>
  <c r="M6633" i="6"/>
  <c r="L6633" i="6"/>
  <c r="M6653" i="6"/>
  <c r="K6653" i="6"/>
  <c r="N6653" i="6"/>
  <c r="L6653" i="6"/>
  <c r="N6664" i="6"/>
  <c r="K6664" i="6"/>
  <c r="M6664" i="6"/>
  <c r="L6664" i="6"/>
  <c r="L6677" i="6"/>
  <c r="N6677" i="6"/>
  <c r="M6677" i="6"/>
  <c r="K6677" i="6"/>
  <c r="L6693" i="6"/>
  <c r="M6693" i="6"/>
  <c r="N6693" i="6"/>
  <c r="K6693" i="6"/>
  <c r="N6706" i="6"/>
  <c r="M6706" i="6"/>
  <c r="L6706" i="6"/>
  <c r="K6706" i="6"/>
  <c r="L6715" i="6"/>
  <c r="M6715" i="6"/>
  <c r="N6715" i="6"/>
  <c r="K6715" i="6"/>
  <c r="L6728" i="6"/>
  <c r="K6728" i="6"/>
  <c r="M6728" i="6"/>
  <c r="N6728" i="6"/>
  <c r="N6750" i="6"/>
  <c r="K6750" i="6"/>
  <c r="L6750" i="6"/>
  <c r="M6750" i="6"/>
  <c r="M6767" i="6"/>
  <c r="L6767" i="6"/>
  <c r="N6767" i="6"/>
  <c r="K6767" i="6"/>
  <c r="N6783" i="6"/>
  <c r="L6783" i="6"/>
  <c r="M6783" i="6"/>
  <c r="K6783" i="6"/>
  <c r="N6800" i="6"/>
  <c r="K6800" i="6"/>
  <c r="M6800" i="6"/>
  <c r="L6800" i="6"/>
  <c r="N6815" i="6"/>
  <c r="M6815" i="6"/>
  <c r="L6815" i="6"/>
  <c r="K6815" i="6"/>
  <c r="N6835" i="6"/>
  <c r="L6835" i="6"/>
  <c r="M6835" i="6"/>
  <c r="K6835" i="6"/>
  <c r="L6845" i="6"/>
  <c r="K6845" i="6"/>
  <c r="M6845" i="6"/>
  <c r="N6845" i="6"/>
  <c r="N6859" i="6"/>
  <c r="L6859" i="6"/>
  <c r="M6859" i="6"/>
  <c r="K6859" i="6"/>
  <c r="N6874" i="6"/>
  <c r="M6874" i="6"/>
  <c r="K6874" i="6"/>
  <c r="L6874" i="6"/>
  <c r="N6890" i="6"/>
  <c r="K6890" i="6"/>
  <c r="M6890" i="6"/>
  <c r="L6890" i="6"/>
  <c r="L6901" i="6"/>
  <c r="N6901" i="6"/>
  <c r="M6901" i="6"/>
  <c r="K6901" i="6"/>
  <c r="K3418" i="6"/>
  <c r="K3489" i="6"/>
  <c r="K3951" i="6"/>
  <c r="K3955" i="6"/>
  <c r="L4523" i="6"/>
  <c r="N4523" i="6"/>
  <c r="K4523" i="6"/>
  <c r="M4523" i="6"/>
  <c r="L4527" i="6"/>
  <c r="N4527" i="6"/>
  <c r="K4527" i="6"/>
  <c r="M4527" i="6"/>
  <c r="L4531" i="6"/>
  <c r="N4531" i="6"/>
  <c r="K4531" i="6"/>
  <c r="M4531" i="6"/>
  <c r="L4535" i="6"/>
  <c r="N4535" i="6"/>
  <c r="K4535" i="6"/>
  <c r="M4535" i="6"/>
  <c r="L4539" i="6"/>
  <c r="N4539" i="6"/>
  <c r="K4539" i="6"/>
  <c r="M4539" i="6"/>
  <c r="M4644" i="6"/>
  <c r="K4644" i="6"/>
  <c r="L4644" i="6"/>
  <c r="N4644" i="6"/>
  <c r="N4745" i="6"/>
  <c r="K4745" i="6"/>
  <c r="M4745" i="6"/>
  <c r="L4745" i="6"/>
  <c r="M4749" i="6"/>
  <c r="L4749" i="6"/>
  <c r="N4749" i="6"/>
  <c r="K4749" i="6"/>
  <c r="K4778" i="6"/>
  <c r="M4778" i="6"/>
  <c r="L4778" i="6"/>
  <c r="N4778" i="6"/>
  <c r="L4826" i="6"/>
  <c r="N4826" i="6"/>
  <c r="K4826" i="6"/>
  <c r="M4826" i="6"/>
  <c r="L4844" i="6"/>
  <c r="N4844" i="6"/>
  <c r="K4844" i="6"/>
  <c r="M4844" i="6"/>
  <c r="L4848" i="6"/>
  <c r="K4848" i="6"/>
  <c r="M4848" i="6"/>
  <c r="N4848" i="6"/>
  <c r="L4893" i="6"/>
  <c r="N4893" i="6"/>
  <c r="K4893" i="6"/>
  <c r="M4893" i="6"/>
  <c r="K4909" i="6"/>
  <c r="N4909" i="6"/>
  <c r="M4909" i="6"/>
  <c r="L4909" i="6"/>
  <c r="K4986" i="6"/>
  <c r="M4986" i="6"/>
  <c r="L4986" i="6"/>
  <c r="N4986" i="6"/>
  <c r="M5008" i="6"/>
  <c r="L5008" i="6"/>
  <c r="N5008" i="6"/>
  <c r="K5008" i="6"/>
  <c r="L5068" i="6"/>
  <c r="N5068" i="6"/>
  <c r="K5068" i="6"/>
  <c r="M5068" i="6"/>
  <c r="L5072" i="6"/>
  <c r="M5072" i="6"/>
  <c r="N5072" i="6"/>
  <c r="K5072" i="6"/>
  <c r="N5076" i="6"/>
  <c r="K5076" i="6"/>
  <c r="M5076" i="6"/>
  <c r="L5076" i="6"/>
  <c r="L5096" i="6"/>
  <c r="M5096" i="6"/>
  <c r="K5096" i="6"/>
  <c r="N5096" i="6"/>
  <c r="M5208" i="6"/>
  <c r="K5208" i="6"/>
  <c r="L5208" i="6"/>
  <c r="N5208" i="6"/>
  <c r="K5212" i="6"/>
  <c r="M5212" i="6"/>
  <c r="L5212" i="6"/>
  <c r="N5212" i="6"/>
  <c r="L5216" i="6"/>
  <c r="N5216" i="6"/>
  <c r="K5216" i="6"/>
  <c r="M5216" i="6"/>
  <c r="K5220" i="6"/>
  <c r="M5220" i="6"/>
  <c r="L5220" i="6"/>
  <c r="N5220" i="6"/>
  <c r="K5281" i="6"/>
  <c r="M5281" i="6"/>
  <c r="L5281" i="6"/>
  <c r="N5281" i="6"/>
  <c r="K5285" i="6"/>
  <c r="M5285" i="6"/>
  <c r="L5285" i="6"/>
  <c r="N5285" i="6"/>
  <c r="L5302" i="6"/>
  <c r="N5302" i="6"/>
  <c r="K5302" i="6"/>
  <c r="M5302" i="6"/>
  <c r="L5351" i="6"/>
  <c r="N5351" i="6"/>
  <c r="K5351" i="6"/>
  <c r="M5351" i="6"/>
  <c r="L5387" i="6"/>
  <c r="N5387" i="6"/>
  <c r="K5387" i="6"/>
  <c r="M5387" i="6"/>
  <c r="L5391" i="6"/>
  <c r="K5391" i="6"/>
  <c r="N5391" i="6"/>
  <c r="M5391" i="6"/>
  <c r="L5465" i="6"/>
  <c r="K5465" i="6"/>
  <c r="M5465" i="6"/>
  <c r="N5465" i="6"/>
  <c r="L5489" i="6"/>
  <c r="N5489" i="6"/>
  <c r="K5489" i="6"/>
  <c r="M5489" i="6"/>
  <c r="K5493" i="6"/>
  <c r="L5493" i="6"/>
  <c r="N5493" i="6"/>
  <c r="M5493" i="6"/>
  <c r="K5514" i="6"/>
  <c r="L5514" i="6"/>
  <c r="M5514" i="6"/>
  <c r="N5514" i="6"/>
  <c r="K5530" i="6"/>
  <c r="L5530" i="6"/>
  <c r="M5530" i="6"/>
  <c r="N5530" i="6"/>
  <c r="K5562" i="6"/>
  <c r="L5562" i="6"/>
  <c r="M5562" i="6"/>
  <c r="N5562" i="6"/>
  <c r="N5608" i="6"/>
  <c r="M5608" i="6"/>
  <c r="L5608" i="6"/>
  <c r="K5608" i="6"/>
  <c r="L5629" i="6"/>
  <c r="K5629" i="6"/>
  <c r="M5629" i="6"/>
  <c r="N5629" i="6"/>
  <c r="N5633" i="6"/>
  <c r="M5633" i="6"/>
  <c r="L5633" i="6"/>
  <c r="K5633" i="6"/>
  <c r="M5646" i="6"/>
  <c r="L5646" i="6"/>
  <c r="N5646" i="6"/>
  <c r="K5646" i="6"/>
  <c r="L5667" i="6"/>
  <c r="K5667" i="6"/>
  <c r="N5667" i="6"/>
  <c r="M5667" i="6"/>
  <c r="M5685" i="6"/>
  <c r="L5685" i="6"/>
  <c r="N5685" i="6"/>
  <c r="K5685" i="6"/>
  <c r="N5689" i="6"/>
  <c r="M5689" i="6"/>
  <c r="K5689" i="6"/>
  <c r="L5689" i="6"/>
  <c r="M5693" i="6"/>
  <c r="L5693" i="6"/>
  <c r="N5693" i="6"/>
  <c r="K5693" i="6"/>
  <c r="L5758" i="6"/>
  <c r="M5758" i="6"/>
  <c r="K5758" i="6"/>
  <c r="N5758" i="6"/>
  <c r="K5762" i="6"/>
  <c r="L5762" i="6"/>
  <c r="N5762" i="6"/>
  <c r="M5762" i="6"/>
  <c r="N5766" i="6"/>
  <c r="K5766" i="6"/>
  <c r="M5766" i="6"/>
  <c r="L5766" i="6"/>
  <c r="L5790" i="6"/>
  <c r="M5790" i="6"/>
  <c r="K5790" i="6"/>
  <c r="N5790" i="6"/>
  <c r="K5794" i="6"/>
  <c r="L5794" i="6"/>
  <c r="N5794" i="6"/>
  <c r="M5794" i="6"/>
  <c r="M5810" i="6"/>
  <c r="L5810" i="6"/>
  <c r="N5810" i="6"/>
  <c r="K5810" i="6"/>
  <c r="L5838" i="6"/>
  <c r="N5838" i="6"/>
  <c r="M5838" i="6"/>
  <c r="K5838" i="6"/>
  <c r="N5842" i="6"/>
  <c r="K5842" i="6"/>
  <c r="M5842" i="6"/>
  <c r="L5842" i="6"/>
  <c r="L5881" i="6"/>
  <c r="K5881" i="6"/>
  <c r="N5881" i="6"/>
  <c r="M5881" i="6"/>
  <c r="M5885" i="6"/>
  <c r="L5885" i="6"/>
  <c r="N5885" i="6"/>
  <c r="K5885" i="6"/>
  <c r="M5904" i="6"/>
  <c r="K5904" i="6"/>
  <c r="L5904" i="6"/>
  <c r="N5904" i="6"/>
  <c r="L5917" i="6"/>
  <c r="N5917" i="6"/>
  <c r="K5917" i="6"/>
  <c r="M5917" i="6"/>
  <c r="M5931" i="6"/>
  <c r="L5931" i="6"/>
  <c r="N5931" i="6"/>
  <c r="K5931" i="6"/>
  <c r="K5935" i="6"/>
  <c r="N5935" i="6"/>
  <c r="M5935" i="6"/>
  <c r="L5935" i="6"/>
  <c r="L5939" i="6"/>
  <c r="K5939" i="6"/>
  <c r="M5939" i="6"/>
  <c r="N5939" i="6"/>
  <c r="M5956" i="6"/>
  <c r="L5956" i="6"/>
  <c r="N5956" i="6"/>
  <c r="K5956" i="6"/>
  <c r="M5980" i="6"/>
  <c r="K5980" i="6"/>
  <c r="L5980" i="6"/>
  <c r="N5980" i="6"/>
  <c r="K5984" i="6"/>
  <c r="L5984" i="6"/>
  <c r="M5984" i="6"/>
  <c r="N5984" i="6"/>
  <c r="L6001" i="6"/>
  <c r="N6001" i="6"/>
  <c r="K6001" i="6"/>
  <c r="M6001" i="6"/>
  <c r="K6013" i="6"/>
  <c r="M6013" i="6"/>
  <c r="L6013" i="6"/>
  <c r="N6013" i="6"/>
  <c r="M6027" i="6"/>
  <c r="L6027" i="6"/>
  <c r="N6027" i="6"/>
  <c r="K6027" i="6"/>
  <c r="L6049" i="6"/>
  <c r="N6049" i="6"/>
  <c r="K6049" i="6"/>
  <c r="M6049" i="6"/>
  <c r="K6066" i="6"/>
  <c r="M6066" i="6"/>
  <c r="L6066" i="6"/>
  <c r="N6066" i="6"/>
  <c r="M6099" i="6"/>
  <c r="L6099" i="6"/>
  <c r="K6099" i="6"/>
  <c r="N6099" i="6"/>
  <c r="M6112" i="6"/>
  <c r="K6112" i="6"/>
  <c r="N6112" i="6"/>
  <c r="L6112" i="6"/>
  <c r="N6127" i="6"/>
  <c r="L6127" i="6"/>
  <c r="K6127" i="6"/>
  <c r="M6127" i="6"/>
  <c r="K6140" i="6"/>
  <c r="M6140" i="6"/>
  <c r="N6140" i="6"/>
  <c r="L6140" i="6"/>
  <c r="M6161" i="6"/>
  <c r="K6161" i="6"/>
  <c r="L6161" i="6"/>
  <c r="N6161" i="6"/>
  <c r="M6174" i="6"/>
  <c r="N6174" i="6"/>
  <c r="L6174" i="6"/>
  <c r="K6174" i="6"/>
  <c r="L6190" i="6"/>
  <c r="N6190" i="6"/>
  <c r="M6190" i="6"/>
  <c r="K6190" i="6"/>
  <c r="K6203" i="6"/>
  <c r="N6203" i="6"/>
  <c r="M6203" i="6"/>
  <c r="L6203" i="6"/>
  <c r="M6218" i="6"/>
  <c r="L6218" i="6"/>
  <c r="K6218" i="6"/>
  <c r="N6218" i="6"/>
  <c r="N6226" i="6"/>
  <c r="M6226" i="6"/>
  <c r="L6226" i="6"/>
  <c r="K6226" i="6"/>
  <c r="K6240" i="6"/>
  <c r="N6240" i="6"/>
  <c r="L6240" i="6"/>
  <c r="M6240" i="6"/>
  <c r="M6258" i="6"/>
  <c r="L6258" i="6"/>
  <c r="N6258" i="6"/>
  <c r="K6258" i="6"/>
  <c r="L6278" i="6"/>
  <c r="N6278" i="6"/>
  <c r="K6278" i="6"/>
  <c r="M6278" i="6"/>
  <c r="L6288" i="6"/>
  <c r="N6288" i="6"/>
  <c r="K6288" i="6"/>
  <c r="M6288" i="6"/>
  <c r="K6299" i="6"/>
  <c r="M6299" i="6"/>
  <c r="N6299" i="6"/>
  <c r="L6299" i="6"/>
  <c r="M6319" i="6"/>
  <c r="N6319" i="6"/>
  <c r="L6319" i="6"/>
  <c r="K6319" i="6"/>
  <c r="N6338" i="6"/>
  <c r="M6338" i="6"/>
  <c r="K6338" i="6"/>
  <c r="L6338" i="6"/>
  <c r="K6354" i="6"/>
  <c r="M6354" i="6"/>
  <c r="N6354" i="6"/>
  <c r="L6354" i="6"/>
  <c r="N6370" i="6"/>
  <c r="L6370" i="6"/>
  <c r="M6370" i="6"/>
  <c r="K6370" i="6"/>
  <c r="N6394" i="6"/>
  <c r="K6394" i="6"/>
  <c r="L6394" i="6"/>
  <c r="M6394" i="6"/>
  <c r="N6410" i="6"/>
  <c r="M6410" i="6"/>
  <c r="K6410" i="6"/>
  <c r="L6410" i="6"/>
  <c r="N6434" i="6"/>
  <c r="M6434" i="6"/>
  <c r="L6434" i="6"/>
  <c r="K6434" i="6"/>
  <c r="K6452" i="6"/>
  <c r="L6452" i="6"/>
  <c r="M6452" i="6"/>
  <c r="N6452" i="6"/>
  <c r="N6469" i="6"/>
  <c r="M6469" i="6"/>
  <c r="K6469" i="6"/>
  <c r="L6469" i="6"/>
  <c r="N6493" i="6"/>
  <c r="M6493" i="6"/>
  <c r="L6493" i="6"/>
  <c r="K6493" i="6"/>
  <c r="L6505" i="6"/>
  <c r="K6505" i="6"/>
  <c r="N6505" i="6"/>
  <c r="M6505" i="6"/>
  <c r="N6525" i="6"/>
  <c r="M6525" i="6"/>
  <c r="K6525" i="6"/>
  <c r="L6525" i="6"/>
  <c r="N6540" i="6"/>
  <c r="M6540" i="6"/>
  <c r="K6540" i="6"/>
  <c r="L6540" i="6"/>
  <c r="L6560" i="6"/>
  <c r="M6560" i="6"/>
  <c r="N6560" i="6"/>
  <c r="K6560" i="6"/>
  <c r="L6576" i="6"/>
  <c r="N6576" i="6"/>
  <c r="K6576" i="6"/>
  <c r="M6576" i="6"/>
  <c r="N6591" i="6"/>
  <c r="M6591" i="6"/>
  <c r="L6591" i="6"/>
  <c r="K6591" i="6"/>
  <c r="N6605" i="6"/>
  <c r="M6605" i="6"/>
  <c r="L6605" i="6"/>
  <c r="K6605" i="6"/>
  <c r="N6617" i="6"/>
  <c r="L6617" i="6"/>
  <c r="K6617" i="6"/>
  <c r="M6617" i="6"/>
  <c r="L6636" i="6"/>
  <c r="K6636" i="6"/>
  <c r="N6636" i="6"/>
  <c r="M6636" i="6"/>
  <c r="N6650" i="6"/>
  <c r="M6650" i="6"/>
  <c r="K6650" i="6"/>
  <c r="L6650" i="6"/>
  <c r="N6668" i="6"/>
  <c r="L6668" i="6"/>
  <c r="K6668" i="6"/>
  <c r="M6668" i="6"/>
  <c r="M6681" i="6"/>
  <c r="K6681" i="6"/>
  <c r="N6681" i="6"/>
  <c r="L6681" i="6"/>
  <c r="L6703" i="6"/>
  <c r="M6703" i="6"/>
  <c r="K6703" i="6"/>
  <c r="N6703" i="6"/>
  <c r="L6717" i="6"/>
  <c r="M6717" i="6"/>
  <c r="K6717" i="6"/>
  <c r="N6717" i="6"/>
  <c r="M6731" i="6"/>
  <c r="L6731" i="6"/>
  <c r="N6731" i="6"/>
  <c r="K6731" i="6"/>
  <c r="N6745" i="6"/>
  <c r="M6745" i="6"/>
  <c r="L6745" i="6"/>
  <c r="K6745" i="6"/>
  <c r="N6759" i="6"/>
  <c r="L6759" i="6"/>
  <c r="M6759" i="6"/>
  <c r="K6759" i="6"/>
  <c r="N6775" i="6"/>
  <c r="L6775" i="6"/>
  <c r="M6775" i="6"/>
  <c r="K6775" i="6"/>
  <c r="L6792" i="6"/>
  <c r="N6792" i="6"/>
  <c r="K6792" i="6"/>
  <c r="M6792" i="6"/>
  <c r="N6804" i="6"/>
  <c r="M6804" i="6"/>
  <c r="L6804" i="6"/>
  <c r="N6819" i="6"/>
  <c r="L6819" i="6"/>
  <c r="M6819" i="6"/>
  <c r="K6819" i="6"/>
  <c r="L6833" i="6"/>
  <c r="N6833" i="6"/>
  <c r="M6833" i="6"/>
  <c r="K6833" i="6"/>
  <c r="N6852" i="6"/>
  <c r="M6852" i="6"/>
  <c r="K6852" i="6"/>
  <c r="L6852" i="6"/>
  <c r="N6871" i="6"/>
  <c r="L6871" i="6"/>
  <c r="M6871" i="6"/>
  <c r="K6871" i="6"/>
  <c r="N6887" i="6"/>
  <c r="L6887" i="6"/>
  <c r="M6887" i="6"/>
  <c r="K6887" i="6"/>
  <c r="N6903" i="6"/>
  <c r="M6903" i="6"/>
  <c r="L6903" i="6"/>
  <c r="K6903" i="6"/>
  <c r="K4132" i="6"/>
  <c r="M3012" i="6"/>
  <c r="L3012" i="6"/>
  <c r="N3012" i="6"/>
  <c r="K3012" i="6"/>
  <c r="L3034" i="6"/>
  <c r="K3034" i="6"/>
  <c r="M3034" i="6"/>
  <c r="N3034" i="6"/>
  <c r="L3048" i="6"/>
  <c r="K3048" i="6"/>
  <c r="M3048" i="6"/>
  <c r="N3048" i="6"/>
  <c r="L3059" i="6"/>
  <c r="N3059" i="6"/>
  <c r="K3059" i="6"/>
  <c r="M3059" i="6"/>
  <c r="M3087" i="6"/>
  <c r="L3087" i="6"/>
  <c r="N3087" i="6"/>
  <c r="K3087" i="6"/>
  <c r="K3091" i="6"/>
  <c r="M3091" i="6"/>
  <c r="L3091" i="6"/>
  <c r="N3091" i="6"/>
  <c r="M3017" i="6"/>
  <c r="L3017" i="6"/>
  <c r="N3017" i="6"/>
  <c r="K3017" i="6"/>
  <c r="L3060" i="6"/>
  <c r="K3060" i="6"/>
  <c r="M3060" i="6"/>
  <c r="N3060" i="6"/>
  <c r="L3095" i="6"/>
  <c r="M3095" i="6"/>
  <c r="N3095" i="6"/>
  <c r="L3109" i="6"/>
  <c r="M3109" i="6"/>
  <c r="N3109" i="6"/>
  <c r="K3109" i="6"/>
  <c r="N3118" i="6"/>
  <c r="K3118" i="6"/>
  <c r="M3118" i="6"/>
  <c r="L3118" i="6"/>
  <c r="N3134" i="6"/>
  <c r="K3134" i="6"/>
  <c r="M3134" i="6"/>
  <c r="L3134" i="6"/>
  <c r="L3151" i="6"/>
  <c r="M3151" i="6"/>
  <c r="N3151" i="6"/>
  <c r="M3169" i="6"/>
  <c r="N3169" i="6"/>
  <c r="L3169" i="6"/>
  <c r="L3184" i="6"/>
  <c r="M3184" i="6"/>
  <c r="N3184" i="6"/>
  <c r="K3191" i="6"/>
  <c r="M3191" i="6"/>
  <c r="L3191" i="6"/>
  <c r="N3191" i="6"/>
  <c r="L3210" i="6"/>
  <c r="N3210" i="6"/>
  <c r="M3210" i="6"/>
  <c r="L3236" i="6"/>
  <c r="M3236" i="6"/>
  <c r="N3236" i="6"/>
  <c r="M3243" i="6"/>
  <c r="L3243" i="6"/>
  <c r="N3243" i="6"/>
  <c r="L3256" i="6"/>
  <c r="M3256" i="6"/>
  <c r="N3256" i="6"/>
  <c r="L3269" i="6"/>
  <c r="M3269" i="6"/>
  <c r="N3269" i="6"/>
  <c r="L3276" i="6"/>
  <c r="M3276" i="6"/>
  <c r="N3276" i="6"/>
  <c r="L3292" i="6"/>
  <c r="M3292" i="6"/>
  <c r="N3292" i="6"/>
  <c r="K3312" i="6"/>
  <c r="M3312" i="6"/>
  <c r="L3312" i="6"/>
  <c r="N3312" i="6"/>
  <c r="K3322" i="6"/>
  <c r="N3322" i="6"/>
  <c r="M3322" i="6"/>
  <c r="L3322" i="6"/>
  <c r="K3334" i="6"/>
  <c r="L3334" i="6"/>
  <c r="N3334" i="6"/>
  <c r="M3334" i="6"/>
  <c r="K3345" i="6"/>
  <c r="M3345" i="6"/>
  <c r="L3345" i="6"/>
  <c r="N3345" i="6"/>
  <c r="L3359" i="6"/>
  <c r="M3359" i="6"/>
  <c r="N3359" i="6"/>
  <c r="L3380" i="6"/>
  <c r="N3380" i="6"/>
  <c r="M3380" i="6"/>
  <c r="K3389" i="6"/>
  <c r="L3389" i="6"/>
  <c r="N3389" i="6"/>
  <c r="M3389" i="6"/>
  <c r="L3397" i="6"/>
  <c r="N3397" i="6"/>
  <c r="M3397" i="6"/>
  <c r="L3404" i="6"/>
  <c r="N3404" i="6"/>
  <c r="M3404" i="6"/>
  <c r="L3413" i="6"/>
  <c r="K3413" i="6"/>
  <c r="M3413" i="6"/>
  <c r="N3413" i="6"/>
  <c r="K3020" i="6"/>
  <c r="M3020" i="6"/>
  <c r="L3020" i="6"/>
  <c r="N3020" i="6"/>
  <c r="L3051" i="6"/>
  <c r="M3051" i="6"/>
  <c r="N3051" i="6"/>
  <c r="M3063" i="6"/>
  <c r="L3063" i="6"/>
  <c r="N3063" i="6"/>
  <c r="K3063" i="6"/>
  <c r="N3067" i="6"/>
  <c r="K3067" i="6"/>
  <c r="M3067" i="6"/>
  <c r="L3067" i="6"/>
  <c r="M3071" i="6"/>
  <c r="L3071" i="6"/>
  <c r="N3071" i="6"/>
  <c r="K3071" i="6"/>
  <c r="N3075" i="6"/>
  <c r="K3075" i="6"/>
  <c r="M3075" i="6"/>
  <c r="L3075" i="6"/>
  <c r="L3112" i="6"/>
  <c r="M3112" i="6"/>
  <c r="N3112" i="6"/>
  <c r="L3123" i="6"/>
  <c r="M3123" i="6"/>
  <c r="K3123" i="6"/>
  <c r="N3123" i="6"/>
  <c r="M3138" i="6"/>
  <c r="L3138" i="6"/>
  <c r="N3138" i="6"/>
  <c r="K3138" i="6"/>
  <c r="K3153" i="6"/>
  <c r="M3153" i="6"/>
  <c r="L3153" i="6"/>
  <c r="N3153" i="6"/>
  <c r="L3171" i="6"/>
  <c r="M3171" i="6"/>
  <c r="K3171" i="6"/>
  <c r="L3185" i="6"/>
  <c r="K3185" i="6"/>
  <c r="N3185" i="6"/>
  <c r="M3185" i="6"/>
  <c r="K3199" i="6"/>
  <c r="L3199" i="6"/>
  <c r="M3199" i="6"/>
  <c r="N3199" i="6"/>
  <c r="L3212" i="6"/>
  <c r="N3212" i="6"/>
  <c r="M3212" i="6"/>
  <c r="L3232" i="6"/>
  <c r="M3232" i="6"/>
  <c r="N3232" i="6"/>
  <c r="M3251" i="6"/>
  <c r="L3251" i="6"/>
  <c r="N3251" i="6"/>
  <c r="L3264" i="6"/>
  <c r="M3264" i="6"/>
  <c r="N3264" i="6"/>
  <c r="K3283" i="6"/>
  <c r="M3283" i="6"/>
  <c r="L3283" i="6"/>
  <c r="N3283" i="6"/>
  <c r="M3299" i="6"/>
  <c r="L3299" i="6"/>
  <c r="N3299" i="6"/>
  <c r="L3315" i="6"/>
  <c r="M3315" i="6"/>
  <c r="N3315" i="6"/>
  <c r="L3348" i="6"/>
  <c r="K3348" i="6"/>
  <c r="M3348" i="6"/>
  <c r="N3348" i="6"/>
  <c r="L3360" i="6"/>
  <c r="K3360" i="6"/>
  <c r="M3360" i="6"/>
  <c r="N3360" i="6"/>
  <c r="K3374" i="6"/>
  <c r="L3374" i="6"/>
  <c r="N3374" i="6"/>
  <c r="M3374" i="6"/>
  <c r="L3392" i="6"/>
  <c r="N3392" i="6"/>
  <c r="M3392" i="6"/>
  <c r="L3040" i="6"/>
  <c r="N3040" i="6"/>
  <c r="K3040" i="6"/>
  <c r="M3040" i="6"/>
  <c r="M3106" i="6"/>
  <c r="L3106" i="6"/>
  <c r="N3106" i="6"/>
  <c r="K3106" i="6"/>
  <c r="M3125" i="6"/>
  <c r="L3125" i="6"/>
  <c r="N3125" i="6"/>
  <c r="L3154" i="6"/>
  <c r="K3154" i="6"/>
  <c r="M3154" i="6"/>
  <c r="N3154" i="6"/>
  <c r="L3172" i="6"/>
  <c r="M3172" i="6"/>
  <c r="K3172" i="6"/>
  <c r="N3172" i="6"/>
  <c r="L3214" i="6"/>
  <c r="K3214" i="6"/>
  <c r="M3214" i="6"/>
  <c r="N3214" i="6"/>
  <c r="L3226" i="6"/>
  <c r="M3226" i="6"/>
  <c r="N3226" i="6"/>
  <c r="K3232" i="6"/>
  <c r="K3242" i="6"/>
  <c r="K3267" i="6"/>
  <c r="M3267" i="6"/>
  <c r="L3267" i="6"/>
  <c r="N3267" i="6"/>
  <c r="L3278" i="6"/>
  <c r="K3278" i="6"/>
  <c r="M3278" i="6"/>
  <c r="N3278" i="6"/>
  <c r="L3337" i="6"/>
  <c r="M3337" i="6"/>
  <c r="N3337" i="6"/>
  <c r="M3365" i="6"/>
  <c r="L3365" i="6"/>
  <c r="N3365" i="6"/>
  <c r="L3384" i="6"/>
  <c r="N3384" i="6"/>
  <c r="M3384" i="6"/>
  <c r="K3392" i="6"/>
  <c r="M3434" i="6"/>
  <c r="L3434" i="6"/>
  <c r="N3434" i="6"/>
  <c r="K3434" i="6"/>
  <c r="L3443" i="6"/>
  <c r="M3443" i="6"/>
  <c r="N3443" i="6"/>
  <c r="N3447" i="6"/>
  <c r="K3447" i="6"/>
  <c r="L3447" i="6"/>
  <c r="M3447" i="6"/>
  <c r="L3472" i="6"/>
  <c r="N3472" i="6"/>
  <c r="M3472" i="6"/>
  <c r="L3476" i="6"/>
  <c r="N3476" i="6"/>
  <c r="K3476" i="6"/>
  <c r="M3476" i="6"/>
  <c r="M3480" i="6"/>
  <c r="K3480" i="6"/>
  <c r="L3480" i="6"/>
  <c r="N3480" i="6"/>
  <c r="M3484" i="6"/>
  <c r="N3484" i="6"/>
  <c r="K3484" i="6"/>
  <c r="L3484" i="6"/>
  <c r="L3496" i="6"/>
  <c r="K3496" i="6"/>
  <c r="M3496" i="6"/>
  <c r="N3496" i="6"/>
  <c r="L3516" i="6"/>
  <c r="N3516" i="6"/>
  <c r="M3516" i="6"/>
  <c r="K3539" i="6"/>
  <c r="M3539" i="6"/>
  <c r="L3539" i="6"/>
  <c r="N3539" i="6"/>
  <c r="L3555" i="6"/>
  <c r="N3555" i="6"/>
  <c r="K3555" i="6"/>
  <c r="M3555" i="6"/>
  <c r="L3563" i="6"/>
  <c r="N3563" i="6"/>
  <c r="K3563" i="6"/>
  <c r="M3563" i="6"/>
  <c r="L3571" i="6"/>
  <c r="N3571" i="6"/>
  <c r="K3571" i="6"/>
  <c r="M3571" i="6"/>
  <c r="L3593" i="6"/>
  <c r="N3593" i="6"/>
  <c r="K3593" i="6"/>
  <c r="M3593" i="6"/>
  <c r="L3601" i="6"/>
  <c r="N3601" i="6"/>
  <c r="K3601" i="6"/>
  <c r="M3601" i="6"/>
  <c r="K3605" i="6"/>
  <c r="L3605" i="6"/>
  <c r="M3605" i="6"/>
  <c r="N3605" i="6"/>
  <c r="K3629" i="6"/>
  <c r="M3629" i="6"/>
  <c r="L3629" i="6"/>
  <c r="N3629" i="6"/>
  <c r="K3645" i="6"/>
  <c r="M3645" i="6"/>
  <c r="L3645" i="6"/>
  <c r="N3645" i="6"/>
  <c r="L3660" i="6"/>
  <c r="M3660" i="6"/>
  <c r="N3660" i="6"/>
  <c r="L3692" i="6"/>
  <c r="M3692" i="6"/>
  <c r="N3692" i="6"/>
  <c r="N3726" i="6"/>
  <c r="K3726" i="6"/>
  <c r="M3726" i="6"/>
  <c r="L3726" i="6"/>
  <c r="K3730" i="6"/>
  <c r="M3730" i="6"/>
  <c r="L3730" i="6"/>
  <c r="N3730" i="6"/>
  <c r="M3853" i="6"/>
  <c r="L3853" i="6"/>
  <c r="N3853" i="6"/>
  <c r="K3853" i="6"/>
  <c r="K3874" i="6"/>
  <c r="M3874" i="6"/>
  <c r="N3874" i="6"/>
  <c r="L3874" i="6"/>
  <c r="M3878" i="6"/>
  <c r="L3878" i="6"/>
  <c r="N3878" i="6"/>
  <c r="K3878" i="6"/>
  <c r="N3882" i="6"/>
  <c r="K3882" i="6"/>
  <c r="M3882" i="6"/>
  <c r="L3882" i="6"/>
  <c r="L3892" i="6"/>
  <c r="N3892" i="6"/>
  <c r="M3892" i="6"/>
  <c r="L3916" i="6"/>
  <c r="N3916" i="6"/>
  <c r="M3916" i="6"/>
  <c r="L3925" i="6"/>
  <c r="M3925" i="6"/>
  <c r="N3925" i="6"/>
  <c r="N3929" i="6"/>
  <c r="L3929" i="6"/>
  <c r="K3929" i="6"/>
  <c r="M3929" i="6"/>
  <c r="L3947" i="6"/>
  <c r="N3947" i="6"/>
  <c r="M3947" i="6"/>
  <c r="K3947" i="6"/>
  <c r="K3968" i="6"/>
  <c r="M3968" i="6"/>
  <c r="N3968" i="6"/>
  <c r="L3968" i="6"/>
  <c r="K3972" i="6"/>
  <c r="M3972" i="6"/>
  <c r="N3972" i="6"/>
  <c r="L3972" i="6"/>
  <c r="K3976" i="6"/>
  <c r="M3976" i="6"/>
  <c r="N3976" i="6"/>
  <c r="L3976" i="6"/>
  <c r="L3986" i="6"/>
  <c r="N3986" i="6"/>
  <c r="M3986" i="6"/>
  <c r="M3998" i="6"/>
  <c r="L3998" i="6"/>
  <c r="N3998" i="6"/>
  <c r="L4022" i="6"/>
  <c r="N4022" i="6"/>
  <c r="K4022" i="6"/>
  <c r="M4022" i="6"/>
  <c r="K4036" i="6"/>
  <c r="M4036" i="6"/>
  <c r="N4036" i="6"/>
  <c r="L4036" i="6"/>
  <c r="L4061" i="6"/>
  <c r="N4061" i="6"/>
  <c r="M4061" i="6"/>
  <c r="K4061" i="6"/>
  <c r="L4089" i="6"/>
  <c r="K4089" i="6"/>
  <c r="N4089" i="6"/>
  <c r="M4089" i="6"/>
  <c r="N4093" i="6"/>
  <c r="K4093" i="6"/>
  <c r="M4093" i="6"/>
  <c r="L4093" i="6"/>
  <c r="L4097" i="6"/>
  <c r="N4097" i="6"/>
  <c r="K4097" i="6"/>
  <c r="M4097" i="6"/>
  <c r="N4101" i="6"/>
  <c r="M4101" i="6"/>
  <c r="L4101" i="6"/>
  <c r="L4133" i="6"/>
  <c r="N4133" i="6"/>
  <c r="M4133" i="6"/>
  <c r="N4142" i="6"/>
  <c r="L4142" i="6"/>
  <c r="M4142" i="6"/>
  <c r="L4146" i="6"/>
  <c r="N4146" i="6"/>
  <c r="K4146" i="6"/>
  <c r="M4146" i="6"/>
  <c r="N4189" i="6"/>
  <c r="K4189" i="6"/>
  <c r="M4189" i="6"/>
  <c r="L4189" i="6"/>
  <c r="L4211" i="6"/>
  <c r="M4211" i="6"/>
  <c r="N4211" i="6"/>
  <c r="K4211" i="6"/>
  <c r="L4215" i="6"/>
  <c r="N4215" i="6"/>
  <c r="K4215" i="6"/>
  <c r="M4215" i="6"/>
  <c r="L4219" i="6"/>
  <c r="M4219" i="6"/>
  <c r="N4219" i="6"/>
  <c r="K4219" i="6"/>
  <c r="M4232" i="6"/>
  <c r="L4232" i="6"/>
  <c r="N4232" i="6"/>
  <c r="K4232" i="6"/>
  <c r="N4244" i="6"/>
  <c r="K4244" i="6"/>
  <c r="M4244" i="6"/>
  <c r="L4244" i="6"/>
  <c r="N4256" i="6"/>
  <c r="M4256" i="6"/>
  <c r="K4256" i="6"/>
  <c r="L4256" i="6"/>
  <c r="N4279" i="6"/>
  <c r="K4279" i="6"/>
  <c r="M4279" i="6"/>
  <c r="L4279" i="6"/>
  <c r="L4283" i="6"/>
  <c r="M4283" i="6"/>
  <c r="N4283" i="6"/>
  <c r="K4283" i="6"/>
  <c r="L4310" i="6"/>
  <c r="M4310" i="6"/>
  <c r="N4310" i="6"/>
  <c r="K4310" i="6"/>
  <c r="K4338" i="6"/>
  <c r="L4338" i="6"/>
  <c r="M4338" i="6"/>
  <c r="N4338" i="6"/>
  <c r="L4342" i="6"/>
  <c r="N4342" i="6"/>
  <c r="K4342" i="6"/>
  <c r="M4342" i="6"/>
  <c r="M4346" i="6"/>
  <c r="L4346" i="6"/>
  <c r="N4346" i="6"/>
  <c r="K4346" i="6"/>
  <c r="L4350" i="6"/>
  <c r="K4350" i="6"/>
  <c r="M4350" i="6"/>
  <c r="N4350" i="6"/>
  <c r="L4402" i="6"/>
  <c r="K4402" i="6"/>
  <c r="M4402" i="6"/>
  <c r="N4402" i="6"/>
  <c r="K4439" i="6"/>
  <c r="M4439" i="6"/>
  <c r="L4439" i="6"/>
  <c r="N4439" i="6"/>
  <c r="K4443" i="6"/>
  <c r="M4443" i="6"/>
  <c r="N4443" i="6"/>
  <c r="L4443" i="6"/>
  <c r="M4447" i="6"/>
  <c r="K4447" i="6"/>
  <c r="L4447" i="6"/>
  <c r="N4447" i="6"/>
  <c r="K4451" i="6"/>
  <c r="M4451" i="6"/>
  <c r="N4451" i="6"/>
  <c r="L4451" i="6"/>
  <c r="K4467" i="6"/>
  <c r="M4467" i="6"/>
  <c r="N4467" i="6"/>
  <c r="L4467" i="6"/>
  <c r="L3097" i="6"/>
  <c r="K3097" i="6"/>
  <c r="N3097" i="6"/>
  <c r="M3097" i="6"/>
  <c r="M3114" i="6"/>
  <c r="L3114" i="6"/>
  <c r="N3114" i="6"/>
  <c r="K3114" i="6"/>
  <c r="K3142" i="6"/>
  <c r="M3142" i="6"/>
  <c r="N3142" i="6"/>
  <c r="L3142" i="6"/>
  <c r="L3163" i="6"/>
  <c r="N3163" i="6"/>
  <c r="M3163" i="6"/>
  <c r="K3169" i="6"/>
  <c r="K3184" i="6"/>
  <c r="L3208" i="6"/>
  <c r="M3208" i="6"/>
  <c r="N3208" i="6"/>
  <c r="L3233" i="6"/>
  <c r="M3233" i="6"/>
  <c r="N3233" i="6"/>
  <c r="K3233" i="6"/>
  <c r="L3246" i="6"/>
  <c r="K3246" i="6"/>
  <c r="N3246" i="6"/>
  <c r="M3246" i="6"/>
  <c r="L3260" i="6"/>
  <c r="K3260" i="6"/>
  <c r="M3260" i="6"/>
  <c r="N3260" i="6"/>
  <c r="K3276" i="6"/>
  <c r="K3298" i="6"/>
  <c r="L3353" i="6"/>
  <c r="K3353" i="6"/>
  <c r="N3353" i="6"/>
  <c r="M3353" i="6"/>
  <c r="L3376" i="6"/>
  <c r="N3376" i="6"/>
  <c r="K3376" i="6"/>
  <c r="M3376" i="6"/>
  <c r="K3395" i="6"/>
  <c r="M3395" i="6"/>
  <c r="N3395" i="6"/>
  <c r="L3395" i="6"/>
  <c r="N3419" i="6"/>
  <c r="L3419" i="6"/>
  <c r="M3419" i="6"/>
  <c r="M3440" i="6"/>
  <c r="N3440" i="6"/>
  <c r="K3440" i="6"/>
  <c r="L3440" i="6"/>
  <c r="L3468" i="6"/>
  <c r="K3468" i="6"/>
  <c r="M3468" i="6"/>
  <c r="N3468" i="6"/>
  <c r="L3490" i="6"/>
  <c r="N3490" i="6"/>
  <c r="K3490" i="6"/>
  <c r="M3490" i="6"/>
  <c r="L3518" i="6"/>
  <c r="N3518" i="6"/>
  <c r="M3518" i="6"/>
  <c r="K3518" i="6"/>
  <c r="L3528" i="6"/>
  <c r="N3528" i="6"/>
  <c r="K3528" i="6"/>
  <c r="M3528" i="6"/>
  <c r="M3532" i="6"/>
  <c r="L3532" i="6"/>
  <c r="N3532" i="6"/>
  <c r="K3532" i="6"/>
  <c r="M3545" i="6"/>
  <c r="K3545" i="6"/>
  <c r="N3545" i="6"/>
  <c r="L3545" i="6"/>
  <c r="K3549" i="6"/>
  <c r="N3549" i="6"/>
  <c r="M3549" i="6"/>
  <c r="L3549" i="6"/>
  <c r="L3558" i="6"/>
  <c r="N3558" i="6"/>
  <c r="K3558" i="6"/>
  <c r="M3558" i="6"/>
  <c r="N3567" i="6"/>
  <c r="M3567" i="6"/>
  <c r="L3567" i="6"/>
  <c r="K3567" i="6"/>
  <c r="N3575" i="6"/>
  <c r="M3575" i="6"/>
  <c r="L3575" i="6"/>
  <c r="L3583" i="6"/>
  <c r="N3583" i="6"/>
  <c r="M3583" i="6"/>
  <c r="K3583" i="6"/>
  <c r="L3597" i="6"/>
  <c r="N3597" i="6"/>
  <c r="M3597" i="6"/>
  <c r="M3613" i="6"/>
  <c r="K3613" i="6"/>
  <c r="L3613" i="6"/>
  <c r="N3613" i="6"/>
  <c r="K3617" i="6"/>
  <c r="M3617" i="6"/>
  <c r="L3617" i="6"/>
  <c r="N3617" i="6"/>
  <c r="L3633" i="6"/>
  <c r="N3633" i="6"/>
  <c r="K3633" i="6"/>
  <c r="M3633" i="6"/>
  <c r="K3644" i="6"/>
  <c r="M3652" i="6"/>
  <c r="L3652" i="6"/>
  <c r="N3652" i="6"/>
  <c r="K3652" i="6"/>
  <c r="K3660" i="6"/>
  <c r="M3676" i="6"/>
  <c r="L3676" i="6"/>
  <c r="N3676" i="6"/>
  <c r="L3680" i="6"/>
  <c r="M3680" i="6"/>
  <c r="N3680" i="6"/>
  <c r="K3692" i="6"/>
  <c r="L3703" i="6"/>
  <c r="K3703" i="6"/>
  <c r="M3703" i="6"/>
  <c r="N3703" i="6"/>
  <c r="M3707" i="6"/>
  <c r="N3707" i="6"/>
  <c r="K3707" i="6"/>
  <c r="L3707" i="6"/>
  <c r="L3711" i="6"/>
  <c r="N3711" i="6"/>
  <c r="K3711" i="6"/>
  <c r="M3711" i="6"/>
  <c r="N3715" i="6"/>
  <c r="L3715" i="6"/>
  <c r="M3715" i="6"/>
  <c r="L3719" i="6"/>
  <c r="N3719" i="6"/>
  <c r="M3719" i="6"/>
  <c r="M3741" i="6"/>
  <c r="L3741" i="6"/>
  <c r="N3741" i="6"/>
  <c r="K3741" i="6"/>
  <c r="K3745" i="6"/>
  <c r="M3745" i="6"/>
  <c r="L3745" i="6"/>
  <c r="N3745" i="6"/>
  <c r="M3749" i="6"/>
  <c r="L3749" i="6"/>
  <c r="N3749" i="6"/>
  <c r="K3749" i="6"/>
  <c r="M3753" i="6"/>
  <c r="L3753" i="6"/>
  <c r="N3753" i="6"/>
  <c r="K3753" i="6"/>
  <c r="M3757" i="6"/>
  <c r="L3757" i="6"/>
  <c r="N3757" i="6"/>
  <c r="K3757" i="6"/>
  <c r="L3761" i="6"/>
  <c r="N3761" i="6"/>
  <c r="K3761" i="6"/>
  <c r="M3761" i="6"/>
  <c r="M3765" i="6"/>
  <c r="L3765" i="6"/>
  <c r="N3765" i="6"/>
  <c r="K3765" i="6"/>
  <c r="L3769" i="6"/>
  <c r="N3769" i="6"/>
  <c r="K3769" i="6"/>
  <c r="M3769" i="6"/>
  <c r="M3773" i="6"/>
  <c r="L3773" i="6"/>
  <c r="N3773" i="6"/>
  <c r="K3773" i="6"/>
  <c r="K3777" i="6"/>
  <c r="M3777" i="6"/>
  <c r="L3777" i="6"/>
  <c r="N3777" i="6"/>
  <c r="M3781" i="6"/>
  <c r="L3781" i="6"/>
  <c r="N3781" i="6"/>
  <c r="K3781" i="6"/>
  <c r="M3785" i="6"/>
  <c r="L3785" i="6"/>
  <c r="N3785" i="6"/>
  <c r="K3785" i="6"/>
  <c r="M3789" i="6"/>
  <c r="L3789" i="6"/>
  <c r="N3789" i="6"/>
  <c r="K3789" i="6"/>
  <c r="M3793" i="6"/>
  <c r="L3793" i="6"/>
  <c r="N3793" i="6"/>
  <c r="K3793" i="6"/>
  <c r="M3797" i="6"/>
  <c r="L3797" i="6"/>
  <c r="N3797" i="6"/>
  <c r="K3797" i="6"/>
  <c r="L3801" i="6"/>
  <c r="N3801" i="6"/>
  <c r="K3801" i="6"/>
  <c r="M3801" i="6"/>
  <c r="M3805" i="6"/>
  <c r="L3805" i="6"/>
  <c r="N3805" i="6"/>
  <c r="K3805" i="6"/>
  <c r="K3809" i="6"/>
  <c r="M3809" i="6"/>
  <c r="L3809" i="6"/>
  <c r="N3809" i="6"/>
  <c r="M3813" i="6"/>
  <c r="L3813" i="6"/>
  <c r="N3813" i="6"/>
  <c r="K3813" i="6"/>
  <c r="M3817" i="6"/>
  <c r="L3817" i="6"/>
  <c r="N3817" i="6"/>
  <c r="K3817" i="6"/>
  <c r="M3821" i="6"/>
  <c r="L3821" i="6"/>
  <c r="N3821" i="6"/>
  <c r="K3821" i="6"/>
  <c r="N3825" i="6"/>
  <c r="K3825" i="6"/>
  <c r="M3825" i="6"/>
  <c r="L3825" i="6"/>
  <c r="M3829" i="6"/>
  <c r="L3829" i="6"/>
  <c r="N3829" i="6"/>
  <c r="K3829" i="6"/>
  <c r="L3833" i="6"/>
  <c r="N3833" i="6"/>
  <c r="K3833" i="6"/>
  <c r="M3833" i="6"/>
  <c r="M3837" i="6"/>
  <c r="L3837" i="6"/>
  <c r="N3837" i="6"/>
  <c r="K3837" i="6"/>
  <c r="K3841" i="6"/>
  <c r="M3841" i="6"/>
  <c r="L3841" i="6"/>
  <c r="N3841" i="6"/>
  <c r="M3845" i="6"/>
  <c r="L3845" i="6"/>
  <c r="N3845" i="6"/>
  <c r="K3845" i="6"/>
  <c r="L3849" i="6"/>
  <c r="N3849" i="6"/>
  <c r="K3849" i="6"/>
  <c r="M3849" i="6"/>
  <c r="L3888" i="6"/>
  <c r="N3888" i="6"/>
  <c r="M3888" i="6"/>
  <c r="L3896" i="6"/>
  <c r="M3896" i="6"/>
  <c r="N3896" i="6"/>
  <c r="K3896" i="6"/>
  <c r="L3921" i="6"/>
  <c r="M3921" i="6"/>
  <c r="N3921" i="6"/>
  <c r="L3938" i="6"/>
  <c r="M3938" i="6"/>
  <c r="N3938" i="6"/>
  <c r="M3952" i="6"/>
  <c r="L3952" i="6"/>
  <c r="N3952" i="6"/>
  <c r="K3956" i="6"/>
  <c r="M3956" i="6"/>
  <c r="N3956" i="6"/>
  <c r="L3956" i="6"/>
  <c r="L3983" i="6"/>
  <c r="N3983" i="6"/>
  <c r="K3983" i="6"/>
  <c r="M3983" i="6"/>
  <c r="L4002" i="6"/>
  <c r="N4002" i="6"/>
  <c r="M4002" i="6"/>
  <c r="K4002" i="6"/>
  <c r="L4110" i="6"/>
  <c r="K4110" i="6"/>
  <c r="M4110" i="6"/>
  <c r="N4110" i="6"/>
  <c r="N4114" i="6"/>
  <c r="M4114" i="6"/>
  <c r="L4114" i="6"/>
  <c r="L4124" i="6"/>
  <c r="M4124" i="6"/>
  <c r="N4124" i="6"/>
  <c r="L4151" i="6"/>
  <c r="N4151" i="6"/>
  <c r="M4151" i="6"/>
  <c r="K4151" i="6"/>
  <c r="K4168" i="6"/>
  <c r="N4168" i="6"/>
  <c r="M4168" i="6"/>
  <c r="L4168" i="6"/>
  <c r="M4181" i="6"/>
  <c r="L4181" i="6"/>
  <c r="N4181" i="6"/>
  <c r="K4181" i="6"/>
  <c r="M4224" i="6"/>
  <c r="N4224" i="6"/>
  <c r="K4224" i="6"/>
  <c r="L4224" i="6"/>
  <c r="L4228" i="6"/>
  <c r="K4228" i="6"/>
  <c r="M4228" i="6"/>
  <c r="N4228" i="6"/>
  <c r="M4238" i="6"/>
  <c r="L4238" i="6"/>
  <c r="N4238" i="6"/>
  <c r="K4238" i="6"/>
  <c r="N4251" i="6"/>
  <c r="M4251" i="6"/>
  <c r="L4251" i="6"/>
  <c r="K4251" i="6"/>
  <c r="K4267" i="6"/>
  <c r="M4267" i="6"/>
  <c r="L4267" i="6"/>
  <c r="N4267" i="6"/>
  <c r="L4290" i="6"/>
  <c r="K4290" i="6"/>
  <c r="M4290" i="6"/>
  <c r="N4290" i="6"/>
  <c r="K4323" i="6"/>
  <c r="M4323" i="6"/>
  <c r="N4323" i="6"/>
  <c r="L4323" i="6"/>
  <c r="K4327" i="6"/>
  <c r="M4327" i="6"/>
  <c r="L4327" i="6"/>
  <c r="N4327" i="6"/>
  <c r="M4331" i="6"/>
  <c r="K4331" i="6"/>
  <c r="N4331" i="6"/>
  <c r="L4331" i="6"/>
  <c r="K4375" i="6"/>
  <c r="M4375" i="6"/>
  <c r="L4375" i="6"/>
  <c r="N4375" i="6"/>
  <c r="N4436" i="6"/>
  <c r="K4436" i="6"/>
  <c r="M4436" i="6"/>
  <c r="L4436" i="6"/>
  <c r="L4460" i="6"/>
  <c r="N4460" i="6"/>
  <c r="K4460" i="6"/>
  <c r="M4460" i="6"/>
  <c r="L4464" i="6"/>
  <c r="N4464" i="6"/>
  <c r="K4464" i="6"/>
  <c r="M4464" i="6"/>
  <c r="L4504" i="6"/>
  <c r="N4504" i="6"/>
  <c r="K4504" i="6"/>
  <c r="M4504" i="6"/>
  <c r="K4508" i="6"/>
  <c r="N4508" i="6"/>
  <c r="M4508" i="6"/>
  <c r="L4508" i="6"/>
  <c r="L4512" i="6"/>
  <c r="K4512" i="6"/>
  <c r="N4512" i="6"/>
  <c r="M4512" i="6"/>
  <c r="K4516" i="6"/>
  <c r="N4516" i="6"/>
  <c r="M4516" i="6"/>
  <c r="L4516" i="6"/>
  <c r="K4548" i="6"/>
  <c r="N4548" i="6"/>
  <c r="M4548" i="6"/>
  <c r="L4548" i="6"/>
  <c r="N4570" i="6"/>
  <c r="L4570" i="6"/>
  <c r="K4570" i="6"/>
  <c r="M4570" i="6"/>
  <c r="L4574" i="6"/>
  <c r="N4574" i="6"/>
  <c r="K4574" i="6"/>
  <c r="M4574" i="6"/>
  <c r="L4578" i="6"/>
  <c r="N4578" i="6"/>
  <c r="M4578" i="6"/>
  <c r="K4578" i="6"/>
  <c r="M4582" i="6"/>
  <c r="L4582" i="6"/>
  <c r="N4582" i="6"/>
  <c r="K4582" i="6"/>
  <c r="K4586" i="6"/>
  <c r="M4586" i="6"/>
  <c r="L4586" i="6"/>
  <c r="N4586" i="6"/>
  <c r="L4590" i="6"/>
  <c r="M4590" i="6"/>
  <c r="N4590" i="6"/>
  <c r="K4590" i="6"/>
  <c r="M4594" i="6"/>
  <c r="K4594" i="6"/>
  <c r="L4594" i="6"/>
  <c r="N4594" i="6"/>
  <c r="K4609" i="6"/>
  <c r="M4609" i="6"/>
  <c r="L4609" i="6"/>
  <c r="N4609" i="6"/>
  <c r="L4639" i="6"/>
  <c r="N4639" i="6"/>
  <c r="K4639" i="6"/>
  <c r="M4639" i="6"/>
  <c r="L4678" i="6"/>
  <c r="N4678" i="6"/>
  <c r="K4678" i="6"/>
  <c r="M4678" i="6"/>
  <c r="N4682" i="6"/>
  <c r="K4682" i="6"/>
  <c r="M4682" i="6"/>
  <c r="L4682" i="6"/>
  <c r="K4706" i="6"/>
  <c r="M4706" i="6"/>
  <c r="L4706" i="6"/>
  <c r="N4706" i="6"/>
  <c r="K4722" i="6"/>
  <c r="M4722" i="6"/>
  <c r="L4722" i="6"/>
  <c r="N4722" i="6"/>
  <c r="L4734" i="6"/>
  <c r="N4734" i="6"/>
  <c r="K4734" i="6"/>
  <c r="M4734" i="6"/>
  <c r="L4758" i="6"/>
  <c r="K4758" i="6"/>
  <c r="N4758" i="6"/>
  <c r="M4758" i="6"/>
  <c r="K4774" i="6"/>
  <c r="M4774" i="6"/>
  <c r="L4774" i="6"/>
  <c r="N4774" i="6"/>
  <c r="L4788" i="6"/>
  <c r="K4788" i="6"/>
  <c r="M4788" i="6"/>
  <c r="N4788" i="6"/>
  <c r="K4141" i="6"/>
  <c r="L4552" i="6"/>
  <c r="K4552" i="6"/>
  <c r="N4552" i="6"/>
  <c r="M4552" i="6"/>
  <c r="M4556" i="6"/>
  <c r="K4556" i="6"/>
  <c r="N4556" i="6"/>
  <c r="L4556" i="6"/>
  <c r="K4599" i="6"/>
  <c r="M4599" i="6"/>
  <c r="L4599" i="6"/>
  <c r="N4599" i="6"/>
  <c r="L4603" i="6"/>
  <c r="N4603" i="6"/>
  <c r="K4603" i="6"/>
  <c r="M4603" i="6"/>
  <c r="K4664" i="6"/>
  <c r="M4664" i="6"/>
  <c r="L4664" i="6"/>
  <c r="N4664" i="6"/>
  <c r="L4695" i="6"/>
  <c r="N4695" i="6"/>
  <c r="K4695" i="6"/>
  <c r="M4695" i="6"/>
  <c r="K4699" i="6"/>
  <c r="M4699" i="6"/>
  <c r="L4699" i="6"/>
  <c r="N4699" i="6"/>
  <c r="K4740" i="6"/>
  <c r="N4740" i="6"/>
  <c r="M4740" i="6"/>
  <c r="L4740" i="6"/>
  <c r="L4765" i="6"/>
  <c r="N4765" i="6"/>
  <c r="K4765" i="6"/>
  <c r="M4765" i="6"/>
  <c r="L4805" i="6"/>
  <c r="N4805" i="6"/>
  <c r="K4805" i="6"/>
  <c r="M4805" i="6"/>
  <c r="L4821" i="6"/>
  <c r="N4821" i="6"/>
  <c r="K4821" i="6"/>
  <c r="M4821" i="6"/>
  <c r="L4837" i="6"/>
  <c r="K4837" i="6"/>
  <c r="M4837" i="6"/>
  <c r="N4837" i="6"/>
  <c r="N4861" i="6"/>
  <c r="K4861" i="6"/>
  <c r="M4861" i="6"/>
  <c r="L4861" i="6"/>
  <c r="K4878" i="6"/>
  <c r="M4878" i="6"/>
  <c r="L4878" i="6"/>
  <c r="N4878" i="6"/>
  <c r="N4882" i="6"/>
  <c r="K4882" i="6"/>
  <c r="M4882" i="6"/>
  <c r="L4882" i="6"/>
  <c r="M4901" i="6"/>
  <c r="N4901" i="6"/>
  <c r="L4901" i="6"/>
  <c r="K4901" i="6"/>
  <c r="M4929" i="6"/>
  <c r="L4929" i="6"/>
  <c r="N4929" i="6"/>
  <c r="K4929" i="6"/>
  <c r="K4949" i="6"/>
  <c r="N4949" i="6"/>
  <c r="M4949" i="6"/>
  <c r="L4949" i="6"/>
  <c r="M4953" i="6"/>
  <c r="K4953" i="6"/>
  <c r="L4953" i="6"/>
  <c r="N4953" i="6"/>
  <c r="M4957" i="6"/>
  <c r="N4957" i="6"/>
  <c r="K4957" i="6"/>
  <c r="L4957" i="6"/>
  <c r="M4977" i="6"/>
  <c r="L4977" i="6"/>
  <c r="N4977" i="6"/>
  <c r="K4977" i="6"/>
  <c r="N4981" i="6"/>
  <c r="M4981" i="6"/>
  <c r="K4981" i="6"/>
  <c r="L4981" i="6"/>
  <c r="K4998" i="6"/>
  <c r="M4998" i="6"/>
  <c r="L4998" i="6"/>
  <c r="N4998" i="6"/>
  <c r="N5016" i="6"/>
  <c r="K5016" i="6"/>
  <c r="M5016" i="6"/>
  <c r="L5016" i="6"/>
  <c r="K5020" i="6"/>
  <c r="N5020" i="6"/>
  <c r="M5020" i="6"/>
  <c r="L5020" i="6"/>
  <c r="L5024" i="6"/>
  <c r="M5024" i="6"/>
  <c r="N5024" i="6"/>
  <c r="K5024" i="6"/>
  <c r="M5048" i="6"/>
  <c r="K5048" i="6"/>
  <c r="L5048" i="6"/>
  <c r="N5048" i="6"/>
  <c r="N5052" i="6"/>
  <c r="K5052" i="6"/>
  <c r="M5052" i="6"/>
  <c r="L5052" i="6"/>
  <c r="M5091" i="6"/>
  <c r="L5091" i="6"/>
  <c r="N5091" i="6"/>
  <c r="K5091" i="6"/>
  <c r="L5103" i="6"/>
  <c r="N5103" i="6"/>
  <c r="K5103" i="6"/>
  <c r="M5103" i="6"/>
  <c r="N5132" i="6"/>
  <c r="K5132" i="6"/>
  <c r="M5132" i="6"/>
  <c r="L5132" i="6"/>
  <c r="L5149" i="6"/>
  <c r="N5149" i="6"/>
  <c r="K5149" i="6"/>
  <c r="M5149" i="6"/>
  <c r="K5153" i="6"/>
  <c r="M5153" i="6"/>
  <c r="L5153" i="6"/>
  <c r="N5153" i="6"/>
  <c r="M5166" i="6"/>
  <c r="K5166" i="6"/>
  <c r="L5166" i="6"/>
  <c r="N5166" i="6"/>
  <c r="K5170" i="6"/>
  <c r="M5170" i="6"/>
  <c r="L5170" i="6"/>
  <c r="N5170" i="6"/>
  <c r="K5174" i="6"/>
  <c r="M5174" i="6"/>
  <c r="N5174" i="6"/>
  <c r="L5174" i="6"/>
  <c r="K5178" i="6"/>
  <c r="M5178" i="6"/>
  <c r="L5178" i="6"/>
  <c r="N5178" i="6"/>
  <c r="K5182" i="6"/>
  <c r="M5182" i="6"/>
  <c r="L5182" i="6"/>
  <c r="N5182" i="6"/>
  <c r="K5186" i="6"/>
  <c r="M5186" i="6"/>
  <c r="L5186" i="6"/>
  <c r="N5186" i="6"/>
  <c r="M5190" i="6"/>
  <c r="K5190" i="6"/>
  <c r="N5190" i="6"/>
  <c r="L5190" i="6"/>
  <c r="K5194" i="6"/>
  <c r="M5194" i="6"/>
  <c r="L5194" i="6"/>
  <c r="N5194" i="6"/>
  <c r="N5198" i="6"/>
  <c r="M5198" i="6"/>
  <c r="L5198" i="6"/>
  <c r="K5198" i="6"/>
  <c r="K5252" i="6"/>
  <c r="M5252" i="6"/>
  <c r="L5252" i="6"/>
  <c r="N5252" i="6"/>
  <c r="M5275" i="6"/>
  <c r="K5275" i="6"/>
  <c r="N5275" i="6"/>
  <c r="L5275" i="6"/>
  <c r="L5294" i="6"/>
  <c r="N5294" i="6"/>
  <c r="K5294" i="6"/>
  <c r="M5294" i="6"/>
  <c r="L5307" i="6"/>
  <c r="N5307" i="6"/>
  <c r="M5307" i="6"/>
  <c r="K5307" i="6"/>
  <c r="N5311" i="6"/>
  <c r="M5311" i="6"/>
  <c r="L5311" i="6"/>
  <c r="K5311" i="6"/>
  <c r="M5315" i="6"/>
  <c r="N5315" i="6"/>
  <c r="K5315" i="6"/>
  <c r="L5315" i="6"/>
  <c r="N5331" i="6"/>
  <c r="K5331" i="6"/>
  <c r="M5331" i="6"/>
  <c r="L5331" i="6"/>
  <c r="K5343" i="6"/>
  <c r="M5343" i="6"/>
  <c r="L5343" i="6"/>
  <c r="N5343" i="6"/>
  <c r="N5347" i="6"/>
  <c r="K5347" i="6"/>
  <c r="M5347" i="6"/>
  <c r="L5347" i="6"/>
  <c r="K5371" i="6"/>
  <c r="M5371" i="6"/>
  <c r="L5371" i="6"/>
  <c r="N5371" i="6"/>
  <c r="M5375" i="6"/>
  <c r="N5375" i="6"/>
  <c r="K5375" i="6"/>
  <c r="L5375" i="6"/>
  <c r="N5379" i="6"/>
  <c r="K5379" i="6"/>
  <c r="M5379" i="6"/>
  <c r="L5379" i="6"/>
  <c r="K5402" i="6"/>
  <c r="L5402" i="6"/>
  <c r="M5402" i="6"/>
  <c r="N5402" i="6"/>
  <c r="K5406" i="6"/>
  <c r="M5406" i="6"/>
  <c r="L5406" i="6"/>
  <c r="N5406" i="6"/>
  <c r="K5410" i="6"/>
  <c r="M5410" i="6"/>
  <c r="L5410" i="6"/>
  <c r="N5410" i="6"/>
  <c r="K5434" i="6"/>
  <c r="L5434" i="6"/>
  <c r="M5434" i="6"/>
  <c r="N5434" i="6"/>
  <c r="K5438" i="6"/>
  <c r="M5438" i="6"/>
  <c r="L5438" i="6"/>
  <c r="N5438" i="6"/>
  <c r="K5442" i="6"/>
  <c r="M5442" i="6"/>
  <c r="L5442" i="6"/>
  <c r="N5442" i="6"/>
  <c r="N5476" i="6"/>
  <c r="K5476" i="6"/>
  <c r="M5476" i="6"/>
  <c r="L5476" i="6"/>
  <c r="M5501" i="6"/>
  <c r="L5501" i="6"/>
  <c r="N5501" i="6"/>
  <c r="K5501" i="6"/>
  <c r="K3676" i="6"/>
  <c r="N4559" i="6"/>
  <c r="M4559" i="6"/>
  <c r="L4559" i="6"/>
  <c r="K4559" i="6"/>
  <c r="L4611" i="6"/>
  <c r="N4611" i="6"/>
  <c r="K4611" i="6"/>
  <c r="M4611" i="6"/>
  <c r="K4615" i="6"/>
  <c r="M4615" i="6"/>
  <c r="L4615" i="6"/>
  <c r="N4615" i="6"/>
  <c r="L4619" i="6"/>
  <c r="N4619" i="6"/>
  <c r="K4619" i="6"/>
  <c r="M4619" i="6"/>
  <c r="L4623" i="6"/>
  <c r="N4623" i="6"/>
  <c r="K4623" i="6"/>
  <c r="M4623" i="6"/>
  <c r="K4728" i="6"/>
  <c r="M4728" i="6"/>
  <c r="L4728" i="6"/>
  <c r="N4728" i="6"/>
  <c r="N4792" i="6"/>
  <c r="K4792" i="6"/>
  <c r="M4792" i="6"/>
  <c r="L4792" i="6"/>
  <c r="N4816" i="6"/>
  <c r="K4816" i="6"/>
  <c r="M4816" i="6"/>
  <c r="L4816" i="6"/>
  <c r="L4885" i="6"/>
  <c r="M4885" i="6"/>
  <c r="K4885" i="6"/>
  <c r="N4885" i="6"/>
  <c r="K4933" i="6"/>
  <c r="M4933" i="6"/>
  <c r="L4933" i="6"/>
  <c r="N4933" i="6"/>
  <c r="N4965" i="6"/>
  <c r="M4965" i="6"/>
  <c r="L4965" i="6"/>
  <c r="K4965" i="6"/>
  <c r="M5028" i="6"/>
  <c r="L5028" i="6"/>
  <c r="N5028" i="6"/>
  <c r="K5028" i="6"/>
  <c r="M5057" i="6"/>
  <c r="N5057" i="6"/>
  <c r="L5057" i="6"/>
  <c r="K5057" i="6"/>
  <c r="K5105" i="6"/>
  <c r="M5105" i="6"/>
  <c r="L5105" i="6"/>
  <c r="N5105" i="6"/>
  <c r="N5109" i="6"/>
  <c r="K5109" i="6"/>
  <c r="M5109" i="6"/>
  <c r="L5109" i="6"/>
  <c r="K5113" i="6"/>
  <c r="M5113" i="6"/>
  <c r="N5113" i="6"/>
  <c r="L5113" i="6"/>
  <c r="L5117" i="6"/>
  <c r="K5117" i="6"/>
  <c r="M5117" i="6"/>
  <c r="N5117" i="6"/>
  <c r="K5121" i="6"/>
  <c r="N5121" i="6"/>
  <c r="M5121" i="6"/>
  <c r="L5121" i="6"/>
  <c r="K5140" i="6"/>
  <c r="L5140" i="6"/>
  <c r="N5140" i="6"/>
  <c r="M5140" i="6"/>
  <c r="K5144" i="6"/>
  <c r="M5144" i="6"/>
  <c r="L5144" i="6"/>
  <c r="N5144" i="6"/>
  <c r="K5234" i="6"/>
  <c r="M5234" i="6"/>
  <c r="N5234" i="6"/>
  <c r="L5234" i="6"/>
  <c r="M5317" i="6"/>
  <c r="L5317" i="6"/>
  <c r="N5317" i="6"/>
  <c r="K5317" i="6"/>
  <c r="M5335" i="6"/>
  <c r="N5335" i="6"/>
  <c r="K5335" i="6"/>
  <c r="L5335" i="6"/>
  <c r="K5414" i="6"/>
  <c r="M5414" i="6"/>
  <c r="L5414" i="6"/>
  <c r="N5414" i="6"/>
  <c r="K5450" i="6"/>
  <c r="L5450" i="6"/>
  <c r="M5450" i="6"/>
  <c r="N5450" i="6"/>
  <c r="K5454" i="6"/>
  <c r="M5454" i="6"/>
  <c r="L5454" i="6"/>
  <c r="N5454" i="6"/>
  <c r="K5507" i="6"/>
  <c r="M5507" i="6"/>
  <c r="L5507" i="6"/>
  <c r="N5507" i="6"/>
  <c r="K5511" i="6"/>
  <c r="M5511" i="6"/>
  <c r="L5511" i="6"/>
  <c r="N5511" i="6"/>
  <c r="N5544" i="6"/>
  <c r="M5544" i="6"/>
  <c r="L5544" i="6"/>
  <c r="K5544" i="6"/>
  <c r="N5576" i="6"/>
  <c r="M5576" i="6"/>
  <c r="L5576" i="6"/>
  <c r="K5576" i="6"/>
  <c r="L5592" i="6"/>
  <c r="M5592" i="6"/>
  <c r="N5592" i="6"/>
  <c r="K5592" i="6"/>
  <c r="K5596" i="6"/>
  <c r="M5596" i="6"/>
  <c r="L5596" i="6"/>
  <c r="N5596" i="6"/>
  <c r="N5600" i="6"/>
  <c r="K5600" i="6"/>
  <c r="M5600" i="6"/>
  <c r="L5600" i="6"/>
  <c r="K5620" i="6"/>
  <c r="M5620" i="6"/>
  <c r="L5620" i="6"/>
  <c r="N5620" i="6"/>
  <c r="L5654" i="6"/>
  <c r="M5654" i="6"/>
  <c r="K5654" i="6"/>
  <c r="N5654" i="6"/>
  <c r="L5671" i="6"/>
  <c r="K5671" i="6"/>
  <c r="M5671" i="6"/>
  <c r="N5671" i="6"/>
  <c r="L5675" i="6"/>
  <c r="N5675" i="6"/>
  <c r="K5675" i="6"/>
  <c r="M5675" i="6"/>
  <c r="K5712" i="6"/>
  <c r="M5712" i="6"/>
  <c r="N5712" i="6"/>
  <c r="L5712" i="6"/>
  <c r="M5716" i="6"/>
  <c r="K5716" i="6"/>
  <c r="L5716" i="6"/>
  <c r="N5716" i="6"/>
  <c r="M5720" i="6"/>
  <c r="K5720" i="6"/>
  <c r="N5720" i="6"/>
  <c r="L5720" i="6"/>
  <c r="M5753" i="6"/>
  <c r="K5753" i="6"/>
  <c r="L5753" i="6"/>
  <c r="N5753" i="6"/>
  <c r="K5777" i="6"/>
  <c r="L5777" i="6"/>
  <c r="N5777" i="6"/>
  <c r="M5777" i="6"/>
  <c r="K5781" i="6"/>
  <c r="L5781" i="6"/>
  <c r="M5781" i="6"/>
  <c r="N5781" i="6"/>
  <c r="L5871" i="6"/>
  <c r="N5871" i="6"/>
  <c r="M5871" i="6"/>
  <c r="K5871" i="6"/>
  <c r="N5893" i="6"/>
  <c r="L5893" i="6"/>
  <c r="K5893" i="6"/>
  <c r="M5893" i="6"/>
  <c r="L5947" i="6"/>
  <c r="K5947" i="6"/>
  <c r="M5947" i="6"/>
  <c r="N5947" i="6"/>
  <c r="M5960" i="6"/>
  <c r="L5960" i="6"/>
  <c r="N5960" i="6"/>
  <c r="K5960" i="6"/>
  <c r="L5991" i="6"/>
  <c r="M5991" i="6"/>
  <c r="K5991" i="6"/>
  <c r="N5991" i="6"/>
  <c r="M5995" i="6"/>
  <c r="N5995" i="6"/>
  <c r="K5995" i="6"/>
  <c r="L5995" i="6"/>
  <c r="L6017" i="6"/>
  <c r="N6017" i="6"/>
  <c r="K6017" i="6"/>
  <c r="M6017" i="6"/>
  <c r="L6031" i="6"/>
  <c r="N6031" i="6"/>
  <c r="K6031" i="6"/>
  <c r="M6031" i="6"/>
  <c r="L6043" i="6"/>
  <c r="N6043" i="6"/>
  <c r="K6043" i="6"/>
  <c r="M6043" i="6"/>
  <c r="M6054" i="6"/>
  <c r="N6054" i="6"/>
  <c r="L6054" i="6"/>
  <c r="K6054" i="6"/>
  <c r="N6091" i="6"/>
  <c r="K6091" i="6"/>
  <c r="L6091" i="6"/>
  <c r="M6091" i="6"/>
  <c r="K6110" i="6"/>
  <c r="N6110" i="6"/>
  <c r="L6110" i="6"/>
  <c r="M6110" i="6"/>
  <c r="M6133" i="6"/>
  <c r="K6133" i="6"/>
  <c r="N6133" i="6"/>
  <c r="L6133" i="6"/>
  <c r="M6148" i="6"/>
  <c r="K6148" i="6"/>
  <c r="N6148" i="6"/>
  <c r="L6148" i="6"/>
  <c r="N6164" i="6"/>
  <c r="M6164" i="6"/>
  <c r="L6164" i="6"/>
  <c r="K6164" i="6"/>
  <c r="M6181" i="6"/>
  <c r="K6181" i="6"/>
  <c r="L6181" i="6"/>
  <c r="N6181" i="6"/>
  <c r="L6199" i="6"/>
  <c r="K6199" i="6"/>
  <c r="M6199" i="6"/>
  <c r="N6199" i="6"/>
  <c r="L6207" i="6"/>
  <c r="M6207" i="6"/>
  <c r="N6207" i="6"/>
  <c r="M6215" i="6"/>
  <c r="N6215" i="6"/>
  <c r="L6215" i="6"/>
  <c r="K6215" i="6"/>
  <c r="M6235" i="6"/>
  <c r="K6235" i="6"/>
  <c r="L6235" i="6"/>
  <c r="N6235" i="6"/>
  <c r="M6252" i="6"/>
  <c r="N6252" i="6"/>
  <c r="L6252" i="6"/>
  <c r="K6252" i="6"/>
  <c r="M6267" i="6"/>
  <c r="L6267" i="6"/>
  <c r="N6267" i="6"/>
  <c r="K6267" i="6"/>
  <c r="M6282" i="6"/>
  <c r="L6282" i="6"/>
  <c r="K6282" i="6"/>
  <c r="N6282" i="6"/>
  <c r="L6308" i="6"/>
  <c r="K6308" i="6"/>
  <c r="N6308" i="6"/>
  <c r="M6308" i="6"/>
  <c r="N6312" i="6"/>
  <c r="L6312" i="6"/>
  <c r="M6312" i="6"/>
  <c r="K6312" i="6"/>
  <c r="K6336" i="6"/>
  <c r="N6336" i="6"/>
  <c r="M6336" i="6"/>
  <c r="L6336" i="6"/>
  <c r="N6343" i="6"/>
  <c r="K6343" i="6"/>
  <c r="M6343" i="6"/>
  <c r="L6343" i="6"/>
  <c r="N6358" i="6"/>
  <c r="K6358" i="6"/>
  <c r="M6358" i="6"/>
  <c r="L6358" i="6"/>
  <c r="K6367" i="6"/>
  <c r="L6367" i="6"/>
  <c r="N6367" i="6"/>
  <c r="M6367" i="6"/>
  <c r="L6384" i="6"/>
  <c r="N6384" i="6"/>
  <c r="M6384" i="6"/>
  <c r="K6384" i="6"/>
  <c r="M6408" i="6"/>
  <c r="K6408" i="6"/>
  <c r="N6408" i="6"/>
  <c r="L6408" i="6"/>
  <c r="N6421" i="6"/>
  <c r="K6421" i="6"/>
  <c r="L6421" i="6"/>
  <c r="M6421" i="6"/>
  <c r="L6440" i="6"/>
  <c r="K6440" i="6"/>
  <c r="N6440" i="6"/>
  <c r="M6440" i="6"/>
  <c r="L6457" i="6"/>
  <c r="K6457" i="6"/>
  <c r="N6457" i="6"/>
  <c r="M6457" i="6"/>
  <c r="K6472" i="6"/>
  <c r="N6472" i="6"/>
  <c r="L6472" i="6"/>
  <c r="M6472" i="6"/>
  <c r="L6484" i="6"/>
  <c r="K6484" i="6"/>
  <c r="M6484" i="6"/>
  <c r="N6484" i="6"/>
  <c r="L6509" i="6"/>
  <c r="K6509" i="6"/>
  <c r="N6509" i="6"/>
  <c r="M6509" i="6"/>
  <c r="M6528" i="6"/>
  <c r="K6528" i="6"/>
  <c r="N6528" i="6"/>
  <c r="L6528" i="6"/>
  <c r="N6542" i="6"/>
  <c r="K6542" i="6"/>
  <c r="L6542" i="6"/>
  <c r="M6542" i="6"/>
  <c r="L6553" i="6"/>
  <c r="N6553" i="6"/>
  <c r="M6553" i="6"/>
  <c r="K6553" i="6"/>
  <c r="L6568" i="6"/>
  <c r="K6568" i="6"/>
  <c r="N6568" i="6"/>
  <c r="M6568" i="6"/>
  <c r="N6585" i="6"/>
  <c r="K6585" i="6"/>
  <c r="M6585" i="6"/>
  <c r="L6585" i="6"/>
  <c r="N6603" i="6"/>
  <c r="L6603" i="6"/>
  <c r="M6603" i="6"/>
  <c r="K6603" i="6"/>
  <c r="M6619" i="6"/>
  <c r="L6619" i="6"/>
  <c r="N6619" i="6"/>
  <c r="K6619" i="6"/>
  <c r="M6639" i="6"/>
  <c r="L6639" i="6"/>
  <c r="N6639" i="6"/>
  <c r="K6639" i="6"/>
  <c r="N6658" i="6"/>
  <c r="L6658" i="6"/>
  <c r="M6658" i="6"/>
  <c r="K6658" i="6"/>
  <c r="M6665" i="6"/>
  <c r="N6665" i="6"/>
  <c r="K6665" i="6"/>
  <c r="L6665" i="6"/>
  <c r="M6683" i="6"/>
  <c r="L6683" i="6"/>
  <c r="N6683" i="6"/>
  <c r="K6683" i="6"/>
  <c r="N6699" i="6"/>
  <c r="L6699" i="6"/>
  <c r="M6699" i="6"/>
  <c r="K6699" i="6"/>
  <c r="N6707" i="6"/>
  <c r="L6707" i="6"/>
  <c r="M6707" i="6"/>
  <c r="K6707" i="6"/>
  <c r="L6719" i="6"/>
  <c r="M6719" i="6"/>
  <c r="K6719" i="6"/>
  <c r="N6719" i="6"/>
  <c r="L6733" i="6"/>
  <c r="M6733" i="6"/>
  <c r="N6733" i="6"/>
  <c r="K6733" i="6"/>
  <c r="L6755" i="6"/>
  <c r="M6755" i="6"/>
  <c r="N6755" i="6"/>
  <c r="K6755" i="6"/>
  <c r="L6772" i="6"/>
  <c r="N6772" i="6"/>
  <c r="M6772" i="6"/>
  <c r="K6772" i="6"/>
  <c r="N6784" i="6"/>
  <c r="L6784" i="6"/>
  <c r="M6784" i="6"/>
  <c r="K6784" i="6"/>
  <c r="L6801" i="6"/>
  <c r="M6801" i="6"/>
  <c r="N6801" i="6"/>
  <c r="K6801" i="6"/>
  <c r="L6821" i="6"/>
  <c r="N6821" i="6"/>
  <c r="K6821" i="6"/>
  <c r="M6821" i="6"/>
  <c r="N6836" i="6"/>
  <c r="M6836" i="6"/>
  <c r="L6836" i="6"/>
  <c r="K6836" i="6"/>
  <c r="L6849" i="6"/>
  <c r="N6849" i="6"/>
  <c r="M6849" i="6"/>
  <c r="K6849" i="6"/>
  <c r="L6860" i="6"/>
  <c r="N6860" i="6"/>
  <c r="M6860" i="6"/>
  <c r="K6860" i="6"/>
  <c r="M6875" i="6"/>
  <c r="L6875" i="6"/>
  <c r="N6875" i="6"/>
  <c r="K6875" i="6"/>
  <c r="N6894" i="6"/>
  <c r="K6894" i="6"/>
  <c r="L6894" i="6"/>
  <c r="M6894" i="6"/>
  <c r="K3952" i="6"/>
  <c r="K4524" i="6"/>
  <c r="N4524" i="6"/>
  <c r="M4524" i="6"/>
  <c r="L4524" i="6"/>
  <c r="L4528" i="6"/>
  <c r="K4528" i="6"/>
  <c r="N4528" i="6"/>
  <c r="M4528" i="6"/>
  <c r="K4532" i="6"/>
  <c r="N4532" i="6"/>
  <c r="M4532" i="6"/>
  <c r="L4532" i="6"/>
  <c r="L4536" i="6"/>
  <c r="K4536" i="6"/>
  <c r="N4536" i="6"/>
  <c r="M4536" i="6"/>
  <c r="K4540" i="6"/>
  <c r="N4540" i="6"/>
  <c r="M4540" i="6"/>
  <c r="L4540" i="6"/>
  <c r="L4645" i="6"/>
  <c r="N4645" i="6"/>
  <c r="K4645" i="6"/>
  <c r="M4645" i="6"/>
  <c r="K4746" i="6"/>
  <c r="L4746" i="6"/>
  <c r="M4746" i="6"/>
  <c r="N4746" i="6"/>
  <c r="N4750" i="6"/>
  <c r="K4750" i="6"/>
  <c r="L4750" i="6"/>
  <c r="M4750" i="6"/>
  <c r="L4779" i="6"/>
  <c r="N4779" i="6"/>
  <c r="M4779" i="6"/>
  <c r="K4779" i="6"/>
  <c r="N4827" i="6"/>
  <c r="K4827" i="6"/>
  <c r="M4827" i="6"/>
  <c r="L4827" i="6"/>
  <c r="N4845" i="6"/>
  <c r="K4845" i="6"/>
  <c r="M4845" i="6"/>
  <c r="L4845" i="6"/>
  <c r="N4849" i="6"/>
  <c r="L4849" i="6"/>
  <c r="K4849" i="6"/>
  <c r="M4849" i="6"/>
  <c r="K4894" i="6"/>
  <c r="M4894" i="6"/>
  <c r="L4894" i="6"/>
  <c r="N4894" i="6"/>
  <c r="K4910" i="6"/>
  <c r="M4910" i="6"/>
  <c r="L4910" i="6"/>
  <c r="N4910" i="6"/>
  <c r="L5005" i="6"/>
  <c r="N5005" i="6"/>
  <c r="K5005" i="6"/>
  <c r="M5005" i="6"/>
  <c r="L5065" i="6"/>
  <c r="N5065" i="6"/>
  <c r="K5065" i="6"/>
  <c r="M5065" i="6"/>
  <c r="K5069" i="6"/>
  <c r="L5069" i="6"/>
  <c r="N5069" i="6"/>
  <c r="M5069" i="6"/>
  <c r="L5073" i="6"/>
  <c r="M5073" i="6"/>
  <c r="N5073" i="6"/>
  <c r="K5073" i="6"/>
  <c r="N5077" i="6"/>
  <c r="M5077" i="6"/>
  <c r="L5077" i="6"/>
  <c r="K5077" i="6"/>
  <c r="L5155" i="6"/>
  <c r="N5155" i="6"/>
  <c r="K5155" i="6"/>
  <c r="M5155" i="6"/>
  <c r="K5209" i="6"/>
  <c r="M5209" i="6"/>
  <c r="L5209" i="6"/>
  <c r="N5209" i="6"/>
  <c r="L5213" i="6"/>
  <c r="N5213" i="6"/>
  <c r="K5213" i="6"/>
  <c r="M5213" i="6"/>
  <c r="L5217" i="6"/>
  <c r="N5217" i="6"/>
  <c r="K5217" i="6"/>
  <c r="M5217" i="6"/>
  <c r="L5278" i="6"/>
  <c r="N5278" i="6"/>
  <c r="K5278" i="6"/>
  <c r="M5278" i="6"/>
  <c r="K5282" i="6"/>
  <c r="M5282" i="6"/>
  <c r="L5282" i="6"/>
  <c r="N5282" i="6"/>
  <c r="M5286" i="6"/>
  <c r="L5286" i="6"/>
  <c r="N5286" i="6"/>
  <c r="K5286" i="6"/>
  <c r="L5348" i="6"/>
  <c r="M5348" i="6"/>
  <c r="K5348" i="6"/>
  <c r="N5348" i="6"/>
  <c r="L5384" i="6"/>
  <c r="K5384" i="6"/>
  <c r="M5384" i="6"/>
  <c r="N5384" i="6"/>
  <c r="L5388" i="6"/>
  <c r="M5388" i="6"/>
  <c r="N5388" i="6"/>
  <c r="K5388" i="6"/>
  <c r="M5392" i="6"/>
  <c r="L5392" i="6"/>
  <c r="N5392" i="6"/>
  <c r="K5392" i="6"/>
  <c r="K5466" i="6"/>
  <c r="L5466" i="6"/>
  <c r="M5466" i="6"/>
  <c r="N5466" i="6"/>
  <c r="K5490" i="6"/>
  <c r="M5490" i="6"/>
  <c r="L5490" i="6"/>
  <c r="N5490" i="6"/>
  <c r="K5494" i="6"/>
  <c r="M5494" i="6"/>
  <c r="L5494" i="6"/>
  <c r="N5494" i="6"/>
  <c r="L5527" i="6"/>
  <c r="N5527" i="6"/>
  <c r="K5527" i="6"/>
  <c r="M5527" i="6"/>
  <c r="L5559" i="6"/>
  <c r="N5559" i="6"/>
  <c r="K5559" i="6"/>
  <c r="M5559" i="6"/>
  <c r="L5585" i="6"/>
  <c r="N5585" i="6"/>
  <c r="K5585" i="6"/>
  <c r="M5585" i="6"/>
  <c r="M5609" i="6"/>
  <c r="N5609" i="6"/>
  <c r="K5609" i="6"/>
  <c r="L5609" i="6"/>
  <c r="L5630" i="6"/>
  <c r="N5630" i="6"/>
  <c r="K5630" i="6"/>
  <c r="M5630" i="6"/>
  <c r="K5634" i="6"/>
  <c r="M5634" i="6"/>
  <c r="L5634" i="6"/>
  <c r="N5634" i="6"/>
  <c r="L5647" i="6"/>
  <c r="M5647" i="6"/>
  <c r="N5647" i="6"/>
  <c r="K5647" i="6"/>
  <c r="L5682" i="6"/>
  <c r="M5682" i="6"/>
  <c r="N5682" i="6"/>
  <c r="K5682" i="6"/>
  <c r="L5686" i="6"/>
  <c r="M5686" i="6"/>
  <c r="N5686" i="6"/>
  <c r="K5686" i="6"/>
  <c r="K5690" i="6"/>
  <c r="N5690" i="6"/>
  <c r="M5690" i="6"/>
  <c r="L5690" i="6"/>
  <c r="L5735" i="6"/>
  <c r="N5735" i="6"/>
  <c r="K5735" i="6"/>
  <c r="M5735" i="6"/>
  <c r="M5759" i="6"/>
  <c r="L5759" i="6"/>
  <c r="N5759" i="6"/>
  <c r="K5759" i="6"/>
  <c r="L5763" i="6"/>
  <c r="K5763" i="6"/>
  <c r="N5763" i="6"/>
  <c r="M5763" i="6"/>
  <c r="L5767" i="6"/>
  <c r="K5767" i="6"/>
  <c r="N5767" i="6"/>
  <c r="M5767" i="6"/>
  <c r="M5791" i="6"/>
  <c r="L5791" i="6"/>
  <c r="N5791" i="6"/>
  <c r="K5791" i="6"/>
  <c r="L5807" i="6"/>
  <c r="K5807" i="6"/>
  <c r="N5807" i="6"/>
  <c r="M5807" i="6"/>
  <c r="K5811" i="6"/>
  <c r="N5811" i="6"/>
  <c r="M5811" i="6"/>
  <c r="L5811" i="6"/>
  <c r="K5839" i="6"/>
  <c r="L5839" i="6"/>
  <c r="N5839" i="6"/>
  <c r="M5839" i="6"/>
  <c r="L5851" i="6"/>
  <c r="N5851" i="6"/>
  <c r="M5851" i="6"/>
  <c r="K5851" i="6"/>
  <c r="M5882" i="6"/>
  <c r="L5882" i="6"/>
  <c r="N5882" i="6"/>
  <c r="K5882" i="6"/>
  <c r="L5901" i="6"/>
  <c r="M5901" i="6"/>
  <c r="N5901" i="6"/>
  <c r="K5901" i="6"/>
  <c r="N5905" i="6"/>
  <c r="M5905" i="6"/>
  <c r="L5905" i="6"/>
  <c r="K5905" i="6"/>
  <c r="K5918" i="6"/>
  <c r="L5918" i="6"/>
  <c r="N5918" i="6"/>
  <c r="M5918" i="6"/>
  <c r="N5932" i="6"/>
  <c r="K5932" i="6"/>
  <c r="M5932" i="6"/>
  <c r="L5932" i="6"/>
  <c r="K5936" i="6"/>
  <c r="L5936" i="6"/>
  <c r="M5936" i="6"/>
  <c r="N5936" i="6"/>
  <c r="M5940" i="6"/>
  <c r="N5940" i="6"/>
  <c r="K5940" i="6"/>
  <c r="L5940" i="6"/>
  <c r="L5957" i="6"/>
  <c r="N5957" i="6"/>
  <c r="K5957" i="6"/>
  <c r="M5957" i="6"/>
  <c r="M5981" i="6"/>
  <c r="L5981" i="6"/>
  <c r="N5981" i="6"/>
  <c r="K5981" i="6"/>
  <c r="L5985" i="6"/>
  <c r="N5985" i="6"/>
  <c r="K5985" i="6"/>
  <c r="M5985" i="6"/>
  <c r="K6002" i="6"/>
  <c r="M6002" i="6"/>
  <c r="N6002" i="6"/>
  <c r="L6002" i="6"/>
  <c r="L6024" i="6"/>
  <c r="N6024" i="6"/>
  <c r="K6024" i="6"/>
  <c r="M6024" i="6"/>
  <c r="L6036" i="6"/>
  <c r="M6036" i="6"/>
  <c r="K6036" i="6"/>
  <c r="N6036" i="6"/>
  <c r="L6063" i="6"/>
  <c r="K6063" i="6"/>
  <c r="M6063" i="6"/>
  <c r="N6063" i="6"/>
  <c r="L6082" i="6"/>
  <c r="M6082" i="6"/>
  <c r="N6082" i="6"/>
  <c r="K6082" i="6"/>
  <c r="K6100" i="6"/>
  <c r="M6100" i="6"/>
  <c r="N6100" i="6"/>
  <c r="L6100" i="6"/>
  <c r="N6116" i="6"/>
  <c r="M6116" i="6"/>
  <c r="K6116" i="6"/>
  <c r="L6116" i="6"/>
  <c r="K6128" i="6"/>
  <c r="M6128" i="6"/>
  <c r="N6128" i="6"/>
  <c r="L6128" i="6"/>
  <c r="M6145" i="6"/>
  <c r="N6145" i="6"/>
  <c r="K6145" i="6"/>
  <c r="L6145" i="6"/>
  <c r="L6167" i="6"/>
  <c r="K6167" i="6"/>
  <c r="N6167" i="6"/>
  <c r="M6167" i="6"/>
  <c r="L6179" i="6"/>
  <c r="N6179" i="6"/>
  <c r="M6179" i="6"/>
  <c r="K6179" i="6"/>
  <c r="L6191" i="6"/>
  <c r="M6191" i="6"/>
  <c r="K6191" i="6"/>
  <c r="N6191" i="6"/>
  <c r="M6210" i="6"/>
  <c r="N6210" i="6"/>
  <c r="L6210" i="6"/>
  <c r="K6210" i="6"/>
  <c r="K6219" i="6"/>
  <c r="L6219" i="6"/>
  <c r="N6219" i="6"/>
  <c r="M6219" i="6"/>
  <c r="N6241" i="6"/>
  <c r="L6241" i="6"/>
  <c r="M6241" i="6"/>
  <c r="K6241" i="6"/>
  <c r="N6264" i="6"/>
  <c r="L6264" i="6"/>
  <c r="M6264" i="6"/>
  <c r="K6264" i="6"/>
  <c r="L6279" i="6"/>
  <c r="N6279" i="6"/>
  <c r="M6279" i="6"/>
  <c r="K6279" i="6"/>
  <c r="N6296" i="6"/>
  <c r="L6296" i="6"/>
  <c r="M6296" i="6"/>
  <c r="K6296" i="6"/>
  <c r="L6305" i="6"/>
  <c r="N6305" i="6"/>
  <c r="K6305" i="6"/>
  <c r="M6305" i="6"/>
  <c r="M6327" i="6"/>
  <c r="N6327" i="6"/>
  <c r="K6327" i="6"/>
  <c r="L6327" i="6"/>
  <c r="N6345" i="6"/>
  <c r="M6345" i="6"/>
  <c r="K6345" i="6"/>
  <c r="L6345" i="6"/>
  <c r="K6355" i="6"/>
  <c r="L6355" i="6"/>
  <c r="M6355" i="6"/>
  <c r="N6355" i="6"/>
  <c r="L6371" i="6"/>
  <c r="N6371" i="6"/>
  <c r="M6371" i="6"/>
  <c r="K6371" i="6"/>
  <c r="N6395" i="6"/>
  <c r="M6395" i="6"/>
  <c r="L6395" i="6"/>
  <c r="K6395" i="6"/>
  <c r="L6415" i="6"/>
  <c r="N6415" i="6"/>
  <c r="K6415" i="6"/>
  <c r="M6415" i="6"/>
  <c r="N6444" i="6"/>
  <c r="K6444" i="6"/>
  <c r="L6444" i="6"/>
  <c r="M6444" i="6"/>
  <c r="L6453" i="6"/>
  <c r="M6453" i="6"/>
  <c r="K6453" i="6"/>
  <c r="N6453" i="6"/>
  <c r="L6475" i="6"/>
  <c r="N6475" i="6"/>
  <c r="M6475" i="6"/>
  <c r="K6475" i="6"/>
  <c r="N6498" i="6"/>
  <c r="M6498" i="6"/>
  <c r="L6498" i="6"/>
  <c r="K6498" i="6"/>
  <c r="N6512" i="6"/>
  <c r="L6512" i="6"/>
  <c r="K6512" i="6"/>
  <c r="M6512" i="6"/>
  <c r="N6530" i="6"/>
  <c r="M6530" i="6"/>
  <c r="L6530" i="6"/>
  <c r="K6530" i="6"/>
  <c r="N6545" i="6"/>
  <c r="K6545" i="6"/>
  <c r="L6545" i="6"/>
  <c r="M6545" i="6"/>
  <c r="L6565" i="6"/>
  <c r="M6565" i="6"/>
  <c r="N6565" i="6"/>
  <c r="K6565" i="6"/>
  <c r="N6580" i="6"/>
  <c r="M6580" i="6"/>
  <c r="L6580" i="6"/>
  <c r="K6580" i="6"/>
  <c r="N6595" i="6"/>
  <c r="L6595" i="6"/>
  <c r="K6595" i="6"/>
  <c r="M6595" i="6"/>
  <c r="N6611" i="6"/>
  <c r="L6611" i="6"/>
  <c r="M6611" i="6"/>
  <c r="K6611" i="6"/>
  <c r="N6622" i="6"/>
  <c r="K6622" i="6"/>
  <c r="L6622" i="6"/>
  <c r="M6622" i="6"/>
  <c r="N6637" i="6"/>
  <c r="K6637" i="6"/>
  <c r="L6637" i="6"/>
  <c r="M6637" i="6"/>
  <c r="N6655" i="6"/>
  <c r="M6655" i="6"/>
  <c r="K6655" i="6"/>
  <c r="L6655" i="6"/>
  <c r="N6674" i="6"/>
  <c r="M6674" i="6"/>
  <c r="L6674" i="6"/>
  <c r="K6674" i="6"/>
  <c r="N6686" i="6"/>
  <c r="K6686" i="6"/>
  <c r="L6686" i="6"/>
  <c r="M6686" i="6"/>
  <c r="N6710" i="6"/>
  <c r="L6710" i="6"/>
  <c r="M6710" i="6"/>
  <c r="K6710" i="6"/>
  <c r="N6721" i="6"/>
  <c r="K6721" i="6"/>
  <c r="L6721" i="6"/>
  <c r="M6721" i="6"/>
  <c r="L6735" i="6"/>
  <c r="M6735" i="6"/>
  <c r="K6735" i="6"/>
  <c r="N6735" i="6"/>
  <c r="N6752" i="6"/>
  <c r="M6752" i="6"/>
  <c r="L6752" i="6"/>
  <c r="K6752" i="6"/>
  <c r="N6763" i="6"/>
  <c r="M6763" i="6"/>
  <c r="L6763" i="6"/>
  <c r="K6763" i="6"/>
  <c r="L6781" i="6"/>
  <c r="N6781" i="6"/>
  <c r="M6781" i="6"/>
  <c r="K6781" i="6"/>
  <c r="L6793" i="6"/>
  <c r="M6793" i="6"/>
  <c r="K6793" i="6"/>
  <c r="N6793" i="6"/>
  <c r="L6808" i="6"/>
  <c r="K6808" i="6"/>
  <c r="N6808" i="6"/>
  <c r="M6808" i="6"/>
  <c r="N6823" i="6"/>
  <c r="L6823" i="6"/>
  <c r="M6823" i="6"/>
  <c r="K6823" i="6"/>
  <c r="N6839" i="6"/>
  <c r="M6839" i="6"/>
  <c r="L6839" i="6"/>
  <c r="K6839" i="6"/>
  <c r="L6857" i="6"/>
  <c r="N6857" i="6"/>
  <c r="K6857" i="6"/>
  <c r="M6857" i="6"/>
  <c r="M6872" i="6"/>
  <c r="N6872" i="6"/>
  <c r="L6872" i="6"/>
  <c r="K6872" i="6"/>
  <c r="K6888" i="6"/>
  <c r="N6888" i="6"/>
  <c r="M6888" i="6"/>
  <c r="L6888" i="6"/>
  <c r="M6904" i="6"/>
  <c r="L6904" i="6"/>
  <c r="K6904" i="6"/>
  <c r="N6904" i="6"/>
  <c r="K4133" i="6"/>
  <c r="L3013" i="6"/>
  <c r="N3013" i="6"/>
  <c r="K3013" i="6"/>
  <c r="M3013" i="6"/>
  <c r="L3035" i="6"/>
  <c r="N3035" i="6"/>
  <c r="K3035" i="6"/>
  <c r="M3035" i="6"/>
  <c r="M3049" i="6"/>
  <c r="L3049" i="6"/>
  <c r="N3049" i="6"/>
  <c r="K3049" i="6"/>
  <c r="L3084" i="6"/>
  <c r="N3084" i="6"/>
  <c r="K3084" i="6"/>
  <c r="M3084" i="6"/>
  <c r="M3088" i="6"/>
  <c r="N3088" i="6"/>
  <c r="K3088" i="6"/>
  <c r="L3088" i="6"/>
  <c r="L3014" i="6"/>
  <c r="N3014" i="6"/>
  <c r="M3014" i="6"/>
  <c r="K3014" i="6"/>
  <c r="L3028" i="6"/>
  <c r="M3028" i="6"/>
  <c r="K3028" i="6"/>
  <c r="N3028" i="6"/>
  <c r="N3061" i="6"/>
  <c r="K3061" i="6"/>
  <c r="M3061" i="6"/>
  <c r="L3061" i="6"/>
  <c r="L3101" i="6"/>
  <c r="M3101" i="6"/>
  <c r="N3101" i="6"/>
  <c r="K3101" i="6"/>
  <c r="N3110" i="6"/>
  <c r="K3110" i="6"/>
  <c r="M3110" i="6"/>
  <c r="L3110" i="6"/>
  <c r="L3119" i="6"/>
  <c r="M3119" i="6"/>
  <c r="N3119" i="6"/>
  <c r="L3135" i="6"/>
  <c r="M3135" i="6"/>
  <c r="K3135" i="6"/>
  <c r="N3135" i="6"/>
  <c r="L3158" i="6"/>
  <c r="M3158" i="6"/>
  <c r="N3158" i="6"/>
  <c r="L3176" i="6"/>
  <c r="M3176" i="6"/>
  <c r="N3176" i="6"/>
  <c r="L3196" i="6"/>
  <c r="M3196" i="6"/>
  <c r="K3196" i="6"/>
  <c r="N3196" i="6"/>
  <c r="L3211" i="6"/>
  <c r="N3211" i="6"/>
  <c r="M3211" i="6"/>
  <c r="L3229" i="6"/>
  <c r="N3229" i="6"/>
  <c r="M3229" i="6"/>
  <c r="M3270" i="6"/>
  <c r="L3270" i="6"/>
  <c r="N3270" i="6"/>
  <c r="L3281" i="6"/>
  <c r="M3281" i="6"/>
  <c r="N3281" i="6"/>
  <c r="L3297" i="6"/>
  <c r="M3297" i="6"/>
  <c r="N3297" i="6"/>
  <c r="L3304" i="6"/>
  <c r="N3304" i="6"/>
  <c r="M3304" i="6"/>
  <c r="K3313" i="6"/>
  <c r="L3313" i="6"/>
  <c r="N3313" i="6"/>
  <c r="M3313" i="6"/>
  <c r="L3323" i="6"/>
  <c r="M3323" i="6"/>
  <c r="K3323" i="6"/>
  <c r="N3323" i="6"/>
  <c r="L3335" i="6"/>
  <c r="K3335" i="6"/>
  <c r="M3335" i="6"/>
  <c r="N3335" i="6"/>
  <c r="K3346" i="6"/>
  <c r="M3346" i="6"/>
  <c r="L3346" i="6"/>
  <c r="N3346" i="6"/>
  <c r="L3369" i="6"/>
  <c r="N3369" i="6"/>
  <c r="M3369" i="6"/>
  <c r="K3381" i="6"/>
  <c r="M3381" i="6"/>
  <c r="L3381" i="6"/>
  <c r="N3381" i="6"/>
  <c r="K3390" i="6"/>
  <c r="M3390" i="6"/>
  <c r="L3390" i="6"/>
  <c r="N3390" i="6"/>
  <c r="L3398" i="6"/>
  <c r="N3398" i="6"/>
  <c r="M3398" i="6"/>
  <c r="K3405" i="6"/>
  <c r="N3405" i="6"/>
  <c r="M3405" i="6"/>
  <c r="L3405" i="6"/>
  <c r="M3021" i="6"/>
  <c r="L3021" i="6"/>
  <c r="N3021" i="6"/>
  <c r="K3021" i="6"/>
  <c r="K3052" i="6"/>
  <c r="M3052" i="6"/>
  <c r="L3052" i="6"/>
  <c r="N3052" i="6"/>
  <c r="M3064" i="6"/>
  <c r="K3064" i="6"/>
  <c r="L3064" i="6"/>
  <c r="N3064" i="6"/>
  <c r="K3068" i="6"/>
  <c r="L3068" i="6"/>
  <c r="M3068" i="6"/>
  <c r="N3068" i="6"/>
  <c r="L3072" i="6"/>
  <c r="N3072" i="6"/>
  <c r="K3072" i="6"/>
  <c r="M3072" i="6"/>
  <c r="L3096" i="6"/>
  <c r="K3096" i="6"/>
  <c r="M3096" i="6"/>
  <c r="N3096" i="6"/>
  <c r="L3120" i="6"/>
  <c r="M3120" i="6"/>
  <c r="K3120" i="6"/>
  <c r="N3120" i="6"/>
  <c r="L3139" i="6"/>
  <c r="K3139" i="6"/>
  <c r="M3139" i="6"/>
  <c r="N3139" i="6"/>
  <c r="L3160" i="6"/>
  <c r="K3160" i="6"/>
  <c r="M3160" i="6"/>
  <c r="N3160" i="6"/>
  <c r="L3177" i="6"/>
  <c r="M3177" i="6"/>
  <c r="K3177" i="6"/>
  <c r="N3177" i="6"/>
  <c r="L3192" i="6"/>
  <c r="M3192" i="6"/>
  <c r="N3192" i="6"/>
  <c r="L3205" i="6"/>
  <c r="K3205" i="6"/>
  <c r="M3205" i="6"/>
  <c r="N3205" i="6"/>
  <c r="L3218" i="6"/>
  <c r="N3218" i="6"/>
  <c r="M3218" i="6"/>
  <c r="L3237" i="6"/>
  <c r="M3237" i="6"/>
  <c r="N3237" i="6"/>
  <c r="L3257" i="6"/>
  <c r="K3257" i="6"/>
  <c r="N3257" i="6"/>
  <c r="M3257" i="6"/>
  <c r="L3272" i="6"/>
  <c r="M3272" i="6"/>
  <c r="N3272" i="6"/>
  <c r="L3288" i="6"/>
  <c r="M3288" i="6"/>
  <c r="N3288" i="6"/>
  <c r="L3300" i="6"/>
  <c r="M3300" i="6"/>
  <c r="N3300" i="6"/>
  <c r="M3349" i="6"/>
  <c r="L3349" i="6"/>
  <c r="N3349" i="6"/>
  <c r="K3361" i="6"/>
  <c r="M3361" i="6"/>
  <c r="L3361" i="6"/>
  <c r="N3361" i="6"/>
  <c r="L3375" i="6"/>
  <c r="K3375" i="6"/>
  <c r="M3375" i="6"/>
  <c r="N3375" i="6"/>
  <c r="L3393" i="6"/>
  <c r="M3393" i="6"/>
  <c r="N3393" i="6"/>
  <c r="M3041" i="6"/>
  <c r="L3041" i="6"/>
  <c r="N3041" i="6"/>
  <c r="K3041" i="6"/>
  <c r="K3107" i="6"/>
  <c r="M3107" i="6"/>
  <c r="L3107" i="6"/>
  <c r="N3107" i="6"/>
  <c r="N3126" i="6"/>
  <c r="K3126" i="6"/>
  <c r="M3126" i="6"/>
  <c r="L3126" i="6"/>
  <c r="L3155" i="6"/>
  <c r="M3155" i="6"/>
  <c r="N3155" i="6"/>
  <c r="K3155" i="6"/>
  <c r="K3176" i="6"/>
  <c r="K3190" i="6"/>
  <c r="K3215" i="6"/>
  <c r="L3215" i="6"/>
  <c r="M3215" i="6"/>
  <c r="N3215" i="6"/>
  <c r="L3227" i="6"/>
  <c r="N3227" i="6"/>
  <c r="M3227" i="6"/>
  <c r="L3238" i="6"/>
  <c r="M3238" i="6"/>
  <c r="N3238" i="6"/>
  <c r="K3256" i="6"/>
  <c r="K3269" i="6"/>
  <c r="K3279" i="6"/>
  <c r="M3279" i="6"/>
  <c r="L3279" i="6"/>
  <c r="N3279" i="6"/>
  <c r="K3292" i="6"/>
  <c r="L3316" i="6"/>
  <c r="M3316" i="6"/>
  <c r="K3316" i="6"/>
  <c r="N3316" i="6"/>
  <c r="K3338" i="6"/>
  <c r="L3338" i="6"/>
  <c r="N3338" i="6"/>
  <c r="M3338" i="6"/>
  <c r="L3366" i="6"/>
  <c r="N3366" i="6"/>
  <c r="M3366" i="6"/>
  <c r="K3385" i="6"/>
  <c r="M3385" i="6"/>
  <c r="L3385" i="6"/>
  <c r="N3385" i="6"/>
  <c r="L3401" i="6"/>
  <c r="M3401" i="6"/>
  <c r="N3401" i="6"/>
  <c r="K3435" i="6"/>
  <c r="M3435" i="6"/>
  <c r="L3435" i="6"/>
  <c r="N3435" i="6"/>
  <c r="N3444" i="6"/>
  <c r="K3444" i="6"/>
  <c r="M3444" i="6"/>
  <c r="L3444" i="6"/>
  <c r="K3448" i="6"/>
  <c r="M3448" i="6"/>
  <c r="L3448" i="6"/>
  <c r="N3448" i="6"/>
  <c r="M3473" i="6"/>
  <c r="L3473" i="6"/>
  <c r="N3473" i="6"/>
  <c r="K3473" i="6"/>
  <c r="L3477" i="6"/>
  <c r="N3477" i="6"/>
  <c r="K3477" i="6"/>
  <c r="M3477" i="6"/>
  <c r="K3481" i="6"/>
  <c r="L3481" i="6"/>
  <c r="N3481" i="6"/>
  <c r="M3481" i="6"/>
  <c r="N3497" i="6"/>
  <c r="K3497" i="6"/>
  <c r="M3497" i="6"/>
  <c r="L3497" i="6"/>
  <c r="L3521" i="6"/>
  <c r="M3521" i="6"/>
  <c r="N3521" i="6"/>
  <c r="K3521" i="6"/>
  <c r="L3536" i="6"/>
  <c r="M3536" i="6"/>
  <c r="N3536" i="6"/>
  <c r="L3577" i="6"/>
  <c r="N3577" i="6"/>
  <c r="M3577" i="6"/>
  <c r="L3585" i="6"/>
  <c r="N3585" i="6"/>
  <c r="K3585" i="6"/>
  <c r="M3585" i="6"/>
  <c r="N3594" i="6"/>
  <c r="K3594" i="6"/>
  <c r="M3594" i="6"/>
  <c r="L3594" i="6"/>
  <c r="N3602" i="6"/>
  <c r="K3602" i="6"/>
  <c r="M3602" i="6"/>
  <c r="L3602" i="6"/>
  <c r="L3606" i="6"/>
  <c r="N3606" i="6"/>
  <c r="K3606" i="6"/>
  <c r="M3606" i="6"/>
  <c r="L3630" i="6"/>
  <c r="N3630" i="6"/>
  <c r="K3630" i="6"/>
  <c r="M3630" i="6"/>
  <c r="L3646" i="6"/>
  <c r="N3646" i="6"/>
  <c r="K3646" i="6"/>
  <c r="M3646" i="6"/>
  <c r="K3661" i="6"/>
  <c r="M3661" i="6"/>
  <c r="L3661" i="6"/>
  <c r="N3661" i="6"/>
  <c r="L3669" i="6"/>
  <c r="N3669" i="6"/>
  <c r="M3669" i="6"/>
  <c r="M3693" i="6"/>
  <c r="L3693" i="6"/>
  <c r="N3693" i="6"/>
  <c r="K3693" i="6"/>
  <c r="L3727" i="6"/>
  <c r="N3727" i="6"/>
  <c r="K3727" i="6"/>
  <c r="M3727" i="6"/>
  <c r="N3731" i="6"/>
  <c r="K3731" i="6"/>
  <c r="M3731" i="6"/>
  <c r="L3731" i="6"/>
  <c r="L3854" i="6"/>
  <c r="K3854" i="6"/>
  <c r="N3854" i="6"/>
  <c r="M3854" i="6"/>
  <c r="K3875" i="6"/>
  <c r="L3875" i="6"/>
  <c r="N3875" i="6"/>
  <c r="M3875" i="6"/>
  <c r="L3879" i="6"/>
  <c r="K3879" i="6"/>
  <c r="M3879" i="6"/>
  <c r="N3879" i="6"/>
  <c r="M3883" i="6"/>
  <c r="L3883" i="6"/>
  <c r="N3883" i="6"/>
  <c r="K3893" i="6"/>
  <c r="M3893" i="6"/>
  <c r="L3893" i="6"/>
  <c r="N3893" i="6"/>
  <c r="M3917" i="6"/>
  <c r="N3917" i="6"/>
  <c r="L3917" i="6"/>
  <c r="N3926" i="6"/>
  <c r="K3926" i="6"/>
  <c r="M3926" i="6"/>
  <c r="L3926" i="6"/>
  <c r="K3930" i="6"/>
  <c r="L3930" i="6"/>
  <c r="N3930" i="6"/>
  <c r="M3930" i="6"/>
  <c r="M3948" i="6"/>
  <c r="K3948" i="6"/>
  <c r="L3948" i="6"/>
  <c r="N3948" i="6"/>
  <c r="M3969" i="6"/>
  <c r="K3969" i="6"/>
  <c r="N3969" i="6"/>
  <c r="L3969" i="6"/>
  <c r="K3973" i="6"/>
  <c r="M3973" i="6"/>
  <c r="N3973" i="6"/>
  <c r="L3973" i="6"/>
  <c r="L3987" i="6"/>
  <c r="N3987" i="6"/>
  <c r="K3987" i="6"/>
  <c r="M3987" i="6"/>
  <c r="L3999" i="6"/>
  <c r="N3999" i="6"/>
  <c r="M3999" i="6"/>
  <c r="L4023" i="6"/>
  <c r="N4023" i="6"/>
  <c r="K4023" i="6"/>
  <c r="M4023" i="6"/>
  <c r="L4033" i="6"/>
  <c r="M4033" i="6"/>
  <c r="N4033" i="6"/>
  <c r="L4062" i="6"/>
  <c r="N4062" i="6"/>
  <c r="K4062" i="6"/>
  <c r="M4062" i="6"/>
  <c r="L4090" i="6"/>
  <c r="N4090" i="6"/>
  <c r="K4090" i="6"/>
  <c r="M4090" i="6"/>
  <c r="M4094" i="6"/>
  <c r="L4094" i="6"/>
  <c r="N4094" i="6"/>
  <c r="K4094" i="6"/>
  <c r="N4098" i="6"/>
  <c r="K4098" i="6"/>
  <c r="M4098" i="6"/>
  <c r="L4098" i="6"/>
  <c r="M4102" i="6"/>
  <c r="L4102" i="6"/>
  <c r="N4102" i="6"/>
  <c r="L4130" i="6"/>
  <c r="N4130" i="6"/>
  <c r="K4130" i="6"/>
  <c r="M4130" i="6"/>
  <c r="K4143" i="6"/>
  <c r="M4143" i="6"/>
  <c r="L4143" i="6"/>
  <c r="N4143" i="6"/>
  <c r="L4147" i="6"/>
  <c r="N4147" i="6"/>
  <c r="M4147" i="6"/>
  <c r="L4174" i="6"/>
  <c r="K4174" i="6"/>
  <c r="N4174" i="6"/>
  <c r="M4174" i="6"/>
  <c r="L4190" i="6"/>
  <c r="N4190" i="6"/>
  <c r="M4190" i="6"/>
  <c r="K4212" i="6"/>
  <c r="L4212" i="6"/>
  <c r="N4212" i="6"/>
  <c r="M4212" i="6"/>
  <c r="N4216" i="6"/>
  <c r="K4216" i="6"/>
  <c r="M4216" i="6"/>
  <c r="L4216" i="6"/>
  <c r="N4220" i="6"/>
  <c r="M4220" i="6"/>
  <c r="L4220" i="6"/>
  <c r="K4220" i="6"/>
  <c r="L4233" i="6"/>
  <c r="N4233" i="6"/>
  <c r="K4233" i="6"/>
  <c r="M4233" i="6"/>
  <c r="L4253" i="6"/>
  <c r="M4253" i="6"/>
  <c r="N4253" i="6"/>
  <c r="K4253" i="6"/>
  <c r="L4262" i="6"/>
  <c r="M4262" i="6"/>
  <c r="K4262" i="6"/>
  <c r="N4262" i="6"/>
  <c r="M4280" i="6"/>
  <c r="L4280" i="6"/>
  <c r="N4280" i="6"/>
  <c r="K4280" i="6"/>
  <c r="N4284" i="6"/>
  <c r="K4284" i="6"/>
  <c r="M4284" i="6"/>
  <c r="L4284" i="6"/>
  <c r="K4311" i="6"/>
  <c r="L4311" i="6"/>
  <c r="M4311" i="6"/>
  <c r="N4311" i="6"/>
  <c r="K4339" i="6"/>
  <c r="M4339" i="6"/>
  <c r="N4339" i="6"/>
  <c r="L4339" i="6"/>
  <c r="K4343" i="6"/>
  <c r="M4343" i="6"/>
  <c r="L4343" i="6"/>
  <c r="N4343" i="6"/>
  <c r="K4347" i="6"/>
  <c r="M4347" i="6"/>
  <c r="N4347" i="6"/>
  <c r="L4347" i="6"/>
  <c r="K4351" i="6"/>
  <c r="M4351" i="6"/>
  <c r="L4351" i="6"/>
  <c r="N4351" i="6"/>
  <c r="K4403" i="6"/>
  <c r="M4403" i="6"/>
  <c r="N4403" i="6"/>
  <c r="L4403" i="6"/>
  <c r="L4440" i="6"/>
  <c r="N4440" i="6"/>
  <c r="K4440" i="6"/>
  <c r="M4440" i="6"/>
  <c r="L4444" i="6"/>
  <c r="N4444" i="6"/>
  <c r="K4444" i="6"/>
  <c r="M4444" i="6"/>
  <c r="L4448" i="6"/>
  <c r="N4448" i="6"/>
  <c r="K4448" i="6"/>
  <c r="M4448" i="6"/>
  <c r="N4452" i="6"/>
  <c r="K4452" i="6"/>
  <c r="M4452" i="6"/>
  <c r="L4452" i="6"/>
  <c r="N4468" i="6"/>
  <c r="K4468" i="6"/>
  <c r="M4468" i="6"/>
  <c r="L4468" i="6"/>
  <c r="M3098" i="6"/>
  <c r="L3098" i="6"/>
  <c r="N3098" i="6"/>
  <c r="K3098" i="6"/>
  <c r="N3115" i="6"/>
  <c r="K3115" i="6"/>
  <c r="M3115" i="6"/>
  <c r="L3115" i="6"/>
  <c r="L3143" i="6"/>
  <c r="M3143" i="6"/>
  <c r="N3143" i="6"/>
  <c r="K3143" i="6"/>
  <c r="K3152" i="6"/>
  <c r="K3164" i="6"/>
  <c r="L3164" i="6"/>
  <c r="N3164" i="6"/>
  <c r="M3164" i="6"/>
  <c r="L3180" i="6"/>
  <c r="N3180" i="6"/>
  <c r="M3180" i="6"/>
  <c r="L3193" i="6"/>
  <c r="M3193" i="6"/>
  <c r="K3193" i="6"/>
  <c r="N3193" i="6"/>
  <c r="K3210" i="6"/>
  <c r="K3236" i="6"/>
  <c r="K3247" i="6"/>
  <c r="M3247" i="6"/>
  <c r="L3247" i="6"/>
  <c r="N3247" i="6"/>
  <c r="L3294" i="6"/>
  <c r="N3294" i="6"/>
  <c r="K3294" i="6"/>
  <c r="M3294" i="6"/>
  <c r="L3306" i="6"/>
  <c r="N3306" i="6"/>
  <c r="K3306" i="6"/>
  <c r="M3306" i="6"/>
  <c r="L3325" i="6"/>
  <c r="N3325" i="6"/>
  <c r="K3325" i="6"/>
  <c r="M3325" i="6"/>
  <c r="K3354" i="6"/>
  <c r="L3354" i="6"/>
  <c r="N3354" i="6"/>
  <c r="M3354" i="6"/>
  <c r="K3397" i="6"/>
  <c r="L3416" i="6"/>
  <c r="K3416" i="6"/>
  <c r="N3416" i="6"/>
  <c r="M3416" i="6"/>
  <c r="L3420" i="6"/>
  <c r="N3420" i="6"/>
  <c r="M3420" i="6"/>
  <c r="L3450" i="6"/>
  <c r="N3450" i="6"/>
  <c r="M3450" i="6"/>
  <c r="K3472" i="6"/>
  <c r="L3491" i="6"/>
  <c r="M3491" i="6"/>
  <c r="N3491" i="6"/>
  <c r="K3519" i="6"/>
  <c r="M3519" i="6"/>
  <c r="L3519" i="6"/>
  <c r="N3519" i="6"/>
  <c r="K3529" i="6"/>
  <c r="N3529" i="6"/>
  <c r="M3529" i="6"/>
  <c r="L3529" i="6"/>
  <c r="K3533" i="6"/>
  <c r="M3533" i="6"/>
  <c r="L3533" i="6"/>
  <c r="N3533" i="6"/>
  <c r="N3546" i="6"/>
  <c r="K3546" i="6"/>
  <c r="M3546" i="6"/>
  <c r="L3546" i="6"/>
  <c r="M3550" i="6"/>
  <c r="L3550" i="6"/>
  <c r="N3550" i="6"/>
  <c r="K3550" i="6"/>
  <c r="L3559" i="6"/>
  <c r="N3559" i="6"/>
  <c r="K3559" i="6"/>
  <c r="M3559" i="6"/>
  <c r="K3577" i="6"/>
  <c r="L3589" i="6"/>
  <c r="K3589" i="6"/>
  <c r="M3589" i="6"/>
  <c r="N3589" i="6"/>
  <c r="L3598" i="6"/>
  <c r="N3598" i="6"/>
  <c r="K3598" i="6"/>
  <c r="M3598" i="6"/>
  <c r="L3614" i="6"/>
  <c r="N3614" i="6"/>
  <c r="K3614" i="6"/>
  <c r="M3614" i="6"/>
  <c r="N3618" i="6"/>
  <c r="K3618" i="6"/>
  <c r="M3618" i="6"/>
  <c r="L3618" i="6"/>
  <c r="N3634" i="6"/>
  <c r="K3634" i="6"/>
  <c r="M3634" i="6"/>
  <c r="L3634" i="6"/>
  <c r="L3649" i="6"/>
  <c r="N3649" i="6"/>
  <c r="M3649" i="6"/>
  <c r="L3665" i="6"/>
  <c r="M3665" i="6"/>
  <c r="N3665" i="6"/>
  <c r="L3673" i="6"/>
  <c r="N3673" i="6"/>
  <c r="K3673" i="6"/>
  <c r="M3673" i="6"/>
  <c r="L3677" i="6"/>
  <c r="N3677" i="6"/>
  <c r="M3677" i="6"/>
  <c r="M3681" i="6"/>
  <c r="L3681" i="6"/>
  <c r="N3681" i="6"/>
  <c r="L3700" i="6"/>
  <c r="M3700" i="6"/>
  <c r="N3700" i="6"/>
  <c r="N3704" i="6"/>
  <c r="K3704" i="6"/>
  <c r="M3704" i="6"/>
  <c r="L3704" i="6"/>
  <c r="M3708" i="6"/>
  <c r="L3708" i="6"/>
  <c r="N3708" i="6"/>
  <c r="K3708" i="6"/>
  <c r="M3712" i="6"/>
  <c r="L3712" i="6"/>
  <c r="N3712" i="6"/>
  <c r="M3716" i="6"/>
  <c r="L3716" i="6"/>
  <c r="N3716" i="6"/>
  <c r="K3716" i="6"/>
  <c r="M3742" i="6"/>
  <c r="L3742" i="6"/>
  <c r="N3742" i="6"/>
  <c r="K3742" i="6"/>
  <c r="M3746" i="6"/>
  <c r="L3746" i="6"/>
  <c r="N3746" i="6"/>
  <c r="K3746" i="6"/>
  <c r="M3750" i="6"/>
  <c r="L3750" i="6"/>
  <c r="N3750" i="6"/>
  <c r="K3750" i="6"/>
  <c r="M3754" i="6"/>
  <c r="L3754" i="6"/>
  <c r="N3754" i="6"/>
  <c r="K3754" i="6"/>
  <c r="L3758" i="6"/>
  <c r="N3758" i="6"/>
  <c r="K3758" i="6"/>
  <c r="M3758" i="6"/>
  <c r="M3762" i="6"/>
  <c r="L3762" i="6"/>
  <c r="N3762" i="6"/>
  <c r="K3762" i="6"/>
  <c r="K3766" i="6"/>
  <c r="M3766" i="6"/>
  <c r="L3766" i="6"/>
  <c r="N3766" i="6"/>
  <c r="M3770" i="6"/>
  <c r="L3770" i="6"/>
  <c r="N3770" i="6"/>
  <c r="K3770" i="6"/>
  <c r="M3774" i="6"/>
  <c r="L3774" i="6"/>
  <c r="N3774" i="6"/>
  <c r="K3774" i="6"/>
  <c r="M3778" i="6"/>
  <c r="L3778" i="6"/>
  <c r="N3778" i="6"/>
  <c r="K3778" i="6"/>
  <c r="N3782" i="6"/>
  <c r="K3782" i="6"/>
  <c r="M3782" i="6"/>
  <c r="L3782" i="6"/>
  <c r="M3786" i="6"/>
  <c r="L3786" i="6"/>
  <c r="N3786" i="6"/>
  <c r="K3786" i="6"/>
  <c r="L3790" i="6"/>
  <c r="N3790" i="6"/>
  <c r="K3790" i="6"/>
  <c r="M3790" i="6"/>
  <c r="M3794" i="6"/>
  <c r="L3794" i="6"/>
  <c r="N3794" i="6"/>
  <c r="K3794" i="6"/>
  <c r="K3798" i="6"/>
  <c r="M3798" i="6"/>
  <c r="L3798" i="6"/>
  <c r="N3798" i="6"/>
  <c r="M3802" i="6"/>
  <c r="L3802" i="6"/>
  <c r="N3802" i="6"/>
  <c r="K3802" i="6"/>
  <c r="M3806" i="6"/>
  <c r="L3806" i="6"/>
  <c r="N3806" i="6"/>
  <c r="K3806" i="6"/>
  <c r="M3810" i="6"/>
  <c r="L3810" i="6"/>
  <c r="N3810" i="6"/>
  <c r="K3810" i="6"/>
  <c r="L3814" i="6"/>
  <c r="N3814" i="6"/>
  <c r="K3814" i="6"/>
  <c r="M3814" i="6"/>
  <c r="M3818" i="6"/>
  <c r="L3818" i="6"/>
  <c r="N3818" i="6"/>
  <c r="K3818" i="6"/>
  <c r="L3822" i="6"/>
  <c r="N3822" i="6"/>
  <c r="K3822" i="6"/>
  <c r="M3822" i="6"/>
  <c r="M3826" i="6"/>
  <c r="L3826" i="6"/>
  <c r="N3826" i="6"/>
  <c r="K3826" i="6"/>
  <c r="K3830" i="6"/>
  <c r="M3830" i="6"/>
  <c r="L3830" i="6"/>
  <c r="N3830" i="6"/>
  <c r="M3834" i="6"/>
  <c r="L3834" i="6"/>
  <c r="N3834" i="6"/>
  <c r="K3834" i="6"/>
  <c r="M3838" i="6"/>
  <c r="L3838" i="6"/>
  <c r="N3838" i="6"/>
  <c r="K3838" i="6"/>
  <c r="M3842" i="6"/>
  <c r="L3842" i="6"/>
  <c r="N3842" i="6"/>
  <c r="K3842" i="6"/>
  <c r="K3846" i="6"/>
  <c r="L3846" i="6"/>
  <c r="N3846" i="6"/>
  <c r="M3846" i="6"/>
  <c r="K3852" i="6"/>
  <c r="L3889" i="6"/>
  <c r="N3889" i="6"/>
  <c r="K3889" i="6"/>
  <c r="M3889" i="6"/>
  <c r="N3897" i="6"/>
  <c r="K3897" i="6"/>
  <c r="M3897" i="6"/>
  <c r="L3897" i="6"/>
  <c r="L3939" i="6"/>
  <c r="N3939" i="6"/>
  <c r="K3939" i="6"/>
  <c r="M3939" i="6"/>
  <c r="M3953" i="6"/>
  <c r="L3953" i="6"/>
  <c r="N3953" i="6"/>
  <c r="M3957" i="6"/>
  <c r="L3957" i="6"/>
  <c r="N3957" i="6"/>
  <c r="M3984" i="6"/>
  <c r="K3984" i="6"/>
  <c r="L3984" i="6"/>
  <c r="N3984" i="6"/>
  <c r="L4003" i="6"/>
  <c r="N4003" i="6"/>
  <c r="K4003" i="6"/>
  <c r="M4003" i="6"/>
  <c r="L4029" i="6"/>
  <c r="M4029" i="6"/>
  <c r="N4029" i="6"/>
  <c r="L4067" i="6"/>
  <c r="N4067" i="6"/>
  <c r="M4067" i="6"/>
  <c r="L4111" i="6"/>
  <c r="N4111" i="6"/>
  <c r="K4111" i="6"/>
  <c r="M4111" i="6"/>
  <c r="M4115" i="6"/>
  <c r="N4115" i="6"/>
  <c r="L4115" i="6"/>
  <c r="K4125" i="6"/>
  <c r="N4125" i="6"/>
  <c r="M4125" i="6"/>
  <c r="L4125" i="6"/>
  <c r="M4169" i="6"/>
  <c r="N4169" i="6"/>
  <c r="K4169" i="6"/>
  <c r="L4169" i="6"/>
  <c r="N4182" i="6"/>
  <c r="L4182" i="6"/>
  <c r="K4182" i="6"/>
  <c r="M4182" i="6"/>
  <c r="L4195" i="6"/>
  <c r="N4195" i="6"/>
  <c r="M4195" i="6"/>
  <c r="N4225" i="6"/>
  <c r="M4225" i="6"/>
  <c r="K4225" i="6"/>
  <c r="L4225" i="6"/>
  <c r="L4229" i="6"/>
  <c r="N4229" i="6"/>
  <c r="K4229" i="6"/>
  <c r="M4229" i="6"/>
  <c r="L4248" i="6"/>
  <c r="M4248" i="6"/>
  <c r="K4248" i="6"/>
  <c r="N4248" i="6"/>
  <c r="L4258" i="6"/>
  <c r="M4258" i="6"/>
  <c r="K4258" i="6"/>
  <c r="N4258" i="6"/>
  <c r="K4268" i="6"/>
  <c r="N4268" i="6"/>
  <c r="M4268" i="6"/>
  <c r="L4268" i="6"/>
  <c r="K4291" i="6"/>
  <c r="M4291" i="6"/>
  <c r="N4291" i="6"/>
  <c r="L4291" i="6"/>
  <c r="L4324" i="6"/>
  <c r="N4324" i="6"/>
  <c r="K4324" i="6"/>
  <c r="M4324" i="6"/>
  <c r="L4328" i="6"/>
  <c r="N4328" i="6"/>
  <c r="K4328" i="6"/>
  <c r="M4328" i="6"/>
  <c r="M4332" i="6"/>
  <c r="L4332" i="6"/>
  <c r="N4332" i="6"/>
  <c r="K4332" i="6"/>
  <c r="L4376" i="6"/>
  <c r="N4376" i="6"/>
  <c r="K4376" i="6"/>
  <c r="M4376" i="6"/>
  <c r="L4457" i="6"/>
  <c r="N4457" i="6"/>
  <c r="K4457" i="6"/>
  <c r="M4457" i="6"/>
  <c r="K4461" i="6"/>
  <c r="M4461" i="6"/>
  <c r="L4461" i="6"/>
  <c r="N4461" i="6"/>
  <c r="L4501" i="6"/>
  <c r="M4501" i="6"/>
  <c r="K4501" i="6"/>
  <c r="N4501" i="6"/>
  <c r="N4505" i="6"/>
  <c r="K4505" i="6"/>
  <c r="M4505" i="6"/>
  <c r="L4505" i="6"/>
  <c r="M4509" i="6"/>
  <c r="L4509" i="6"/>
  <c r="N4509" i="6"/>
  <c r="K4509" i="6"/>
  <c r="N4513" i="6"/>
  <c r="K4513" i="6"/>
  <c r="M4513" i="6"/>
  <c r="L4513" i="6"/>
  <c r="M4517" i="6"/>
  <c r="L4517" i="6"/>
  <c r="N4517" i="6"/>
  <c r="K4517" i="6"/>
  <c r="L4567" i="6"/>
  <c r="N4567" i="6"/>
  <c r="K4567" i="6"/>
  <c r="M4567" i="6"/>
  <c r="M4571" i="6"/>
  <c r="L4571" i="6"/>
  <c r="N4571" i="6"/>
  <c r="K4571" i="6"/>
  <c r="L4575" i="6"/>
  <c r="N4575" i="6"/>
  <c r="K4575" i="6"/>
  <c r="M4575" i="6"/>
  <c r="L4579" i="6"/>
  <c r="N4579" i="6"/>
  <c r="K4579" i="6"/>
  <c r="M4579" i="6"/>
  <c r="L4583" i="6"/>
  <c r="N4583" i="6"/>
  <c r="K4583" i="6"/>
  <c r="M4583" i="6"/>
  <c r="K4587" i="6"/>
  <c r="M4587" i="6"/>
  <c r="L4587" i="6"/>
  <c r="N4587" i="6"/>
  <c r="L4591" i="6"/>
  <c r="N4591" i="6"/>
  <c r="K4591" i="6"/>
  <c r="M4591" i="6"/>
  <c r="L4606" i="6"/>
  <c r="N4606" i="6"/>
  <c r="M4606" i="6"/>
  <c r="K4606" i="6"/>
  <c r="K4610" i="6"/>
  <c r="M4610" i="6"/>
  <c r="L4610" i="6"/>
  <c r="N4610" i="6"/>
  <c r="K4640" i="6"/>
  <c r="M4640" i="6"/>
  <c r="L4640" i="6"/>
  <c r="N4640" i="6"/>
  <c r="L4679" i="6"/>
  <c r="N4679" i="6"/>
  <c r="K4679" i="6"/>
  <c r="M4679" i="6"/>
  <c r="L4683" i="6"/>
  <c r="K4683" i="6"/>
  <c r="N4683" i="6"/>
  <c r="M4683" i="6"/>
  <c r="M4707" i="6"/>
  <c r="K4707" i="6"/>
  <c r="L4707" i="6"/>
  <c r="N4707" i="6"/>
  <c r="L4723" i="6"/>
  <c r="K4723" i="6"/>
  <c r="N4723" i="6"/>
  <c r="M4723" i="6"/>
  <c r="M4735" i="6"/>
  <c r="L4735" i="6"/>
  <c r="N4735" i="6"/>
  <c r="K4735" i="6"/>
  <c r="K4759" i="6"/>
  <c r="N4759" i="6"/>
  <c r="M4759" i="6"/>
  <c r="L4759" i="6"/>
  <c r="M4775" i="6"/>
  <c r="L4775" i="6"/>
  <c r="N4775" i="6"/>
  <c r="K4775" i="6"/>
  <c r="L4801" i="6"/>
  <c r="K4801" i="6"/>
  <c r="M4801" i="6"/>
  <c r="N4801" i="6"/>
  <c r="K3917" i="6"/>
  <c r="K4142" i="6"/>
  <c r="L4549" i="6"/>
  <c r="M4549" i="6"/>
  <c r="K4549" i="6"/>
  <c r="N4549" i="6"/>
  <c r="K4553" i="6"/>
  <c r="M4553" i="6"/>
  <c r="L4553" i="6"/>
  <c r="N4553" i="6"/>
  <c r="N4557" i="6"/>
  <c r="M4557" i="6"/>
  <c r="K4557" i="6"/>
  <c r="L4557" i="6"/>
  <c r="M4600" i="6"/>
  <c r="K4600" i="6"/>
  <c r="L4600" i="6"/>
  <c r="N4600" i="6"/>
  <c r="K4604" i="6"/>
  <c r="M4604" i="6"/>
  <c r="L4604" i="6"/>
  <c r="N4604" i="6"/>
  <c r="L4692" i="6"/>
  <c r="M4692" i="6"/>
  <c r="K4692" i="6"/>
  <c r="N4692" i="6"/>
  <c r="K4696" i="6"/>
  <c r="N4696" i="6"/>
  <c r="M4696" i="6"/>
  <c r="L4696" i="6"/>
  <c r="L4737" i="6"/>
  <c r="N4737" i="6"/>
  <c r="K4737" i="6"/>
  <c r="M4737" i="6"/>
  <c r="M4741" i="6"/>
  <c r="N4741" i="6"/>
  <c r="K4741" i="6"/>
  <c r="L4741" i="6"/>
  <c r="K4766" i="6"/>
  <c r="M4766" i="6"/>
  <c r="L4766" i="6"/>
  <c r="N4766" i="6"/>
  <c r="K4806" i="6"/>
  <c r="M4806" i="6"/>
  <c r="L4806" i="6"/>
  <c r="N4806" i="6"/>
  <c r="K4822" i="6"/>
  <c r="M4822" i="6"/>
  <c r="L4822" i="6"/>
  <c r="N4822" i="6"/>
  <c r="K4838" i="6"/>
  <c r="M4838" i="6"/>
  <c r="L4838" i="6"/>
  <c r="N4838" i="6"/>
  <c r="K4862" i="6"/>
  <c r="M4862" i="6"/>
  <c r="L4862" i="6"/>
  <c r="N4862" i="6"/>
  <c r="M4879" i="6"/>
  <c r="L4879" i="6"/>
  <c r="N4879" i="6"/>
  <c r="K4879" i="6"/>
  <c r="M4883" i="6"/>
  <c r="K4883" i="6"/>
  <c r="L4883" i="6"/>
  <c r="N4883" i="6"/>
  <c r="K4902" i="6"/>
  <c r="M4902" i="6"/>
  <c r="L4902" i="6"/>
  <c r="N4902" i="6"/>
  <c r="N4930" i="6"/>
  <c r="K4930" i="6"/>
  <c r="M4930" i="6"/>
  <c r="L4930" i="6"/>
  <c r="K4950" i="6"/>
  <c r="M4950" i="6"/>
  <c r="L4950" i="6"/>
  <c r="N4950" i="6"/>
  <c r="N4954" i="6"/>
  <c r="K4954" i="6"/>
  <c r="M4954" i="6"/>
  <c r="L4954" i="6"/>
  <c r="K4958" i="6"/>
  <c r="M4958" i="6"/>
  <c r="L4958" i="6"/>
  <c r="N4958" i="6"/>
  <c r="N4978" i="6"/>
  <c r="K4978" i="6"/>
  <c r="M4978" i="6"/>
  <c r="L4978" i="6"/>
  <c r="K4982" i="6"/>
  <c r="M4982" i="6"/>
  <c r="L4982" i="6"/>
  <c r="N4982" i="6"/>
  <c r="K4999" i="6"/>
  <c r="M4999" i="6"/>
  <c r="L4999" i="6"/>
  <c r="N4999" i="6"/>
  <c r="M5017" i="6"/>
  <c r="K5017" i="6"/>
  <c r="L5017" i="6"/>
  <c r="N5017" i="6"/>
  <c r="K5021" i="6"/>
  <c r="L5021" i="6"/>
  <c r="N5021" i="6"/>
  <c r="M5021" i="6"/>
  <c r="K5025" i="6"/>
  <c r="M5025" i="6"/>
  <c r="L5025" i="6"/>
  <c r="N5025" i="6"/>
  <c r="N5049" i="6"/>
  <c r="M5049" i="6"/>
  <c r="L5049" i="6"/>
  <c r="K5049" i="6"/>
  <c r="L5064" i="6"/>
  <c r="M5064" i="6"/>
  <c r="K5064" i="6"/>
  <c r="N5064" i="6"/>
  <c r="L5100" i="6"/>
  <c r="K5100" i="6"/>
  <c r="M5100" i="6"/>
  <c r="N5100" i="6"/>
  <c r="L5129" i="6"/>
  <c r="N5129" i="6"/>
  <c r="K5129" i="6"/>
  <c r="M5129" i="6"/>
  <c r="K5133" i="6"/>
  <c r="L5133" i="6"/>
  <c r="N5133" i="6"/>
  <c r="M5133" i="6"/>
  <c r="M5150" i="6"/>
  <c r="L5150" i="6"/>
  <c r="N5150" i="6"/>
  <c r="K5150" i="6"/>
  <c r="K5154" i="6"/>
  <c r="M5154" i="6"/>
  <c r="L5154" i="6"/>
  <c r="N5154" i="6"/>
  <c r="L5167" i="6"/>
  <c r="N5167" i="6"/>
  <c r="K5167" i="6"/>
  <c r="M5167" i="6"/>
  <c r="K5171" i="6"/>
  <c r="M5171" i="6"/>
  <c r="L5171" i="6"/>
  <c r="N5171" i="6"/>
  <c r="L5175" i="6"/>
  <c r="N5175" i="6"/>
  <c r="K5175" i="6"/>
  <c r="M5175" i="6"/>
  <c r="L5179" i="6"/>
  <c r="K5179" i="6"/>
  <c r="M5179" i="6"/>
  <c r="N5179" i="6"/>
  <c r="M5183" i="6"/>
  <c r="N5183" i="6"/>
  <c r="K5183" i="6"/>
  <c r="L5183" i="6"/>
  <c r="K5187" i="6"/>
  <c r="L5187" i="6"/>
  <c r="N5187" i="6"/>
  <c r="M5187" i="6"/>
  <c r="L5191" i="6"/>
  <c r="N5191" i="6"/>
  <c r="K5191" i="6"/>
  <c r="M5191" i="6"/>
  <c r="L5195" i="6"/>
  <c r="N5195" i="6"/>
  <c r="K5195" i="6"/>
  <c r="M5195" i="6"/>
  <c r="L5229" i="6"/>
  <c r="N5229" i="6"/>
  <c r="M5229" i="6"/>
  <c r="K5229" i="6"/>
  <c r="M5253" i="6"/>
  <c r="L5253" i="6"/>
  <c r="K5253" i="6"/>
  <c r="N5253" i="6"/>
  <c r="L5276" i="6"/>
  <c r="K5276" i="6"/>
  <c r="M5276" i="6"/>
  <c r="N5276" i="6"/>
  <c r="K5295" i="6"/>
  <c r="M5295" i="6"/>
  <c r="L5295" i="6"/>
  <c r="N5295" i="6"/>
  <c r="M5308" i="6"/>
  <c r="K5308" i="6"/>
  <c r="L5308" i="6"/>
  <c r="N5308" i="6"/>
  <c r="K5312" i="6"/>
  <c r="L5312" i="6"/>
  <c r="N5312" i="6"/>
  <c r="M5312" i="6"/>
  <c r="L5328" i="6"/>
  <c r="M5328" i="6"/>
  <c r="K5328" i="6"/>
  <c r="N5328" i="6"/>
  <c r="L5340" i="6"/>
  <c r="K5340" i="6"/>
  <c r="M5340" i="6"/>
  <c r="N5340" i="6"/>
  <c r="L5344" i="6"/>
  <c r="N5344" i="6"/>
  <c r="K5344" i="6"/>
  <c r="M5344" i="6"/>
  <c r="L5368" i="6"/>
  <c r="M5368" i="6"/>
  <c r="K5368" i="6"/>
  <c r="N5368" i="6"/>
  <c r="K5372" i="6"/>
  <c r="L5372" i="6"/>
  <c r="N5372" i="6"/>
  <c r="M5372" i="6"/>
  <c r="N5376" i="6"/>
  <c r="K5376" i="6"/>
  <c r="M5376" i="6"/>
  <c r="L5376" i="6"/>
  <c r="L5399" i="6"/>
  <c r="N5399" i="6"/>
  <c r="K5399" i="6"/>
  <c r="M5399" i="6"/>
  <c r="L5403" i="6"/>
  <c r="N5403" i="6"/>
  <c r="K5403" i="6"/>
  <c r="M5403" i="6"/>
  <c r="L5407" i="6"/>
  <c r="N5407" i="6"/>
  <c r="K5407" i="6"/>
  <c r="M5407" i="6"/>
  <c r="L5431" i="6"/>
  <c r="N5431" i="6"/>
  <c r="K5431" i="6"/>
  <c r="M5431" i="6"/>
  <c r="L5435" i="6"/>
  <c r="N5435" i="6"/>
  <c r="K5435" i="6"/>
  <c r="M5435" i="6"/>
  <c r="L5439" i="6"/>
  <c r="K5439" i="6"/>
  <c r="N5439" i="6"/>
  <c r="M5439" i="6"/>
  <c r="L5463" i="6"/>
  <c r="N5463" i="6"/>
  <c r="K5463" i="6"/>
  <c r="M5463" i="6"/>
  <c r="N5477" i="6"/>
  <c r="L5477" i="6"/>
  <c r="K5477" i="6"/>
  <c r="M5477" i="6"/>
  <c r="K5502" i="6"/>
  <c r="M5502" i="6"/>
  <c r="L5502" i="6"/>
  <c r="N5502" i="6"/>
  <c r="K3677" i="6"/>
  <c r="K4100" i="6"/>
  <c r="K4114" i="6"/>
  <c r="M4560" i="6"/>
  <c r="K4560" i="6"/>
  <c r="L4560" i="6"/>
  <c r="N4560" i="6"/>
  <c r="M4612" i="6"/>
  <c r="K4612" i="6"/>
  <c r="L4612" i="6"/>
  <c r="N4612" i="6"/>
  <c r="M4616" i="6"/>
  <c r="K4616" i="6"/>
  <c r="L4616" i="6"/>
  <c r="N4616" i="6"/>
  <c r="K4620" i="6"/>
  <c r="M4620" i="6"/>
  <c r="L4620" i="6"/>
  <c r="N4620" i="6"/>
  <c r="K4624" i="6"/>
  <c r="M4624" i="6"/>
  <c r="L4624" i="6"/>
  <c r="N4624" i="6"/>
  <c r="L4789" i="6"/>
  <c r="K4789" i="6"/>
  <c r="N4789" i="6"/>
  <c r="M4789" i="6"/>
  <c r="L4813" i="6"/>
  <c r="N4813" i="6"/>
  <c r="K4813" i="6"/>
  <c r="M4813" i="6"/>
  <c r="L4864" i="6"/>
  <c r="K4864" i="6"/>
  <c r="M4864" i="6"/>
  <c r="N4864" i="6"/>
  <c r="K4886" i="6"/>
  <c r="M4886" i="6"/>
  <c r="L4886" i="6"/>
  <c r="N4886" i="6"/>
  <c r="K4934" i="6"/>
  <c r="M4934" i="6"/>
  <c r="L4934" i="6"/>
  <c r="N4934" i="6"/>
  <c r="K4966" i="6"/>
  <c r="M4966" i="6"/>
  <c r="L4966" i="6"/>
  <c r="N4966" i="6"/>
  <c r="L5029" i="6"/>
  <c r="K5029" i="6"/>
  <c r="N5029" i="6"/>
  <c r="M5029" i="6"/>
  <c r="K5058" i="6"/>
  <c r="M5058" i="6"/>
  <c r="L5058" i="6"/>
  <c r="N5058" i="6"/>
  <c r="M5106" i="6"/>
  <c r="K5106" i="6"/>
  <c r="L5106" i="6"/>
  <c r="N5106" i="6"/>
  <c r="M5110" i="6"/>
  <c r="L5110" i="6"/>
  <c r="N5110" i="6"/>
  <c r="K5110" i="6"/>
  <c r="M5114" i="6"/>
  <c r="L5114" i="6"/>
  <c r="N5114" i="6"/>
  <c r="K5114" i="6"/>
  <c r="M5118" i="6"/>
  <c r="L5118" i="6"/>
  <c r="N5118" i="6"/>
  <c r="K5118" i="6"/>
  <c r="K5122" i="6"/>
  <c r="M5122" i="6"/>
  <c r="L5122" i="6"/>
  <c r="N5122" i="6"/>
  <c r="N5141" i="6"/>
  <c r="K5141" i="6"/>
  <c r="M5141" i="6"/>
  <c r="L5141" i="6"/>
  <c r="L5231" i="6"/>
  <c r="N5231" i="6"/>
  <c r="M5231" i="6"/>
  <c r="K5231" i="6"/>
  <c r="L5271" i="6"/>
  <c r="K5271" i="6"/>
  <c r="M5271" i="6"/>
  <c r="N5271" i="6"/>
  <c r="L5318" i="6"/>
  <c r="N5318" i="6"/>
  <c r="K5318" i="6"/>
  <c r="M5318" i="6"/>
  <c r="L5411" i="6"/>
  <c r="N5411" i="6"/>
  <c r="K5411" i="6"/>
  <c r="M5411" i="6"/>
  <c r="L5447" i="6"/>
  <c r="N5447" i="6"/>
  <c r="K5447" i="6"/>
  <c r="M5447" i="6"/>
  <c r="M5451" i="6"/>
  <c r="N5451" i="6"/>
  <c r="K5451" i="6"/>
  <c r="L5451" i="6"/>
  <c r="N5455" i="6"/>
  <c r="K5455" i="6"/>
  <c r="M5455" i="6"/>
  <c r="L5455" i="6"/>
  <c r="L5508" i="6"/>
  <c r="K5508" i="6"/>
  <c r="M5508" i="6"/>
  <c r="N5508" i="6"/>
  <c r="L5519" i="6"/>
  <c r="K5519" i="6"/>
  <c r="N5519" i="6"/>
  <c r="M5519" i="6"/>
  <c r="N5545" i="6"/>
  <c r="L5545" i="6"/>
  <c r="K5545" i="6"/>
  <c r="M5545" i="6"/>
  <c r="K5577" i="6"/>
  <c r="N5577" i="6"/>
  <c r="M5577" i="6"/>
  <c r="L5577" i="6"/>
  <c r="K5593" i="6"/>
  <c r="M5593" i="6"/>
  <c r="L5593" i="6"/>
  <c r="N5593" i="6"/>
  <c r="K5597" i="6"/>
  <c r="M5597" i="6"/>
  <c r="L5597" i="6"/>
  <c r="N5597" i="6"/>
  <c r="M5601" i="6"/>
  <c r="N5601" i="6"/>
  <c r="L5601" i="6"/>
  <c r="K5601" i="6"/>
  <c r="L5640" i="6"/>
  <c r="K5640" i="6"/>
  <c r="M5640" i="6"/>
  <c r="N5640" i="6"/>
  <c r="K5655" i="6"/>
  <c r="N5655" i="6"/>
  <c r="M5655" i="6"/>
  <c r="L5655" i="6"/>
  <c r="M5672" i="6"/>
  <c r="K5672" i="6"/>
  <c r="L5672" i="6"/>
  <c r="N5672" i="6"/>
  <c r="M5676" i="6"/>
  <c r="K5676" i="6"/>
  <c r="N5676" i="6"/>
  <c r="L5676" i="6"/>
  <c r="M5713" i="6"/>
  <c r="L5713" i="6"/>
  <c r="N5713" i="6"/>
  <c r="K5713" i="6"/>
  <c r="N5717" i="6"/>
  <c r="K5717" i="6"/>
  <c r="M5717" i="6"/>
  <c r="L5717" i="6"/>
  <c r="L5750" i="6"/>
  <c r="K5750" i="6"/>
  <c r="M5750" i="6"/>
  <c r="N5750" i="6"/>
  <c r="L5754" i="6"/>
  <c r="N5754" i="6"/>
  <c r="K5754" i="6"/>
  <c r="M5754" i="6"/>
  <c r="M5778" i="6"/>
  <c r="L5778" i="6"/>
  <c r="N5778" i="6"/>
  <c r="K5778" i="6"/>
  <c r="L5801" i="6"/>
  <c r="K5801" i="6"/>
  <c r="N5801" i="6"/>
  <c r="M5801" i="6"/>
  <c r="K5872" i="6"/>
  <c r="M5872" i="6"/>
  <c r="L5872" i="6"/>
  <c r="N5872" i="6"/>
  <c r="L5912" i="6"/>
  <c r="N5912" i="6"/>
  <c r="K5912" i="6"/>
  <c r="M5912" i="6"/>
  <c r="K5948" i="6"/>
  <c r="M5948" i="6"/>
  <c r="L5948" i="6"/>
  <c r="N5948" i="6"/>
  <c r="L5961" i="6"/>
  <c r="N5961" i="6"/>
  <c r="K5961" i="6"/>
  <c r="M5961" i="6"/>
  <c r="K5992" i="6"/>
  <c r="M5992" i="6"/>
  <c r="L5992" i="6"/>
  <c r="N5992" i="6"/>
  <c r="L6006" i="6"/>
  <c r="K6006" i="6"/>
  <c r="N6006" i="6"/>
  <c r="M6006" i="6"/>
  <c r="K6018" i="6"/>
  <c r="M6018" i="6"/>
  <c r="N6018" i="6"/>
  <c r="L6018" i="6"/>
  <c r="L6040" i="6"/>
  <c r="N6040" i="6"/>
  <c r="K6040" i="6"/>
  <c r="M6040" i="6"/>
  <c r="L6051" i="6"/>
  <c r="M6051" i="6"/>
  <c r="K6051" i="6"/>
  <c r="N6051" i="6"/>
  <c r="L6074" i="6"/>
  <c r="M6074" i="6"/>
  <c r="K6074" i="6"/>
  <c r="N6074" i="6"/>
  <c r="N6096" i="6"/>
  <c r="K6096" i="6"/>
  <c r="M6096" i="6"/>
  <c r="L6096" i="6"/>
  <c r="M6114" i="6"/>
  <c r="N6114" i="6"/>
  <c r="L6114" i="6"/>
  <c r="K6114" i="6"/>
  <c r="M6137" i="6"/>
  <c r="N6137" i="6"/>
  <c r="K6137" i="6"/>
  <c r="L6137" i="6"/>
  <c r="M6152" i="6"/>
  <c r="K6152" i="6"/>
  <c r="N6152" i="6"/>
  <c r="L6152" i="6"/>
  <c r="M6170" i="6"/>
  <c r="N6170" i="6"/>
  <c r="L6170" i="6"/>
  <c r="K6170" i="6"/>
  <c r="M6187" i="6"/>
  <c r="N6187" i="6"/>
  <c r="L6187" i="6"/>
  <c r="K6187" i="6"/>
  <c r="L6200" i="6"/>
  <c r="M6200" i="6"/>
  <c r="N6200" i="6"/>
  <c r="K6200" i="6"/>
  <c r="L6208" i="6"/>
  <c r="K6208" i="6"/>
  <c r="M6208" i="6"/>
  <c r="N6208" i="6"/>
  <c r="M6223" i="6"/>
  <c r="L6223" i="6"/>
  <c r="K6223" i="6"/>
  <c r="N6223" i="6"/>
  <c r="K6236" i="6"/>
  <c r="M6236" i="6"/>
  <c r="N6236" i="6"/>
  <c r="L6236" i="6"/>
  <c r="M6253" i="6"/>
  <c r="N6253" i="6"/>
  <c r="K6253" i="6"/>
  <c r="L6253" i="6"/>
  <c r="M6275" i="6"/>
  <c r="N6275" i="6"/>
  <c r="K6275" i="6"/>
  <c r="L6275" i="6"/>
  <c r="L6283" i="6"/>
  <c r="N6283" i="6"/>
  <c r="K6283" i="6"/>
  <c r="M6283" i="6"/>
  <c r="K6309" i="6"/>
  <c r="L6309" i="6"/>
  <c r="M6309" i="6"/>
  <c r="N6309" i="6"/>
  <c r="N6323" i="6"/>
  <c r="M6323" i="6"/>
  <c r="L6323" i="6"/>
  <c r="K6323" i="6"/>
  <c r="L6340" i="6"/>
  <c r="N6340" i="6"/>
  <c r="K6340" i="6"/>
  <c r="M6340" i="6"/>
  <c r="K6348" i="6"/>
  <c r="M6348" i="6"/>
  <c r="N6348" i="6"/>
  <c r="L6348" i="6"/>
  <c r="K6359" i="6"/>
  <c r="M6359" i="6"/>
  <c r="N6359" i="6"/>
  <c r="L6359" i="6"/>
  <c r="M6373" i="6"/>
  <c r="N6373" i="6"/>
  <c r="L6373" i="6"/>
  <c r="K6373" i="6"/>
  <c r="N6392" i="6"/>
  <c r="M6392" i="6"/>
  <c r="K6392" i="6"/>
  <c r="L6392" i="6"/>
  <c r="N6412" i="6"/>
  <c r="L6412" i="6"/>
  <c r="M6412" i="6"/>
  <c r="K6412" i="6"/>
  <c r="L6429" i="6"/>
  <c r="M6429" i="6"/>
  <c r="K6429" i="6"/>
  <c r="N6429" i="6"/>
  <c r="N6441" i="6"/>
  <c r="M6441" i="6"/>
  <c r="L6441" i="6"/>
  <c r="K6441" i="6"/>
  <c r="N6461" i="6"/>
  <c r="M6461" i="6"/>
  <c r="K6461" i="6"/>
  <c r="L6461" i="6"/>
  <c r="M6473" i="6"/>
  <c r="K6473" i="6"/>
  <c r="N6473" i="6"/>
  <c r="L6473" i="6"/>
  <c r="L6489" i="6"/>
  <c r="M6489" i="6"/>
  <c r="K6489" i="6"/>
  <c r="N6489" i="6"/>
  <c r="N6518" i="6"/>
  <c r="L6518" i="6"/>
  <c r="M6518" i="6"/>
  <c r="K6518" i="6"/>
  <c r="N6534" i="6"/>
  <c r="L6534" i="6"/>
  <c r="K6534" i="6"/>
  <c r="M6534" i="6"/>
  <c r="N6543" i="6"/>
  <c r="L6543" i="6"/>
  <c r="M6543" i="6"/>
  <c r="K6543" i="6"/>
  <c r="N6557" i="6"/>
  <c r="L6557" i="6"/>
  <c r="K6557" i="6"/>
  <c r="M6557" i="6"/>
  <c r="K6569" i="6"/>
  <c r="L6569" i="6"/>
  <c r="M6569" i="6"/>
  <c r="N6569" i="6"/>
  <c r="L6589" i="6"/>
  <c r="N6589" i="6"/>
  <c r="K6589" i="6"/>
  <c r="M6589" i="6"/>
  <c r="M6608" i="6"/>
  <c r="L6608" i="6"/>
  <c r="N6608" i="6"/>
  <c r="K6608" i="6"/>
  <c r="N6626" i="6"/>
  <c r="M6626" i="6"/>
  <c r="L6626" i="6"/>
  <c r="K6626" i="6"/>
  <c r="L6640" i="6"/>
  <c r="N6640" i="6"/>
  <c r="K6640" i="6"/>
  <c r="M6640" i="6"/>
  <c r="N6659" i="6"/>
  <c r="M6659" i="6"/>
  <c r="L6659" i="6"/>
  <c r="K6659" i="6"/>
  <c r="N6670" i="6"/>
  <c r="M6670" i="6"/>
  <c r="K6670" i="6"/>
  <c r="L6670" i="6"/>
  <c r="N6684" i="6"/>
  <c r="L6684" i="6"/>
  <c r="K6684" i="6"/>
  <c r="M6684" i="6"/>
  <c r="N6700" i="6"/>
  <c r="K6700" i="6"/>
  <c r="M6700" i="6"/>
  <c r="L6700" i="6"/>
  <c r="M6708" i="6"/>
  <c r="L6708" i="6"/>
  <c r="K6708" i="6"/>
  <c r="N6708" i="6"/>
  <c r="M6723" i="6"/>
  <c r="L6723" i="6"/>
  <c r="N6723" i="6"/>
  <c r="K6723" i="6"/>
  <c r="N6737" i="6"/>
  <c r="K6737" i="6"/>
  <c r="M6737" i="6"/>
  <c r="L6737" i="6"/>
  <c r="M6761" i="6"/>
  <c r="L6761" i="6"/>
  <c r="K6761" i="6"/>
  <c r="N6761" i="6"/>
  <c r="L6773" i="6"/>
  <c r="K6773" i="6"/>
  <c r="N6773" i="6"/>
  <c r="M6773" i="6"/>
  <c r="N6790" i="6"/>
  <c r="M6790" i="6"/>
  <c r="L6790" i="6"/>
  <c r="K6790" i="6"/>
  <c r="N6806" i="6"/>
  <c r="L6806" i="6"/>
  <c r="M6806" i="6"/>
  <c r="K6806" i="6"/>
  <c r="N6826" i="6"/>
  <c r="K6826" i="6"/>
  <c r="M6826" i="6"/>
  <c r="L6826" i="6"/>
  <c r="L6837" i="6"/>
  <c r="M6837" i="6"/>
  <c r="N6837" i="6"/>
  <c r="K6837" i="6"/>
  <c r="N6854" i="6"/>
  <c r="M6854" i="6"/>
  <c r="L6854" i="6"/>
  <c r="K6854" i="6"/>
  <c r="M6864" i="6"/>
  <c r="K6864" i="6"/>
  <c r="L6864" i="6"/>
  <c r="N6864" i="6"/>
  <c r="L6881" i="6"/>
  <c r="K6881" i="6"/>
  <c r="M6881" i="6"/>
  <c r="N6881" i="6"/>
  <c r="N6895" i="6"/>
  <c r="L6895" i="6"/>
  <c r="M6895" i="6"/>
  <c r="K6895" i="6"/>
  <c r="K3953" i="6"/>
  <c r="K3998" i="6"/>
  <c r="L4521" i="6"/>
  <c r="M4521" i="6"/>
  <c r="K4521" i="6"/>
  <c r="N4521" i="6"/>
  <c r="M4525" i="6"/>
  <c r="L4525" i="6"/>
  <c r="N4525" i="6"/>
  <c r="K4525" i="6"/>
  <c r="K4529" i="6"/>
  <c r="L4529" i="6"/>
  <c r="M4529" i="6"/>
  <c r="N4529" i="6"/>
  <c r="L4533" i="6"/>
  <c r="N4533" i="6"/>
  <c r="K4533" i="6"/>
  <c r="M4533" i="6"/>
  <c r="K4537" i="6"/>
  <c r="N4537" i="6"/>
  <c r="M4537" i="6"/>
  <c r="L4537" i="6"/>
  <c r="L4642" i="6"/>
  <c r="M4642" i="6"/>
  <c r="K4642" i="6"/>
  <c r="N4642" i="6"/>
  <c r="L4646" i="6"/>
  <c r="N4646" i="6"/>
  <c r="K4646" i="6"/>
  <c r="M4646" i="6"/>
  <c r="N4747" i="6"/>
  <c r="K4747" i="6"/>
  <c r="M4747" i="6"/>
  <c r="L4747" i="6"/>
  <c r="N4751" i="6"/>
  <c r="M4751" i="6"/>
  <c r="L4751" i="6"/>
  <c r="K4751" i="6"/>
  <c r="M4780" i="6"/>
  <c r="N4780" i="6"/>
  <c r="L4780" i="6"/>
  <c r="K4780" i="6"/>
  <c r="L4828" i="6"/>
  <c r="N4828" i="6"/>
  <c r="K4828" i="6"/>
  <c r="M4828" i="6"/>
  <c r="K4846" i="6"/>
  <c r="M4846" i="6"/>
  <c r="L4846" i="6"/>
  <c r="N4846" i="6"/>
  <c r="N4850" i="6"/>
  <c r="K4850" i="6"/>
  <c r="M4850" i="6"/>
  <c r="L4850" i="6"/>
  <c r="L4907" i="6"/>
  <c r="K4907" i="6"/>
  <c r="N4907" i="6"/>
  <c r="M4907" i="6"/>
  <c r="L4984" i="6"/>
  <c r="K4984" i="6"/>
  <c r="M4984" i="6"/>
  <c r="N4984" i="6"/>
  <c r="K5006" i="6"/>
  <c r="M5006" i="6"/>
  <c r="L5006" i="6"/>
  <c r="N5006" i="6"/>
  <c r="K5066" i="6"/>
  <c r="M5066" i="6"/>
  <c r="L5066" i="6"/>
  <c r="N5066" i="6"/>
  <c r="L5070" i="6"/>
  <c r="N5070" i="6"/>
  <c r="K5070" i="6"/>
  <c r="M5070" i="6"/>
  <c r="M5074" i="6"/>
  <c r="L5074" i="6"/>
  <c r="N5074" i="6"/>
  <c r="K5074" i="6"/>
  <c r="L5078" i="6"/>
  <c r="N5078" i="6"/>
  <c r="K5078" i="6"/>
  <c r="M5078" i="6"/>
  <c r="K5156" i="6"/>
  <c r="M5156" i="6"/>
  <c r="L5156" i="6"/>
  <c r="N5156" i="6"/>
  <c r="K5210" i="6"/>
  <c r="M5210" i="6"/>
  <c r="L5210" i="6"/>
  <c r="N5210" i="6"/>
  <c r="K5214" i="6"/>
  <c r="M5214" i="6"/>
  <c r="L5214" i="6"/>
  <c r="N5214" i="6"/>
  <c r="K5218" i="6"/>
  <c r="M5218" i="6"/>
  <c r="N5218" i="6"/>
  <c r="L5218" i="6"/>
  <c r="L5279" i="6"/>
  <c r="K5279" i="6"/>
  <c r="M5279" i="6"/>
  <c r="N5279" i="6"/>
  <c r="M5283" i="6"/>
  <c r="N5283" i="6"/>
  <c r="K5283" i="6"/>
  <c r="L5283" i="6"/>
  <c r="L5300" i="6"/>
  <c r="K5300" i="6"/>
  <c r="M5300" i="6"/>
  <c r="N5300" i="6"/>
  <c r="N5349" i="6"/>
  <c r="K5349" i="6"/>
  <c r="M5349" i="6"/>
  <c r="L5349" i="6"/>
  <c r="K5385" i="6"/>
  <c r="N5385" i="6"/>
  <c r="M5385" i="6"/>
  <c r="L5385" i="6"/>
  <c r="N5389" i="6"/>
  <c r="K5389" i="6"/>
  <c r="L5389" i="6"/>
  <c r="M5389" i="6"/>
  <c r="L5393" i="6"/>
  <c r="K5393" i="6"/>
  <c r="M5393" i="6"/>
  <c r="N5393" i="6"/>
  <c r="M5467" i="6"/>
  <c r="L5467" i="6"/>
  <c r="N5467" i="6"/>
  <c r="K5467" i="6"/>
  <c r="K5491" i="6"/>
  <c r="M5491" i="6"/>
  <c r="L5491" i="6"/>
  <c r="N5491" i="6"/>
  <c r="K5495" i="6"/>
  <c r="L5495" i="6"/>
  <c r="N5495" i="6"/>
  <c r="M5495" i="6"/>
  <c r="N5528" i="6"/>
  <c r="M5528" i="6"/>
  <c r="L5528" i="6"/>
  <c r="K5528" i="6"/>
  <c r="N5560" i="6"/>
  <c r="M5560" i="6"/>
  <c r="L5560" i="6"/>
  <c r="K5560" i="6"/>
  <c r="K5586" i="6"/>
  <c r="M5586" i="6"/>
  <c r="L5586" i="6"/>
  <c r="N5586" i="6"/>
  <c r="K5610" i="6"/>
  <c r="L5610" i="6"/>
  <c r="M5610" i="6"/>
  <c r="N5610" i="6"/>
  <c r="K5631" i="6"/>
  <c r="M5631" i="6"/>
  <c r="L5631" i="6"/>
  <c r="N5631" i="6"/>
  <c r="M5635" i="6"/>
  <c r="L5635" i="6"/>
  <c r="N5635" i="6"/>
  <c r="K5635" i="6"/>
  <c r="N5648" i="6"/>
  <c r="M5648" i="6"/>
  <c r="L5648" i="6"/>
  <c r="K5648" i="6"/>
  <c r="L5683" i="6"/>
  <c r="N5683" i="6"/>
  <c r="K5683" i="6"/>
  <c r="M5683" i="6"/>
  <c r="K5687" i="6"/>
  <c r="L5687" i="6"/>
  <c r="N5687" i="6"/>
  <c r="M5687" i="6"/>
  <c r="L5691" i="6"/>
  <c r="M5691" i="6"/>
  <c r="N5691" i="6"/>
  <c r="K5691" i="6"/>
  <c r="M5736" i="6"/>
  <c r="K5736" i="6"/>
  <c r="N5736" i="6"/>
  <c r="L5736" i="6"/>
  <c r="M5760" i="6"/>
  <c r="K5760" i="6"/>
  <c r="N5760" i="6"/>
  <c r="L5760" i="6"/>
  <c r="M5764" i="6"/>
  <c r="K5764" i="6"/>
  <c r="L5764" i="6"/>
  <c r="N5764" i="6"/>
  <c r="M5768" i="6"/>
  <c r="K5768" i="6"/>
  <c r="N5768" i="6"/>
  <c r="L5768" i="6"/>
  <c r="M5792" i="6"/>
  <c r="K5792" i="6"/>
  <c r="N5792" i="6"/>
  <c r="L5792" i="6"/>
  <c r="M5808" i="6"/>
  <c r="K5808" i="6"/>
  <c r="N5808" i="6"/>
  <c r="L5808" i="6"/>
  <c r="M5812" i="6"/>
  <c r="K5812" i="6"/>
  <c r="L5812" i="6"/>
  <c r="N5812" i="6"/>
  <c r="K5840" i="6"/>
  <c r="M5840" i="6"/>
  <c r="N5840" i="6"/>
  <c r="L5840" i="6"/>
  <c r="K5852" i="6"/>
  <c r="M5852" i="6"/>
  <c r="L5852" i="6"/>
  <c r="N5852" i="6"/>
  <c r="K5883" i="6"/>
  <c r="N5883" i="6"/>
  <c r="M5883" i="6"/>
  <c r="L5883" i="6"/>
  <c r="M5902" i="6"/>
  <c r="N5902" i="6"/>
  <c r="K5902" i="6"/>
  <c r="L5902" i="6"/>
  <c r="N5906" i="6"/>
  <c r="L5906" i="6"/>
  <c r="K5906" i="6"/>
  <c r="M5906" i="6"/>
  <c r="N5919" i="6"/>
  <c r="K5919" i="6"/>
  <c r="M5919" i="6"/>
  <c r="L5919" i="6"/>
  <c r="L5933" i="6"/>
  <c r="N5933" i="6"/>
  <c r="K5933" i="6"/>
  <c r="M5933" i="6"/>
  <c r="L5937" i="6"/>
  <c r="N5937" i="6"/>
  <c r="K5937" i="6"/>
  <c r="M5937" i="6"/>
  <c r="L5941" i="6"/>
  <c r="N5941" i="6"/>
  <c r="K5941" i="6"/>
  <c r="M5941" i="6"/>
  <c r="L5970" i="6"/>
  <c r="K5970" i="6"/>
  <c r="M5970" i="6"/>
  <c r="N5970" i="6"/>
  <c r="K5982" i="6"/>
  <c r="M5982" i="6"/>
  <c r="L5982" i="6"/>
  <c r="N5982" i="6"/>
  <c r="K5986" i="6"/>
  <c r="L5986" i="6"/>
  <c r="N5986" i="6"/>
  <c r="M5986" i="6"/>
  <c r="N6003" i="6"/>
  <c r="K6003" i="6"/>
  <c r="M6003" i="6"/>
  <c r="L6003" i="6"/>
  <c r="L6025" i="6"/>
  <c r="N6025" i="6"/>
  <c r="K6025" i="6"/>
  <c r="M6025" i="6"/>
  <c r="N6037" i="6"/>
  <c r="K6037" i="6"/>
  <c r="M6037" i="6"/>
  <c r="L6037" i="6"/>
  <c r="K6064" i="6"/>
  <c r="L6064" i="6"/>
  <c r="M6064" i="6"/>
  <c r="N6064" i="6"/>
  <c r="M6093" i="6"/>
  <c r="L6093" i="6"/>
  <c r="N6093" i="6"/>
  <c r="K6093" i="6"/>
  <c r="M6105" i="6"/>
  <c r="N6105" i="6"/>
  <c r="K6105" i="6"/>
  <c r="L6105" i="6"/>
  <c r="N6122" i="6"/>
  <c r="M6122" i="6"/>
  <c r="K6122" i="6"/>
  <c r="L6122" i="6"/>
  <c r="L6135" i="6"/>
  <c r="N6135" i="6"/>
  <c r="K6135" i="6"/>
  <c r="M6135" i="6"/>
  <c r="L6150" i="6"/>
  <c r="M6150" i="6"/>
  <c r="K6150" i="6"/>
  <c r="N6150" i="6"/>
  <c r="K6168" i="6"/>
  <c r="M6168" i="6"/>
  <c r="L6168" i="6"/>
  <c r="N6168" i="6"/>
  <c r="M6185" i="6"/>
  <c r="L6185" i="6"/>
  <c r="N6185" i="6"/>
  <c r="K6185" i="6"/>
  <c r="M6196" i="6"/>
  <c r="K6196" i="6"/>
  <c r="L6196" i="6"/>
  <c r="N6196" i="6"/>
  <c r="K6211" i="6"/>
  <c r="N6211" i="6"/>
  <c r="M6211" i="6"/>
  <c r="L6211" i="6"/>
  <c r="N6220" i="6"/>
  <c r="L6220" i="6"/>
  <c r="K6220" i="6"/>
  <c r="M6220" i="6"/>
  <c r="N6232" i="6"/>
  <c r="L6232" i="6"/>
  <c r="M6232" i="6"/>
  <c r="K6232" i="6"/>
  <c r="N6242" i="6"/>
  <c r="M6242" i="6"/>
  <c r="L6242" i="6"/>
  <c r="K6242" i="6"/>
  <c r="M6269" i="6"/>
  <c r="K6269" i="6"/>
  <c r="L6269" i="6"/>
  <c r="N6269" i="6"/>
  <c r="M6286" i="6"/>
  <c r="N6286" i="6"/>
  <c r="K6286" i="6"/>
  <c r="L6286" i="6"/>
  <c r="N6297" i="6"/>
  <c r="M6297" i="6"/>
  <c r="L6297" i="6"/>
  <c r="K6297" i="6"/>
  <c r="N6317" i="6"/>
  <c r="L6317" i="6"/>
  <c r="K6317" i="6"/>
  <c r="M6317" i="6"/>
  <c r="L6328" i="6"/>
  <c r="N6328" i="6"/>
  <c r="M6328" i="6"/>
  <c r="K6328" i="6"/>
  <c r="M6346" i="6"/>
  <c r="L6346" i="6"/>
  <c r="N6346" i="6"/>
  <c r="K6346" i="6"/>
  <c r="L6356" i="6"/>
  <c r="N6356" i="6"/>
  <c r="M6356" i="6"/>
  <c r="K6356" i="6"/>
  <c r="L6377" i="6"/>
  <c r="M6377" i="6"/>
  <c r="N6377" i="6"/>
  <c r="K6377" i="6"/>
  <c r="L6399" i="6"/>
  <c r="N6399" i="6"/>
  <c r="M6399" i="6"/>
  <c r="K6399" i="6"/>
  <c r="M6419" i="6"/>
  <c r="N6419" i="6"/>
  <c r="L6419" i="6"/>
  <c r="K6419" i="6"/>
  <c r="N6445" i="6"/>
  <c r="K6445" i="6"/>
  <c r="L6445" i="6"/>
  <c r="M6445" i="6"/>
  <c r="L6459" i="6"/>
  <c r="M6459" i="6"/>
  <c r="N6459" i="6"/>
  <c r="K6459" i="6"/>
  <c r="M6481" i="6"/>
  <c r="N6481" i="6"/>
  <c r="L6481" i="6"/>
  <c r="K6481" i="6"/>
  <c r="M6499" i="6"/>
  <c r="L6499" i="6"/>
  <c r="N6499" i="6"/>
  <c r="K6499" i="6"/>
  <c r="L6513" i="6"/>
  <c r="M6513" i="6"/>
  <c r="N6513" i="6"/>
  <c r="K6513" i="6"/>
  <c r="N6538" i="6"/>
  <c r="K6538" i="6"/>
  <c r="L6538" i="6"/>
  <c r="M6538" i="6"/>
  <c r="N6550" i="6"/>
  <c r="M6550" i="6"/>
  <c r="L6550" i="6"/>
  <c r="K6550" i="6"/>
  <c r="M6571" i="6"/>
  <c r="L6571" i="6"/>
  <c r="N6571" i="6"/>
  <c r="K6571" i="6"/>
  <c r="N6581" i="6"/>
  <c r="K6581" i="6"/>
  <c r="M6581" i="6"/>
  <c r="L6581" i="6"/>
  <c r="L6596" i="6"/>
  <c r="K6596" i="6"/>
  <c r="M6596" i="6"/>
  <c r="N6596" i="6"/>
  <c r="N6615" i="6"/>
  <c r="L6615" i="6"/>
  <c r="M6615" i="6"/>
  <c r="K6615" i="6"/>
  <c r="N6623" i="6"/>
  <c r="L6623" i="6"/>
  <c r="M6623" i="6"/>
  <c r="K6623" i="6"/>
  <c r="N6642" i="6"/>
  <c r="M6642" i="6"/>
  <c r="L6642" i="6"/>
  <c r="K6642" i="6"/>
  <c r="K6656" i="6"/>
  <c r="M6656" i="6"/>
  <c r="L6656" i="6"/>
  <c r="N6656" i="6"/>
  <c r="L6679" i="6"/>
  <c r="N6679" i="6"/>
  <c r="M6679" i="6"/>
  <c r="K6679" i="6"/>
  <c r="N6690" i="6"/>
  <c r="M6690" i="6"/>
  <c r="L6690" i="6"/>
  <c r="K6690" i="6"/>
  <c r="L6711" i="6"/>
  <c r="N6711" i="6"/>
  <c r="M6711" i="6"/>
  <c r="K6711" i="6"/>
  <c r="M6725" i="6"/>
  <c r="L6725" i="6"/>
  <c r="N6725" i="6"/>
  <c r="K6725" i="6"/>
  <c r="M6739" i="6"/>
  <c r="L6739" i="6"/>
  <c r="N6739" i="6"/>
  <c r="K6739" i="6"/>
  <c r="L6753" i="6"/>
  <c r="K6753" i="6"/>
  <c r="M6753" i="6"/>
  <c r="N6753" i="6"/>
  <c r="M6764" i="6"/>
  <c r="N6764" i="6"/>
  <c r="L6764" i="6"/>
  <c r="K6764" i="6"/>
  <c r="N6786" i="6"/>
  <c r="M6786" i="6"/>
  <c r="L6786" i="6"/>
  <c r="K6786" i="6"/>
  <c r="N6798" i="6"/>
  <c r="K6798" i="6"/>
  <c r="L6798" i="6"/>
  <c r="M6798" i="6"/>
  <c r="L6813" i="6"/>
  <c r="M6813" i="6"/>
  <c r="K6813" i="6"/>
  <c r="N6813" i="6"/>
  <c r="K6824" i="6"/>
  <c r="N6824" i="6"/>
  <c r="M6824" i="6"/>
  <c r="L6824" i="6"/>
  <c r="N6843" i="6"/>
  <c r="M6843" i="6"/>
  <c r="L6843" i="6"/>
  <c r="K6843" i="6"/>
  <c r="N6862" i="6"/>
  <c r="K6862" i="6"/>
  <c r="L6862" i="6"/>
  <c r="M6862" i="6"/>
  <c r="N6878" i="6"/>
  <c r="K6878" i="6"/>
  <c r="L6878" i="6"/>
  <c r="M6878" i="6"/>
  <c r="M6892" i="6"/>
  <c r="L6892" i="6"/>
  <c r="K6892" i="6"/>
  <c r="N6892" i="6"/>
  <c r="K3725" i="6"/>
  <c r="K6207" i="6"/>
  <c r="L3010" i="6"/>
  <c r="N3010" i="6"/>
  <c r="K3010" i="6"/>
  <c r="M3010" i="6"/>
  <c r="L3024" i="6"/>
  <c r="M3024" i="6"/>
  <c r="N3024" i="6"/>
  <c r="N3036" i="6"/>
  <c r="K3036" i="6"/>
  <c r="M3036" i="6"/>
  <c r="L3036" i="6"/>
  <c r="N3085" i="6"/>
  <c r="K3085" i="6"/>
  <c r="M3085" i="6"/>
  <c r="L3085" i="6"/>
  <c r="M3089" i="6"/>
  <c r="L3089" i="6"/>
  <c r="N3089" i="6"/>
  <c r="K3089" i="6"/>
  <c r="L3015" i="6"/>
  <c r="N3015" i="6"/>
  <c r="K3015" i="6"/>
  <c r="M3015" i="6"/>
  <c r="K3029" i="6"/>
  <c r="M3029" i="6"/>
  <c r="L3029" i="6"/>
  <c r="N3029" i="6"/>
  <c r="L3093" i="6"/>
  <c r="N3093" i="6"/>
  <c r="K3093" i="6"/>
  <c r="M3093" i="6"/>
  <c r="N3102" i="6"/>
  <c r="K3102" i="6"/>
  <c r="M3102" i="6"/>
  <c r="L3102" i="6"/>
  <c r="L3111" i="6"/>
  <c r="K3111" i="6"/>
  <c r="N3111" i="6"/>
  <c r="M3111" i="6"/>
  <c r="L3132" i="6"/>
  <c r="M3132" i="6"/>
  <c r="N3132" i="6"/>
  <c r="L3149" i="6"/>
  <c r="M3149" i="6"/>
  <c r="N3149" i="6"/>
  <c r="L3159" i="6"/>
  <c r="N3159" i="6"/>
  <c r="M3159" i="6"/>
  <c r="K3159" i="6"/>
  <c r="L3189" i="6"/>
  <c r="M3189" i="6"/>
  <c r="N3189" i="6"/>
  <c r="L3204" i="6"/>
  <c r="N3204" i="6"/>
  <c r="M3204" i="6"/>
  <c r="L3217" i="6"/>
  <c r="N3217" i="6"/>
  <c r="M3217" i="6"/>
  <c r="M3230" i="6"/>
  <c r="L3230" i="6"/>
  <c r="N3230" i="6"/>
  <c r="L3241" i="6"/>
  <c r="N3241" i="6"/>
  <c r="M3241" i="6"/>
  <c r="L3249" i="6"/>
  <c r="N3249" i="6"/>
  <c r="M3249" i="6"/>
  <c r="L3262" i="6"/>
  <c r="N3262" i="6"/>
  <c r="M3262" i="6"/>
  <c r="L3271" i="6"/>
  <c r="N3271" i="6"/>
  <c r="M3271" i="6"/>
  <c r="L3286" i="6"/>
  <c r="M3286" i="6"/>
  <c r="N3286" i="6"/>
  <c r="L3310" i="6"/>
  <c r="N3310" i="6"/>
  <c r="M3310" i="6"/>
  <c r="L3320" i="6"/>
  <c r="K3320" i="6"/>
  <c r="M3320" i="6"/>
  <c r="N3320" i="6"/>
  <c r="L3332" i="6"/>
  <c r="K3332" i="6"/>
  <c r="N3332" i="6"/>
  <c r="M3332" i="6"/>
  <c r="L3347" i="6"/>
  <c r="M3347" i="6"/>
  <c r="K3347" i="6"/>
  <c r="N3347" i="6"/>
  <c r="L3357" i="6"/>
  <c r="K3357" i="6"/>
  <c r="N3357" i="6"/>
  <c r="M3357" i="6"/>
  <c r="K3370" i="6"/>
  <c r="M3370" i="6"/>
  <c r="L3370" i="6"/>
  <c r="N3370" i="6"/>
  <c r="L3391" i="6"/>
  <c r="M3391" i="6"/>
  <c r="N3391" i="6"/>
  <c r="L3399" i="6"/>
  <c r="M3399" i="6"/>
  <c r="N3399" i="6"/>
  <c r="K3406" i="6"/>
  <c r="M3406" i="6"/>
  <c r="L3406" i="6"/>
  <c r="N3406" i="6"/>
  <c r="L3018" i="6"/>
  <c r="N3018" i="6"/>
  <c r="K3018" i="6"/>
  <c r="M3018" i="6"/>
  <c r="K3024" i="6"/>
  <c r="N3053" i="6"/>
  <c r="K3053" i="6"/>
  <c r="M3053" i="6"/>
  <c r="L3053" i="6"/>
  <c r="M3065" i="6"/>
  <c r="L3065" i="6"/>
  <c r="N3065" i="6"/>
  <c r="K3065" i="6"/>
  <c r="N3069" i="6"/>
  <c r="K3069" i="6"/>
  <c r="M3069" i="6"/>
  <c r="L3069" i="6"/>
  <c r="M3073" i="6"/>
  <c r="L3073" i="6"/>
  <c r="N3073" i="6"/>
  <c r="K3073" i="6"/>
  <c r="M3121" i="6"/>
  <c r="L3121" i="6"/>
  <c r="N3121" i="6"/>
  <c r="K3121" i="6"/>
  <c r="L3136" i="6"/>
  <c r="K3136" i="6"/>
  <c r="M3136" i="6"/>
  <c r="N3136" i="6"/>
  <c r="M3178" i="6"/>
  <c r="N3178" i="6"/>
  <c r="L3178" i="6"/>
  <c r="L3197" i="6"/>
  <c r="M3197" i="6"/>
  <c r="N3197" i="6"/>
  <c r="N3206" i="6"/>
  <c r="K3206" i="6"/>
  <c r="M3206" i="6"/>
  <c r="L3206" i="6"/>
  <c r="L3219" i="6"/>
  <c r="N3219" i="6"/>
  <c r="M3219" i="6"/>
  <c r="L3244" i="6"/>
  <c r="M3244" i="6"/>
  <c r="N3244" i="6"/>
  <c r="L3258" i="6"/>
  <c r="M3258" i="6"/>
  <c r="N3258" i="6"/>
  <c r="L3277" i="6"/>
  <c r="M3277" i="6"/>
  <c r="N3277" i="6"/>
  <c r="L3293" i="6"/>
  <c r="M3293" i="6"/>
  <c r="N3293" i="6"/>
  <c r="L3305" i="6"/>
  <c r="K3305" i="6"/>
  <c r="M3305" i="6"/>
  <c r="N3305" i="6"/>
  <c r="L3324" i="6"/>
  <c r="K3324" i="6"/>
  <c r="M3324" i="6"/>
  <c r="N3324" i="6"/>
  <c r="L3350" i="6"/>
  <c r="N3350" i="6"/>
  <c r="M3350" i="6"/>
  <c r="K3362" i="6"/>
  <c r="N3362" i="6"/>
  <c r="M3362" i="6"/>
  <c r="L3362" i="6"/>
  <c r="L3372" i="6"/>
  <c r="K3372" i="6"/>
  <c r="M3372" i="6"/>
  <c r="N3372" i="6"/>
  <c r="L3382" i="6"/>
  <c r="K3382" i="6"/>
  <c r="M3382" i="6"/>
  <c r="N3382" i="6"/>
  <c r="L3038" i="6"/>
  <c r="M3038" i="6"/>
  <c r="N3038" i="6"/>
  <c r="K3038" i="6"/>
  <c r="L3127" i="6"/>
  <c r="N3127" i="6"/>
  <c r="K3127" i="6"/>
  <c r="M3127" i="6"/>
  <c r="K3156" i="6"/>
  <c r="N3156" i="6"/>
  <c r="M3156" i="6"/>
  <c r="L3156" i="6"/>
  <c r="L3186" i="6"/>
  <c r="M3186" i="6"/>
  <c r="N3186" i="6"/>
  <c r="K3192" i="6"/>
  <c r="K3204" i="6"/>
  <c r="K3217" i="6"/>
  <c r="K3229" i="6"/>
  <c r="K3239" i="6"/>
  <c r="L3239" i="6"/>
  <c r="N3239" i="6"/>
  <c r="M3239" i="6"/>
  <c r="L3252" i="6"/>
  <c r="N3252" i="6"/>
  <c r="M3252" i="6"/>
  <c r="L3265" i="6"/>
  <c r="N3265" i="6"/>
  <c r="K3265" i="6"/>
  <c r="M3265" i="6"/>
  <c r="K3270" i="6"/>
  <c r="K3281" i="6"/>
  <c r="K3293" i="6"/>
  <c r="L3339" i="6"/>
  <c r="K3339" i="6"/>
  <c r="M3339" i="6"/>
  <c r="N3339" i="6"/>
  <c r="K3344" i="6"/>
  <c r="L3367" i="6"/>
  <c r="K3367" i="6"/>
  <c r="M3367" i="6"/>
  <c r="N3367" i="6"/>
  <c r="K3404" i="6"/>
  <c r="L3432" i="6"/>
  <c r="M3432" i="6"/>
  <c r="N3432" i="6"/>
  <c r="K3436" i="6"/>
  <c r="L3436" i="6"/>
  <c r="N3436" i="6"/>
  <c r="M3436" i="6"/>
  <c r="K3445" i="6"/>
  <c r="M3445" i="6"/>
  <c r="L3445" i="6"/>
  <c r="N3445" i="6"/>
  <c r="L3464" i="6"/>
  <c r="K3464" i="6"/>
  <c r="M3464" i="6"/>
  <c r="N3464" i="6"/>
  <c r="K3474" i="6"/>
  <c r="M3474" i="6"/>
  <c r="L3474" i="6"/>
  <c r="N3474" i="6"/>
  <c r="K3478" i="6"/>
  <c r="M3478" i="6"/>
  <c r="L3478" i="6"/>
  <c r="N3478" i="6"/>
  <c r="K3482" i="6"/>
  <c r="M3482" i="6"/>
  <c r="L3482" i="6"/>
  <c r="N3482" i="6"/>
  <c r="L3494" i="6"/>
  <c r="N3494" i="6"/>
  <c r="K3494" i="6"/>
  <c r="M3494" i="6"/>
  <c r="M3498" i="6"/>
  <c r="K3498" i="6"/>
  <c r="N3498" i="6"/>
  <c r="L3498" i="6"/>
  <c r="K3537" i="6"/>
  <c r="M3537" i="6"/>
  <c r="N3537" i="6"/>
  <c r="L3537" i="6"/>
  <c r="L3553" i="6"/>
  <c r="M3553" i="6"/>
  <c r="N3553" i="6"/>
  <c r="K3553" i="6"/>
  <c r="L3561" i="6"/>
  <c r="K3561" i="6"/>
  <c r="N3561" i="6"/>
  <c r="M3561" i="6"/>
  <c r="L3569" i="6"/>
  <c r="N3569" i="6"/>
  <c r="M3569" i="6"/>
  <c r="N3578" i="6"/>
  <c r="K3578" i="6"/>
  <c r="M3578" i="6"/>
  <c r="L3578" i="6"/>
  <c r="N3586" i="6"/>
  <c r="K3586" i="6"/>
  <c r="M3586" i="6"/>
  <c r="L3586" i="6"/>
  <c r="N3595" i="6"/>
  <c r="K3595" i="6"/>
  <c r="M3595" i="6"/>
  <c r="L3595" i="6"/>
  <c r="L3603" i="6"/>
  <c r="K3603" i="6"/>
  <c r="M3603" i="6"/>
  <c r="N3603" i="6"/>
  <c r="L3607" i="6"/>
  <c r="N3607" i="6"/>
  <c r="K3607" i="6"/>
  <c r="M3607" i="6"/>
  <c r="L3631" i="6"/>
  <c r="M3631" i="6"/>
  <c r="N3631" i="6"/>
  <c r="K3631" i="6"/>
  <c r="L3647" i="6"/>
  <c r="M3647" i="6"/>
  <c r="N3647" i="6"/>
  <c r="K3647" i="6"/>
  <c r="N3662" i="6"/>
  <c r="K3662" i="6"/>
  <c r="M3662" i="6"/>
  <c r="L3662" i="6"/>
  <c r="N3670" i="6"/>
  <c r="K3670" i="6"/>
  <c r="M3670" i="6"/>
  <c r="L3670" i="6"/>
  <c r="N3694" i="6"/>
  <c r="K3694" i="6"/>
  <c r="M3694" i="6"/>
  <c r="L3694" i="6"/>
  <c r="L3724" i="6"/>
  <c r="K3724" i="6"/>
  <c r="M3724" i="6"/>
  <c r="N3724" i="6"/>
  <c r="N3728" i="6"/>
  <c r="M3728" i="6"/>
  <c r="L3728" i="6"/>
  <c r="K3728" i="6"/>
  <c r="N3732" i="6"/>
  <c r="K3732" i="6"/>
  <c r="M3732" i="6"/>
  <c r="L3732" i="6"/>
  <c r="K3855" i="6"/>
  <c r="M3855" i="6"/>
  <c r="L3855" i="6"/>
  <c r="N3855" i="6"/>
  <c r="L3872" i="6"/>
  <c r="N3872" i="6"/>
  <c r="M3872" i="6"/>
  <c r="K3876" i="6"/>
  <c r="M3876" i="6"/>
  <c r="L3876" i="6"/>
  <c r="N3876" i="6"/>
  <c r="M3880" i="6"/>
  <c r="L3880" i="6"/>
  <c r="N3880" i="6"/>
  <c r="L3904" i="6"/>
  <c r="N3904" i="6"/>
  <c r="M3904" i="6"/>
  <c r="K3904" i="6"/>
  <c r="L3927" i="6"/>
  <c r="N3927" i="6"/>
  <c r="K3927" i="6"/>
  <c r="M3927" i="6"/>
  <c r="L3931" i="6"/>
  <c r="N3931" i="6"/>
  <c r="K3931" i="6"/>
  <c r="M3931" i="6"/>
  <c r="L3945" i="6"/>
  <c r="M3945" i="6"/>
  <c r="N3945" i="6"/>
  <c r="L3966" i="6"/>
  <c r="K3966" i="6"/>
  <c r="M3966" i="6"/>
  <c r="N3966" i="6"/>
  <c r="N3970" i="6"/>
  <c r="K3970" i="6"/>
  <c r="M3970" i="6"/>
  <c r="L3970" i="6"/>
  <c r="K3974" i="6"/>
  <c r="L3974" i="6"/>
  <c r="M3974" i="6"/>
  <c r="N3974" i="6"/>
  <c r="K3988" i="6"/>
  <c r="M3988" i="6"/>
  <c r="L3988" i="6"/>
  <c r="N3988" i="6"/>
  <c r="M4000" i="6"/>
  <c r="L4000" i="6"/>
  <c r="N4000" i="6"/>
  <c r="M4024" i="6"/>
  <c r="K4024" i="6"/>
  <c r="N4024" i="6"/>
  <c r="L4024" i="6"/>
  <c r="K4034" i="6"/>
  <c r="L4034" i="6"/>
  <c r="N4034" i="6"/>
  <c r="M4034" i="6"/>
  <c r="L4063" i="6"/>
  <c r="N4063" i="6"/>
  <c r="K4063" i="6"/>
  <c r="M4063" i="6"/>
  <c r="K4091" i="6"/>
  <c r="N4091" i="6"/>
  <c r="M4091" i="6"/>
  <c r="L4091" i="6"/>
  <c r="M4095" i="6"/>
  <c r="L4095" i="6"/>
  <c r="N4095" i="6"/>
  <c r="K4095" i="6"/>
  <c r="L4099" i="6"/>
  <c r="N4099" i="6"/>
  <c r="K4099" i="6"/>
  <c r="M4099" i="6"/>
  <c r="L4103" i="6"/>
  <c r="M4103" i="6"/>
  <c r="N4103" i="6"/>
  <c r="K4103" i="6"/>
  <c r="L4131" i="6"/>
  <c r="M4131" i="6"/>
  <c r="N4131" i="6"/>
  <c r="K4131" i="6"/>
  <c r="L4140" i="6"/>
  <c r="K4140" i="6"/>
  <c r="M4140" i="6"/>
  <c r="N4140" i="6"/>
  <c r="L4144" i="6"/>
  <c r="N4144" i="6"/>
  <c r="M4144" i="6"/>
  <c r="L4148" i="6"/>
  <c r="N4148" i="6"/>
  <c r="M4148" i="6"/>
  <c r="M4175" i="6"/>
  <c r="L4175" i="6"/>
  <c r="N4175" i="6"/>
  <c r="M4213" i="6"/>
  <c r="L4213" i="6"/>
  <c r="N4213" i="6"/>
  <c r="K4213" i="6"/>
  <c r="K4217" i="6"/>
  <c r="L4217" i="6"/>
  <c r="N4217" i="6"/>
  <c r="M4217" i="6"/>
  <c r="L4221" i="6"/>
  <c r="N4221" i="6"/>
  <c r="K4221" i="6"/>
  <c r="M4221" i="6"/>
  <c r="L4242" i="6"/>
  <c r="K4242" i="6"/>
  <c r="M4242" i="6"/>
  <c r="N4242" i="6"/>
  <c r="N4254" i="6"/>
  <c r="K4254" i="6"/>
  <c r="M4254" i="6"/>
  <c r="L4254" i="6"/>
  <c r="K4263" i="6"/>
  <c r="M4263" i="6"/>
  <c r="L4263" i="6"/>
  <c r="N4263" i="6"/>
  <c r="L4281" i="6"/>
  <c r="N4281" i="6"/>
  <c r="K4281" i="6"/>
  <c r="M4281" i="6"/>
  <c r="K4285" i="6"/>
  <c r="M4285" i="6"/>
  <c r="L4285" i="6"/>
  <c r="N4285" i="6"/>
  <c r="L4312" i="6"/>
  <c r="N4312" i="6"/>
  <c r="K4312" i="6"/>
  <c r="M4312" i="6"/>
  <c r="L4340" i="6"/>
  <c r="N4340" i="6"/>
  <c r="K4340" i="6"/>
  <c r="M4340" i="6"/>
  <c r="L4344" i="6"/>
  <c r="N4344" i="6"/>
  <c r="K4344" i="6"/>
  <c r="M4344" i="6"/>
  <c r="M4348" i="6"/>
  <c r="L4348" i="6"/>
  <c r="N4348" i="6"/>
  <c r="K4348" i="6"/>
  <c r="L4352" i="6"/>
  <c r="N4352" i="6"/>
  <c r="K4352" i="6"/>
  <c r="M4352" i="6"/>
  <c r="N4404" i="6"/>
  <c r="K4404" i="6"/>
  <c r="M4404" i="6"/>
  <c r="L4404" i="6"/>
  <c r="K4441" i="6"/>
  <c r="M4441" i="6"/>
  <c r="L4441" i="6"/>
  <c r="N4441" i="6"/>
  <c r="M4445" i="6"/>
  <c r="L4445" i="6"/>
  <c r="N4445" i="6"/>
  <c r="K4445" i="6"/>
  <c r="M4449" i="6"/>
  <c r="K4449" i="6"/>
  <c r="L4449" i="6"/>
  <c r="N4449" i="6"/>
  <c r="K4453" i="6"/>
  <c r="L4453" i="6"/>
  <c r="M4453" i="6"/>
  <c r="N4453" i="6"/>
  <c r="L3054" i="6"/>
  <c r="M3054" i="6"/>
  <c r="N3054" i="6"/>
  <c r="K3054" i="6"/>
  <c r="N3099" i="6"/>
  <c r="M3099" i="6"/>
  <c r="L3099" i="6"/>
  <c r="L3140" i="6"/>
  <c r="M3140" i="6"/>
  <c r="K3140" i="6"/>
  <c r="N3140" i="6"/>
  <c r="L3144" i="6"/>
  <c r="N3144" i="6"/>
  <c r="M3144" i="6"/>
  <c r="L3161" i="6"/>
  <c r="K3161" i="6"/>
  <c r="M3161" i="6"/>
  <c r="N3161" i="6"/>
  <c r="K3212" i="6"/>
  <c r="K3224" i="6"/>
  <c r="K3237" i="6"/>
  <c r="K3249" i="6"/>
  <c r="K3264" i="6"/>
  <c r="L3284" i="6"/>
  <c r="K3284" i="6"/>
  <c r="N3284" i="6"/>
  <c r="M3284" i="6"/>
  <c r="K3295" i="6"/>
  <c r="M3295" i="6"/>
  <c r="L3295" i="6"/>
  <c r="N3295" i="6"/>
  <c r="M3307" i="6"/>
  <c r="K3307" i="6"/>
  <c r="L3307" i="6"/>
  <c r="N3307" i="6"/>
  <c r="K3326" i="6"/>
  <c r="L3326" i="6"/>
  <c r="N3326" i="6"/>
  <c r="M3326" i="6"/>
  <c r="L3355" i="6"/>
  <c r="M3355" i="6"/>
  <c r="N3355" i="6"/>
  <c r="K3380" i="6"/>
  <c r="K3398" i="6"/>
  <c r="L3417" i="6"/>
  <c r="N3417" i="6"/>
  <c r="M3417" i="6"/>
  <c r="K3421" i="6"/>
  <c r="M3421" i="6"/>
  <c r="L3421" i="6"/>
  <c r="N3421" i="6"/>
  <c r="L3438" i="6"/>
  <c r="N3438" i="6"/>
  <c r="K3438" i="6"/>
  <c r="M3438" i="6"/>
  <c r="K3451" i="6"/>
  <c r="N3451" i="6"/>
  <c r="M3451" i="6"/>
  <c r="L3451" i="6"/>
  <c r="K3457" i="6"/>
  <c r="L3488" i="6"/>
  <c r="M3488" i="6"/>
  <c r="N3488" i="6"/>
  <c r="K3488" i="6"/>
  <c r="N3492" i="6"/>
  <c r="K3492" i="6"/>
  <c r="M3492" i="6"/>
  <c r="L3492" i="6"/>
  <c r="L3526" i="6"/>
  <c r="N3526" i="6"/>
  <c r="M3526" i="6"/>
  <c r="M3530" i="6"/>
  <c r="N3530" i="6"/>
  <c r="K3530" i="6"/>
  <c r="L3530" i="6"/>
  <c r="K3536" i="6"/>
  <c r="L3547" i="6"/>
  <c r="N3547" i="6"/>
  <c r="K3547" i="6"/>
  <c r="M3547" i="6"/>
  <c r="L3551" i="6"/>
  <c r="M3551" i="6"/>
  <c r="N3551" i="6"/>
  <c r="L3565" i="6"/>
  <c r="M3565" i="6"/>
  <c r="N3565" i="6"/>
  <c r="L3573" i="6"/>
  <c r="K3573" i="6"/>
  <c r="M3573" i="6"/>
  <c r="N3573" i="6"/>
  <c r="L3581" i="6"/>
  <c r="M3581" i="6"/>
  <c r="N3581" i="6"/>
  <c r="L3590" i="6"/>
  <c r="N3590" i="6"/>
  <c r="K3590" i="6"/>
  <c r="M3590" i="6"/>
  <c r="N3599" i="6"/>
  <c r="M3599" i="6"/>
  <c r="L3599" i="6"/>
  <c r="K3615" i="6"/>
  <c r="M3615" i="6"/>
  <c r="L3615" i="6"/>
  <c r="N3615" i="6"/>
  <c r="K3619" i="6"/>
  <c r="M3619" i="6"/>
  <c r="L3619" i="6"/>
  <c r="N3619" i="6"/>
  <c r="N3635" i="6"/>
  <c r="K3635" i="6"/>
  <c r="M3635" i="6"/>
  <c r="L3635" i="6"/>
  <c r="N3650" i="6"/>
  <c r="K3650" i="6"/>
  <c r="M3650" i="6"/>
  <c r="L3650" i="6"/>
  <c r="N3666" i="6"/>
  <c r="K3666" i="6"/>
  <c r="M3666" i="6"/>
  <c r="L3666" i="6"/>
  <c r="N3674" i="6"/>
  <c r="K3674" i="6"/>
  <c r="M3674" i="6"/>
  <c r="L3674" i="6"/>
  <c r="N3678" i="6"/>
  <c r="K3678" i="6"/>
  <c r="M3678" i="6"/>
  <c r="L3678" i="6"/>
  <c r="N3682" i="6"/>
  <c r="K3682" i="6"/>
  <c r="M3682" i="6"/>
  <c r="L3682" i="6"/>
  <c r="M3701" i="6"/>
  <c r="L3701" i="6"/>
  <c r="N3701" i="6"/>
  <c r="K3701" i="6"/>
  <c r="K3705" i="6"/>
  <c r="M3705" i="6"/>
  <c r="L3705" i="6"/>
  <c r="N3705" i="6"/>
  <c r="K3709" i="6"/>
  <c r="M3709" i="6"/>
  <c r="L3709" i="6"/>
  <c r="N3709" i="6"/>
  <c r="K3713" i="6"/>
  <c r="M3713" i="6"/>
  <c r="L3713" i="6"/>
  <c r="N3713" i="6"/>
  <c r="M3717" i="6"/>
  <c r="L3717" i="6"/>
  <c r="N3717" i="6"/>
  <c r="L3739" i="6"/>
  <c r="K3739" i="6"/>
  <c r="M3739" i="6"/>
  <c r="N3739" i="6"/>
  <c r="L3743" i="6"/>
  <c r="M3743" i="6"/>
  <c r="N3743" i="6"/>
  <c r="M3747" i="6"/>
  <c r="L3747" i="6"/>
  <c r="N3747" i="6"/>
  <c r="K3747" i="6"/>
  <c r="L3751" i="6"/>
  <c r="M3751" i="6"/>
  <c r="N3751" i="6"/>
  <c r="L3755" i="6"/>
  <c r="N3755" i="6"/>
  <c r="M3755" i="6"/>
  <c r="K3755" i="6"/>
  <c r="L3759" i="6"/>
  <c r="M3759" i="6"/>
  <c r="N3759" i="6"/>
  <c r="L3763" i="6"/>
  <c r="M3763" i="6"/>
  <c r="K3763" i="6"/>
  <c r="N3763" i="6"/>
  <c r="L3767" i="6"/>
  <c r="K3767" i="6"/>
  <c r="M3767" i="6"/>
  <c r="N3767" i="6"/>
  <c r="M3771" i="6"/>
  <c r="L3771" i="6"/>
  <c r="N3771" i="6"/>
  <c r="L3775" i="6"/>
  <c r="M3775" i="6"/>
  <c r="N3775" i="6"/>
  <c r="N3779" i="6"/>
  <c r="L3779" i="6"/>
  <c r="M3779" i="6"/>
  <c r="L3783" i="6"/>
  <c r="N3783" i="6"/>
  <c r="K3783" i="6"/>
  <c r="M3783" i="6"/>
  <c r="L3787" i="6"/>
  <c r="N3787" i="6"/>
  <c r="K3787" i="6"/>
  <c r="M3787" i="6"/>
  <c r="M3791" i="6"/>
  <c r="L3791" i="6"/>
  <c r="N3791" i="6"/>
  <c r="K3791" i="6"/>
  <c r="N3795" i="6"/>
  <c r="K3795" i="6"/>
  <c r="M3795" i="6"/>
  <c r="L3795" i="6"/>
  <c r="L3799" i="6"/>
  <c r="N3799" i="6"/>
  <c r="K3799" i="6"/>
  <c r="M3799" i="6"/>
  <c r="K3803" i="6"/>
  <c r="M3803" i="6"/>
  <c r="L3803" i="6"/>
  <c r="N3803" i="6"/>
  <c r="K3807" i="6"/>
  <c r="M3807" i="6"/>
  <c r="L3807" i="6"/>
  <c r="N3807" i="6"/>
  <c r="L3811" i="6"/>
  <c r="M3811" i="6"/>
  <c r="N3811" i="6"/>
  <c r="K3811" i="6"/>
  <c r="M3815" i="6"/>
  <c r="K3815" i="6"/>
  <c r="L3815" i="6"/>
  <c r="N3815" i="6"/>
  <c r="N3819" i="6"/>
  <c r="L3819" i="6"/>
  <c r="K3819" i="6"/>
  <c r="M3819" i="6"/>
  <c r="L3823" i="6"/>
  <c r="K3823" i="6"/>
  <c r="M3823" i="6"/>
  <c r="N3823" i="6"/>
  <c r="N3827" i="6"/>
  <c r="K3827" i="6"/>
  <c r="M3827" i="6"/>
  <c r="L3827" i="6"/>
  <c r="L3831" i="6"/>
  <c r="M3831" i="6"/>
  <c r="N3831" i="6"/>
  <c r="K3831" i="6"/>
  <c r="K3835" i="6"/>
  <c r="L3835" i="6"/>
  <c r="N3835" i="6"/>
  <c r="M3835" i="6"/>
  <c r="L3839" i="6"/>
  <c r="K3839" i="6"/>
  <c r="M3839" i="6"/>
  <c r="N3839" i="6"/>
  <c r="N3843" i="6"/>
  <c r="K3843" i="6"/>
  <c r="M3843" i="6"/>
  <c r="L3843" i="6"/>
  <c r="L3847" i="6"/>
  <c r="M3847" i="6"/>
  <c r="K3847" i="6"/>
  <c r="N3847" i="6"/>
  <c r="L3866" i="6"/>
  <c r="K3866" i="6"/>
  <c r="M3866" i="6"/>
  <c r="N3866" i="6"/>
  <c r="N3898" i="6"/>
  <c r="K3898" i="6"/>
  <c r="M3898" i="6"/>
  <c r="L3898" i="6"/>
  <c r="L3908" i="6"/>
  <c r="N3908" i="6"/>
  <c r="K3908" i="6"/>
  <c r="M3908" i="6"/>
  <c r="M3940" i="6"/>
  <c r="L3940" i="6"/>
  <c r="N3940" i="6"/>
  <c r="L3950" i="6"/>
  <c r="K3950" i="6"/>
  <c r="M3950" i="6"/>
  <c r="N3950" i="6"/>
  <c r="M3954" i="6"/>
  <c r="L3954" i="6"/>
  <c r="N3954" i="6"/>
  <c r="L3981" i="6"/>
  <c r="M3981" i="6"/>
  <c r="N3981" i="6"/>
  <c r="K3986" i="6"/>
  <c r="M4004" i="6"/>
  <c r="L4004" i="6"/>
  <c r="N4004" i="6"/>
  <c r="K4033" i="6"/>
  <c r="M4112" i="6"/>
  <c r="L4112" i="6"/>
  <c r="N4112" i="6"/>
  <c r="M4116" i="6"/>
  <c r="L4116" i="6"/>
  <c r="N4116" i="6"/>
  <c r="K4116" i="6"/>
  <c r="L4136" i="6"/>
  <c r="M4136" i="6"/>
  <c r="N4136" i="6"/>
  <c r="L4166" i="6"/>
  <c r="M4166" i="6"/>
  <c r="N4166" i="6"/>
  <c r="L4170" i="6"/>
  <c r="N4170" i="6"/>
  <c r="K4170" i="6"/>
  <c r="M4170" i="6"/>
  <c r="L4206" i="6"/>
  <c r="N4206" i="6"/>
  <c r="K4206" i="6"/>
  <c r="M4206" i="6"/>
  <c r="K4226" i="6"/>
  <c r="M4226" i="6"/>
  <c r="N4226" i="6"/>
  <c r="L4226" i="6"/>
  <c r="L4236" i="6"/>
  <c r="K4236" i="6"/>
  <c r="M4236" i="6"/>
  <c r="N4236" i="6"/>
  <c r="M4249" i="6"/>
  <c r="L4249" i="6"/>
  <c r="N4249" i="6"/>
  <c r="K4249" i="6"/>
  <c r="L4265" i="6"/>
  <c r="M4265" i="6"/>
  <c r="K4265" i="6"/>
  <c r="N4265" i="6"/>
  <c r="M4269" i="6"/>
  <c r="L4269" i="6"/>
  <c r="N4269" i="6"/>
  <c r="K4269" i="6"/>
  <c r="M4292" i="6"/>
  <c r="L4292" i="6"/>
  <c r="N4292" i="6"/>
  <c r="K4292" i="6"/>
  <c r="M4325" i="6"/>
  <c r="K4325" i="6"/>
  <c r="L4325" i="6"/>
  <c r="N4325" i="6"/>
  <c r="N4329" i="6"/>
  <c r="K4329" i="6"/>
  <c r="M4329" i="6"/>
  <c r="L4329" i="6"/>
  <c r="N4333" i="6"/>
  <c r="M4333" i="6"/>
  <c r="L4333" i="6"/>
  <c r="K4333" i="6"/>
  <c r="L4434" i="6"/>
  <c r="M4434" i="6"/>
  <c r="K4434" i="6"/>
  <c r="N4434" i="6"/>
  <c r="K4458" i="6"/>
  <c r="M4458" i="6"/>
  <c r="L4458" i="6"/>
  <c r="N4458" i="6"/>
  <c r="K4462" i="6"/>
  <c r="M4462" i="6"/>
  <c r="L4462" i="6"/>
  <c r="N4462" i="6"/>
  <c r="K4502" i="6"/>
  <c r="M4502" i="6"/>
  <c r="N4502" i="6"/>
  <c r="L4502" i="6"/>
  <c r="M4506" i="6"/>
  <c r="L4506" i="6"/>
  <c r="N4506" i="6"/>
  <c r="K4506" i="6"/>
  <c r="L4510" i="6"/>
  <c r="N4510" i="6"/>
  <c r="K4510" i="6"/>
  <c r="M4510" i="6"/>
  <c r="L4514" i="6"/>
  <c r="N4514" i="6"/>
  <c r="K4514" i="6"/>
  <c r="M4514" i="6"/>
  <c r="L4546" i="6"/>
  <c r="K4546" i="6"/>
  <c r="M4546" i="6"/>
  <c r="N4546" i="6"/>
  <c r="M4568" i="6"/>
  <c r="K4568" i="6"/>
  <c r="L4568" i="6"/>
  <c r="N4568" i="6"/>
  <c r="K4572" i="6"/>
  <c r="M4572" i="6"/>
  <c r="N4572" i="6"/>
  <c r="L4572" i="6"/>
  <c r="K4576" i="6"/>
  <c r="M4576" i="6"/>
  <c r="L4576" i="6"/>
  <c r="N4576" i="6"/>
  <c r="M4580" i="6"/>
  <c r="K4580" i="6"/>
  <c r="N4580" i="6"/>
  <c r="L4580" i="6"/>
  <c r="K4584" i="6"/>
  <c r="M4584" i="6"/>
  <c r="L4584" i="6"/>
  <c r="N4584" i="6"/>
  <c r="K4588" i="6"/>
  <c r="M4588" i="6"/>
  <c r="N4588" i="6"/>
  <c r="L4588" i="6"/>
  <c r="K4592" i="6"/>
  <c r="M4592" i="6"/>
  <c r="L4592" i="6"/>
  <c r="N4592" i="6"/>
  <c r="N4607" i="6"/>
  <c r="M4607" i="6"/>
  <c r="K4607" i="6"/>
  <c r="L4607" i="6"/>
  <c r="L4637" i="6"/>
  <c r="N4637" i="6"/>
  <c r="K4637" i="6"/>
  <c r="M4637" i="6"/>
  <c r="N4641" i="6"/>
  <c r="K4641" i="6"/>
  <c r="M4641" i="6"/>
  <c r="L4641" i="6"/>
  <c r="M4680" i="6"/>
  <c r="K4680" i="6"/>
  <c r="L4680" i="6"/>
  <c r="N4680" i="6"/>
  <c r="L4704" i="6"/>
  <c r="K4704" i="6"/>
  <c r="M4704" i="6"/>
  <c r="N4704" i="6"/>
  <c r="L4708" i="6"/>
  <c r="M4708" i="6"/>
  <c r="N4708" i="6"/>
  <c r="K4708" i="6"/>
  <c r="L4724" i="6"/>
  <c r="M4724" i="6"/>
  <c r="N4724" i="6"/>
  <c r="K4724" i="6"/>
  <c r="M4736" i="6"/>
  <c r="L4736" i="6"/>
  <c r="N4736" i="6"/>
  <c r="K4736" i="6"/>
  <c r="N4760" i="6"/>
  <c r="L4760" i="6"/>
  <c r="K4760" i="6"/>
  <c r="M4760" i="6"/>
  <c r="N4776" i="6"/>
  <c r="M4776" i="6"/>
  <c r="L4776" i="6"/>
  <c r="K4776" i="6"/>
  <c r="N4802" i="6"/>
  <c r="K4802" i="6"/>
  <c r="M4802" i="6"/>
  <c r="L4802" i="6"/>
  <c r="K4144" i="6"/>
  <c r="N4550" i="6"/>
  <c r="M4550" i="6"/>
  <c r="L4550" i="6"/>
  <c r="K4550" i="6"/>
  <c r="L4554" i="6"/>
  <c r="K4554" i="6"/>
  <c r="M4554" i="6"/>
  <c r="N4554" i="6"/>
  <c r="L4597" i="6"/>
  <c r="K4597" i="6"/>
  <c r="N4597" i="6"/>
  <c r="M4597" i="6"/>
  <c r="N4601" i="6"/>
  <c r="M4601" i="6"/>
  <c r="L4601" i="6"/>
  <c r="K4601" i="6"/>
  <c r="L4662" i="6"/>
  <c r="M4662" i="6"/>
  <c r="N4662" i="6"/>
  <c r="K4662" i="6"/>
  <c r="M4693" i="6"/>
  <c r="L4693" i="6"/>
  <c r="N4693" i="6"/>
  <c r="K4693" i="6"/>
  <c r="M4697" i="6"/>
  <c r="L4697" i="6"/>
  <c r="N4697" i="6"/>
  <c r="K4697" i="6"/>
  <c r="K4738" i="6"/>
  <c r="M4738" i="6"/>
  <c r="L4738" i="6"/>
  <c r="N4738" i="6"/>
  <c r="L4742" i="6"/>
  <c r="N4742" i="6"/>
  <c r="K4742" i="6"/>
  <c r="M4742" i="6"/>
  <c r="M4767" i="6"/>
  <c r="N4767" i="6"/>
  <c r="K4767" i="6"/>
  <c r="L4767" i="6"/>
  <c r="M4807" i="6"/>
  <c r="L4807" i="6"/>
  <c r="N4807" i="6"/>
  <c r="K4807" i="6"/>
  <c r="M4823" i="6"/>
  <c r="L4823" i="6"/>
  <c r="N4823" i="6"/>
  <c r="K4823" i="6"/>
  <c r="N4839" i="6"/>
  <c r="K4839" i="6"/>
  <c r="M4839" i="6"/>
  <c r="L4839" i="6"/>
  <c r="L4863" i="6"/>
  <c r="N4863" i="6"/>
  <c r="K4863" i="6"/>
  <c r="M4863" i="6"/>
  <c r="L4880" i="6"/>
  <c r="N4880" i="6"/>
  <c r="K4880" i="6"/>
  <c r="M4880" i="6"/>
  <c r="L4892" i="6"/>
  <c r="M4892" i="6"/>
  <c r="K4892" i="6"/>
  <c r="N4892" i="6"/>
  <c r="M4903" i="6"/>
  <c r="K4903" i="6"/>
  <c r="L4903" i="6"/>
  <c r="N4903" i="6"/>
  <c r="L4931" i="6"/>
  <c r="M4931" i="6"/>
  <c r="K4931" i="6"/>
  <c r="N4931" i="6"/>
  <c r="L4951" i="6"/>
  <c r="K4951" i="6"/>
  <c r="N4951" i="6"/>
  <c r="M4951" i="6"/>
  <c r="M4955" i="6"/>
  <c r="N4955" i="6"/>
  <c r="L4955" i="6"/>
  <c r="K4955" i="6"/>
  <c r="M4959" i="6"/>
  <c r="K4959" i="6"/>
  <c r="L4959" i="6"/>
  <c r="N4959" i="6"/>
  <c r="M4979" i="6"/>
  <c r="L4979" i="6"/>
  <c r="N4979" i="6"/>
  <c r="K4979" i="6"/>
  <c r="L4983" i="6"/>
  <c r="K4983" i="6"/>
  <c r="M4983" i="6"/>
  <c r="N4983" i="6"/>
  <c r="K5000" i="6"/>
  <c r="M5000" i="6"/>
  <c r="L5000" i="6"/>
  <c r="N5000" i="6"/>
  <c r="M5018" i="6"/>
  <c r="L5018" i="6"/>
  <c r="N5018" i="6"/>
  <c r="K5018" i="6"/>
  <c r="L5022" i="6"/>
  <c r="N5022" i="6"/>
  <c r="K5022" i="6"/>
  <c r="M5022" i="6"/>
  <c r="M5026" i="6"/>
  <c r="K5026" i="6"/>
  <c r="L5026" i="6"/>
  <c r="N5026" i="6"/>
  <c r="M5050" i="6"/>
  <c r="L5050" i="6"/>
  <c r="N5050" i="6"/>
  <c r="K5050" i="6"/>
  <c r="L5089" i="6"/>
  <c r="K5089" i="6"/>
  <c r="N5089" i="6"/>
  <c r="M5089" i="6"/>
  <c r="N5101" i="6"/>
  <c r="M5101" i="6"/>
  <c r="L5101" i="6"/>
  <c r="K5101" i="6"/>
  <c r="K5130" i="6"/>
  <c r="M5130" i="6"/>
  <c r="L5130" i="6"/>
  <c r="N5130" i="6"/>
  <c r="M5134" i="6"/>
  <c r="L5134" i="6"/>
  <c r="N5134" i="6"/>
  <c r="K5134" i="6"/>
  <c r="L5151" i="6"/>
  <c r="N5151" i="6"/>
  <c r="K5151" i="6"/>
  <c r="M5151" i="6"/>
  <c r="L5164" i="6"/>
  <c r="M5164" i="6"/>
  <c r="K5164" i="6"/>
  <c r="N5164" i="6"/>
  <c r="K5168" i="6"/>
  <c r="L5168" i="6"/>
  <c r="N5168" i="6"/>
  <c r="M5168" i="6"/>
  <c r="M5172" i="6"/>
  <c r="K5172" i="6"/>
  <c r="L5172" i="6"/>
  <c r="N5172" i="6"/>
  <c r="M5176" i="6"/>
  <c r="K5176" i="6"/>
  <c r="L5176" i="6"/>
  <c r="N5176" i="6"/>
  <c r="L5180" i="6"/>
  <c r="N5180" i="6"/>
  <c r="K5180" i="6"/>
  <c r="M5180" i="6"/>
  <c r="M5184" i="6"/>
  <c r="K5184" i="6"/>
  <c r="L5184" i="6"/>
  <c r="N5184" i="6"/>
  <c r="K5188" i="6"/>
  <c r="M5188" i="6"/>
  <c r="L5188" i="6"/>
  <c r="N5188" i="6"/>
  <c r="M5192" i="6"/>
  <c r="K5192" i="6"/>
  <c r="N5192" i="6"/>
  <c r="L5192" i="6"/>
  <c r="K5196" i="6"/>
  <c r="M5196" i="6"/>
  <c r="L5196" i="6"/>
  <c r="N5196" i="6"/>
  <c r="K5230" i="6"/>
  <c r="L5230" i="6"/>
  <c r="M5230" i="6"/>
  <c r="N5230" i="6"/>
  <c r="N5254" i="6"/>
  <c r="K5254" i="6"/>
  <c r="M5254" i="6"/>
  <c r="L5254" i="6"/>
  <c r="M5277" i="6"/>
  <c r="L5277" i="6"/>
  <c r="N5277" i="6"/>
  <c r="K5277" i="6"/>
  <c r="L5305" i="6"/>
  <c r="M5305" i="6"/>
  <c r="K5305" i="6"/>
  <c r="N5305" i="6"/>
  <c r="N5309" i="6"/>
  <c r="L5309" i="6"/>
  <c r="K5309" i="6"/>
  <c r="M5309" i="6"/>
  <c r="K5313" i="6"/>
  <c r="M5313" i="6"/>
  <c r="L5313" i="6"/>
  <c r="N5313" i="6"/>
  <c r="M5329" i="6"/>
  <c r="N5329" i="6"/>
  <c r="K5329" i="6"/>
  <c r="L5329" i="6"/>
  <c r="L5341" i="6"/>
  <c r="K5341" i="6"/>
  <c r="M5341" i="6"/>
  <c r="N5341" i="6"/>
  <c r="L5345" i="6"/>
  <c r="N5345" i="6"/>
  <c r="K5345" i="6"/>
  <c r="M5345" i="6"/>
  <c r="K5369" i="6"/>
  <c r="M5369" i="6"/>
  <c r="L5369" i="6"/>
  <c r="N5369" i="6"/>
  <c r="L5373" i="6"/>
  <c r="N5373" i="6"/>
  <c r="K5373" i="6"/>
  <c r="M5373" i="6"/>
  <c r="K5377" i="6"/>
  <c r="N5377" i="6"/>
  <c r="M5377" i="6"/>
  <c r="L5377" i="6"/>
  <c r="L5400" i="6"/>
  <c r="K5400" i="6"/>
  <c r="M5400" i="6"/>
  <c r="N5400" i="6"/>
  <c r="N5404" i="6"/>
  <c r="M5404" i="6"/>
  <c r="L5404" i="6"/>
  <c r="K5404" i="6"/>
  <c r="L5408" i="6"/>
  <c r="N5408" i="6"/>
  <c r="K5408" i="6"/>
  <c r="M5408" i="6"/>
  <c r="L5432" i="6"/>
  <c r="N5432" i="6"/>
  <c r="K5432" i="6"/>
  <c r="M5432" i="6"/>
  <c r="M5436" i="6"/>
  <c r="L5436" i="6"/>
  <c r="N5436" i="6"/>
  <c r="K5436" i="6"/>
  <c r="M5440" i="6"/>
  <c r="L5440" i="6"/>
  <c r="N5440" i="6"/>
  <c r="K5440" i="6"/>
  <c r="N5464" i="6"/>
  <c r="K5464" i="6"/>
  <c r="M5464" i="6"/>
  <c r="L5464" i="6"/>
  <c r="K5478" i="6"/>
  <c r="M5478" i="6"/>
  <c r="L5478" i="6"/>
  <c r="N5478" i="6"/>
  <c r="K3548" i="6"/>
  <c r="K3680" i="6"/>
  <c r="K4101" i="6"/>
  <c r="K4115" i="6"/>
  <c r="N4561" i="6"/>
  <c r="K4561" i="6"/>
  <c r="M4561" i="6"/>
  <c r="L4561" i="6"/>
  <c r="L4613" i="6"/>
  <c r="K4613" i="6"/>
  <c r="M4613" i="6"/>
  <c r="N4613" i="6"/>
  <c r="L4617" i="6"/>
  <c r="N4617" i="6"/>
  <c r="K4617" i="6"/>
  <c r="M4617" i="6"/>
  <c r="K4621" i="6"/>
  <c r="M4621" i="6"/>
  <c r="L4621" i="6"/>
  <c r="N4621" i="6"/>
  <c r="K4625" i="6"/>
  <c r="N4625" i="6"/>
  <c r="M4625" i="6"/>
  <c r="L4625" i="6"/>
  <c r="K4790" i="6"/>
  <c r="M4790" i="6"/>
  <c r="L4790" i="6"/>
  <c r="N4790" i="6"/>
  <c r="K4814" i="6"/>
  <c r="M4814" i="6"/>
  <c r="L4814" i="6"/>
  <c r="N4814" i="6"/>
  <c r="M4865" i="6"/>
  <c r="L4865" i="6"/>
  <c r="N4865" i="6"/>
  <c r="K4865" i="6"/>
  <c r="M4887" i="6"/>
  <c r="L4887" i="6"/>
  <c r="N4887" i="6"/>
  <c r="K4887" i="6"/>
  <c r="M4935" i="6"/>
  <c r="N4935" i="6"/>
  <c r="K4935" i="6"/>
  <c r="L4935" i="6"/>
  <c r="K4967" i="6"/>
  <c r="M4967" i="6"/>
  <c r="L4967" i="6"/>
  <c r="N4967" i="6"/>
  <c r="L5030" i="6"/>
  <c r="N5030" i="6"/>
  <c r="K5030" i="6"/>
  <c r="M5030" i="6"/>
  <c r="L5059" i="6"/>
  <c r="K5059" i="6"/>
  <c r="M5059" i="6"/>
  <c r="N5059" i="6"/>
  <c r="M5107" i="6"/>
  <c r="L5107" i="6"/>
  <c r="N5107" i="6"/>
  <c r="K5107" i="6"/>
  <c r="L5111" i="6"/>
  <c r="M5111" i="6"/>
  <c r="N5111" i="6"/>
  <c r="K5111" i="6"/>
  <c r="N5115" i="6"/>
  <c r="M5115" i="6"/>
  <c r="K5115" i="6"/>
  <c r="L5115" i="6"/>
  <c r="L5119" i="6"/>
  <c r="K5119" i="6"/>
  <c r="M5119" i="6"/>
  <c r="N5119" i="6"/>
  <c r="K5123" i="6"/>
  <c r="M5123" i="6"/>
  <c r="L5123" i="6"/>
  <c r="N5123" i="6"/>
  <c r="M5142" i="6"/>
  <c r="L5142" i="6"/>
  <c r="N5142" i="6"/>
  <c r="K5142" i="6"/>
  <c r="K5232" i="6"/>
  <c r="M5232" i="6"/>
  <c r="L5232" i="6"/>
  <c r="N5232" i="6"/>
  <c r="K5272" i="6"/>
  <c r="M5272" i="6"/>
  <c r="L5272" i="6"/>
  <c r="N5272" i="6"/>
  <c r="L5333" i="6"/>
  <c r="K5333" i="6"/>
  <c r="M5333" i="6"/>
  <c r="N5333" i="6"/>
  <c r="M5412" i="6"/>
  <c r="N5412" i="6"/>
  <c r="L5412" i="6"/>
  <c r="K5412" i="6"/>
  <c r="L5448" i="6"/>
  <c r="N5448" i="6"/>
  <c r="K5448" i="6"/>
  <c r="M5448" i="6"/>
  <c r="L5452" i="6"/>
  <c r="N5452" i="6"/>
  <c r="K5452" i="6"/>
  <c r="M5452" i="6"/>
  <c r="L5505" i="6"/>
  <c r="K5505" i="6"/>
  <c r="M5505" i="6"/>
  <c r="N5505" i="6"/>
  <c r="K5509" i="6"/>
  <c r="M5509" i="6"/>
  <c r="L5509" i="6"/>
  <c r="N5509" i="6"/>
  <c r="N5520" i="6"/>
  <c r="K5520" i="6"/>
  <c r="M5520" i="6"/>
  <c r="L5520" i="6"/>
  <c r="K5546" i="6"/>
  <c r="L5546" i="6"/>
  <c r="M5546" i="6"/>
  <c r="N5546" i="6"/>
  <c r="K5578" i="6"/>
  <c r="L5578" i="6"/>
  <c r="M5578" i="6"/>
  <c r="N5578" i="6"/>
  <c r="K5594" i="6"/>
  <c r="L5594" i="6"/>
  <c r="M5594" i="6"/>
  <c r="N5594" i="6"/>
  <c r="M5598" i="6"/>
  <c r="L5598" i="6"/>
  <c r="N5598" i="6"/>
  <c r="K5598" i="6"/>
  <c r="K5602" i="6"/>
  <c r="M5602" i="6"/>
  <c r="L5602" i="6"/>
  <c r="N5602" i="6"/>
  <c r="K5641" i="6"/>
  <c r="N5641" i="6"/>
  <c r="L5641" i="6"/>
  <c r="M5641" i="6"/>
  <c r="M5656" i="6"/>
  <c r="K5656" i="6"/>
  <c r="L5656" i="6"/>
  <c r="N5656" i="6"/>
  <c r="N5673" i="6"/>
  <c r="K5673" i="6"/>
  <c r="M5673" i="6"/>
  <c r="L5673" i="6"/>
  <c r="L5677" i="6"/>
  <c r="N5677" i="6"/>
  <c r="K5677" i="6"/>
  <c r="M5677" i="6"/>
  <c r="L5714" i="6"/>
  <c r="N5714" i="6"/>
  <c r="K5714" i="6"/>
  <c r="M5714" i="6"/>
  <c r="N5718" i="6"/>
  <c r="L5718" i="6"/>
  <c r="K5718" i="6"/>
  <c r="M5718" i="6"/>
  <c r="N5751" i="6"/>
  <c r="M5751" i="6"/>
  <c r="L5751" i="6"/>
  <c r="K5751" i="6"/>
  <c r="L5775" i="6"/>
  <c r="K5775" i="6"/>
  <c r="N5775" i="6"/>
  <c r="M5775" i="6"/>
  <c r="K5779" i="6"/>
  <c r="M5779" i="6"/>
  <c r="L5779" i="6"/>
  <c r="N5779" i="6"/>
  <c r="L5821" i="6"/>
  <c r="K5821" i="6"/>
  <c r="M5821" i="6"/>
  <c r="N5821" i="6"/>
  <c r="L5891" i="6"/>
  <c r="M5891" i="6"/>
  <c r="N5891" i="6"/>
  <c r="K5891" i="6"/>
  <c r="L5913" i="6"/>
  <c r="N5913" i="6"/>
  <c r="K5913" i="6"/>
  <c r="M5913" i="6"/>
  <c r="L5949" i="6"/>
  <c r="N5949" i="6"/>
  <c r="K5949" i="6"/>
  <c r="M5949" i="6"/>
  <c r="K5962" i="6"/>
  <c r="M5962" i="6"/>
  <c r="L5962" i="6"/>
  <c r="N5962" i="6"/>
  <c r="L5993" i="6"/>
  <c r="N5993" i="6"/>
  <c r="K5993" i="6"/>
  <c r="M5993" i="6"/>
  <c r="L6007" i="6"/>
  <c r="N6007" i="6"/>
  <c r="K6007" i="6"/>
  <c r="M6007" i="6"/>
  <c r="N6019" i="6"/>
  <c r="L6019" i="6"/>
  <c r="K6019" i="6"/>
  <c r="M6019" i="6"/>
  <c r="L6041" i="6"/>
  <c r="N6041" i="6"/>
  <c r="K6041" i="6"/>
  <c r="M6041" i="6"/>
  <c r="K6052" i="6"/>
  <c r="M6052" i="6"/>
  <c r="L6052" i="6"/>
  <c r="N6052" i="6"/>
  <c r="N6075" i="6"/>
  <c r="M6075" i="6"/>
  <c r="K6075" i="6"/>
  <c r="L6075" i="6"/>
  <c r="L6102" i="6"/>
  <c r="N6102" i="6"/>
  <c r="K6102" i="6"/>
  <c r="M6102" i="6"/>
  <c r="N6120" i="6"/>
  <c r="K6120" i="6"/>
  <c r="M6120" i="6"/>
  <c r="L6120" i="6"/>
  <c r="M6142" i="6"/>
  <c r="N6142" i="6"/>
  <c r="L6142" i="6"/>
  <c r="K6142" i="6"/>
  <c r="M6157" i="6"/>
  <c r="L6157" i="6"/>
  <c r="N6157" i="6"/>
  <c r="K6157" i="6"/>
  <c r="N6171" i="6"/>
  <c r="K6171" i="6"/>
  <c r="L6171" i="6"/>
  <c r="M6171" i="6"/>
  <c r="M6193" i="6"/>
  <c r="K6193" i="6"/>
  <c r="L6193" i="6"/>
  <c r="N6193" i="6"/>
  <c r="M6205" i="6"/>
  <c r="N6205" i="6"/>
  <c r="L6205" i="6"/>
  <c r="K6205" i="6"/>
  <c r="M6213" i="6"/>
  <c r="K6213" i="6"/>
  <c r="N6213" i="6"/>
  <c r="L6213" i="6"/>
  <c r="M6229" i="6"/>
  <c r="K6229" i="6"/>
  <c r="L6229" i="6"/>
  <c r="N6229" i="6"/>
  <c r="N6245" i="6"/>
  <c r="K6245" i="6"/>
  <c r="L6245" i="6"/>
  <c r="M6245" i="6"/>
  <c r="M6254" i="6"/>
  <c r="L6254" i="6"/>
  <c r="K6254" i="6"/>
  <c r="N6254" i="6"/>
  <c r="K6276" i="6"/>
  <c r="L6276" i="6"/>
  <c r="M6276" i="6"/>
  <c r="N6276" i="6"/>
  <c r="M6291" i="6"/>
  <c r="L6291" i="6"/>
  <c r="K6291" i="6"/>
  <c r="N6291" i="6"/>
  <c r="N6310" i="6"/>
  <c r="M6310" i="6"/>
  <c r="L6310" i="6"/>
  <c r="K6310" i="6"/>
  <c r="L6330" i="6"/>
  <c r="N6330" i="6"/>
  <c r="M6330" i="6"/>
  <c r="K6330" i="6"/>
  <c r="K6341" i="6"/>
  <c r="N6341" i="6"/>
  <c r="L6341" i="6"/>
  <c r="M6341" i="6"/>
  <c r="L6349" i="6"/>
  <c r="N6349" i="6"/>
  <c r="K6349" i="6"/>
  <c r="M6349" i="6"/>
  <c r="N6365" i="6"/>
  <c r="L6365" i="6"/>
  <c r="K6365" i="6"/>
  <c r="M6365" i="6"/>
  <c r="N6382" i="6"/>
  <c r="K6382" i="6"/>
  <c r="L6382" i="6"/>
  <c r="M6382" i="6"/>
  <c r="L6397" i="6"/>
  <c r="N6397" i="6"/>
  <c r="K6397" i="6"/>
  <c r="M6397" i="6"/>
  <c r="N6413" i="6"/>
  <c r="K6413" i="6"/>
  <c r="M6413" i="6"/>
  <c r="L6413" i="6"/>
  <c r="N6438" i="6"/>
  <c r="L6438" i="6"/>
  <c r="K6438" i="6"/>
  <c r="M6438" i="6"/>
  <c r="L6448" i="6"/>
  <c r="K6448" i="6"/>
  <c r="M6448" i="6"/>
  <c r="N6448" i="6"/>
  <c r="N6466" i="6"/>
  <c r="L6466" i="6"/>
  <c r="M6466" i="6"/>
  <c r="K6466" i="6"/>
  <c r="N6478" i="6"/>
  <c r="K6478" i="6"/>
  <c r="L6478" i="6"/>
  <c r="M6478" i="6"/>
  <c r="M6495" i="6"/>
  <c r="N6495" i="6"/>
  <c r="K6495" i="6"/>
  <c r="L6495" i="6"/>
  <c r="N6519" i="6"/>
  <c r="L6519" i="6"/>
  <c r="M6519" i="6"/>
  <c r="K6519" i="6"/>
  <c r="N6535" i="6"/>
  <c r="M6535" i="6"/>
  <c r="K6535" i="6"/>
  <c r="L6535" i="6"/>
  <c r="L6547" i="6"/>
  <c r="N6547" i="6"/>
  <c r="M6547" i="6"/>
  <c r="K6547" i="6"/>
  <c r="N6562" i="6"/>
  <c r="M6562" i="6"/>
  <c r="L6562" i="6"/>
  <c r="K6562" i="6"/>
  <c r="N6573" i="6"/>
  <c r="L6573" i="6"/>
  <c r="K6573" i="6"/>
  <c r="M6573" i="6"/>
  <c r="L6593" i="6"/>
  <c r="K6593" i="6"/>
  <c r="M6593" i="6"/>
  <c r="N6593" i="6"/>
  <c r="L6609" i="6"/>
  <c r="K6609" i="6"/>
  <c r="N6609" i="6"/>
  <c r="M6609" i="6"/>
  <c r="L6632" i="6"/>
  <c r="K6632" i="6"/>
  <c r="M6632" i="6"/>
  <c r="N6632" i="6"/>
  <c r="N6645" i="6"/>
  <c r="K6645" i="6"/>
  <c r="M6645" i="6"/>
  <c r="L6645" i="6"/>
  <c r="L6660" i="6"/>
  <c r="K6660" i="6"/>
  <c r="N6660" i="6"/>
  <c r="M6660" i="6"/>
  <c r="N6676" i="6"/>
  <c r="M6676" i="6"/>
  <c r="K6676" i="6"/>
  <c r="L6676" i="6"/>
  <c r="N6688" i="6"/>
  <c r="L6688" i="6"/>
  <c r="M6688" i="6"/>
  <c r="K6688" i="6"/>
  <c r="N6701" i="6"/>
  <c r="M6701" i="6"/>
  <c r="K6701" i="6"/>
  <c r="L6701" i="6"/>
  <c r="N6714" i="6"/>
  <c r="M6714" i="6"/>
  <c r="K6714" i="6"/>
  <c r="L6714" i="6"/>
  <c r="N6727" i="6"/>
  <c r="M6727" i="6"/>
  <c r="L6727" i="6"/>
  <c r="K6727" i="6"/>
  <c r="N6742" i="6"/>
  <c r="M6742" i="6"/>
  <c r="L6742" i="6"/>
  <c r="K6742" i="6"/>
  <c r="N6766" i="6"/>
  <c r="K6766" i="6"/>
  <c r="L6766" i="6"/>
  <c r="M6766" i="6"/>
  <c r="N6778" i="6"/>
  <c r="M6778" i="6"/>
  <c r="K6778" i="6"/>
  <c r="L6778" i="6"/>
  <c r="N6795" i="6"/>
  <c r="M6795" i="6"/>
  <c r="K6795" i="6"/>
  <c r="L6795" i="6"/>
  <c r="N6810" i="6"/>
  <c r="M6810" i="6"/>
  <c r="K6810" i="6"/>
  <c r="L6810" i="6"/>
  <c r="N6831" i="6"/>
  <c r="M6831" i="6"/>
  <c r="L6831" i="6"/>
  <c r="K6831" i="6"/>
  <c r="L6841" i="6"/>
  <c r="M6841" i="6"/>
  <c r="K6841" i="6"/>
  <c r="N6841" i="6"/>
  <c r="M6855" i="6"/>
  <c r="N6855" i="6"/>
  <c r="L6855" i="6"/>
  <c r="K6855" i="6"/>
  <c r="L6869" i="6"/>
  <c r="N6869" i="6"/>
  <c r="K6869" i="6"/>
  <c r="M6869" i="6"/>
  <c r="L6885" i="6"/>
  <c r="N6885" i="6"/>
  <c r="M6885" i="6"/>
  <c r="K6885" i="6"/>
  <c r="N6900" i="6"/>
  <c r="K6900" i="6"/>
  <c r="L6900" i="6"/>
  <c r="M6900" i="6"/>
  <c r="K3417" i="6"/>
  <c r="K3880" i="6"/>
  <c r="K3954" i="6"/>
  <c r="K3999" i="6"/>
  <c r="M4522" i="6"/>
  <c r="L4522" i="6"/>
  <c r="N4522" i="6"/>
  <c r="K4522" i="6"/>
  <c r="L4526" i="6"/>
  <c r="N4526" i="6"/>
  <c r="K4526" i="6"/>
  <c r="M4526" i="6"/>
  <c r="M4530" i="6"/>
  <c r="K4530" i="6"/>
  <c r="L4530" i="6"/>
  <c r="N4530" i="6"/>
  <c r="N4534" i="6"/>
  <c r="L4534" i="6"/>
  <c r="K4534" i="6"/>
  <c r="M4534" i="6"/>
  <c r="M4538" i="6"/>
  <c r="N4538" i="6"/>
  <c r="K4538" i="6"/>
  <c r="L4538" i="6"/>
  <c r="K4643" i="6"/>
  <c r="N4643" i="6"/>
  <c r="M4643" i="6"/>
  <c r="L4643" i="6"/>
  <c r="L4744" i="6"/>
  <c r="K4744" i="6"/>
  <c r="M4744" i="6"/>
  <c r="N4744" i="6"/>
  <c r="L4748" i="6"/>
  <c r="N4748" i="6"/>
  <c r="K4748" i="6"/>
  <c r="M4748" i="6"/>
  <c r="L4777" i="6"/>
  <c r="K4777" i="6"/>
  <c r="M4777" i="6"/>
  <c r="N4777" i="6"/>
  <c r="L4825" i="6"/>
  <c r="M4825" i="6"/>
  <c r="K4825" i="6"/>
  <c r="N4825" i="6"/>
  <c r="L4843" i="6"/>
  <c r="K4843" i="6"/>
  <c r="N4843" i="6"/>
  <c r="M4843" i="6"/>
  <c r="L4847" i="6"/>
  <c r="K4847" i="6"/>
  <c r="M4847" i="6"/>
  <c r="N4847" i="6"/>
  <c r="L4851" i="6"/>
  <c r="K4851" i="6"/>
  <c r="M4851" i="6"/>
  <c r="N4851" i="6"/>
  <c r="N4908" i="6"/>
  <c r="K4908" i="6"/>
  <c r="M4908" i="6"/>
  <c r="L4908" i="6"/>
  <c r="K4985" i="6"/>
  <c r="L4985" i="6"/>
  <c r="M4985" i="6"/>
  <c r="N4985" i="6"/>
  <c r="N5007" i="6"/>
  <c r="M5007" i="6"/>
  <c r="L5007" i="6"/>
  <c r="K5007" i="6"/>
  <c r="M5067" i="6"/>
  <c r="L5067" i="6"/>
  <c r="N5067" i="6"/>
  <c r="K5067" i="6"/>
  <c r="L5071" i="6"/>
  <c r="K5071" i="6"/>
  <c r="M5071" i="6"/>
  <c r="N5071" i="6"/>
  <c r="M5075" i="6"/>
  <c r="L5075" i="6"/>
  <c r="N5075" i="6"/>
  <c r="K5075" i="6"/>
  <c r="M5079" i="6"/>
  <c r="L5079" i="6"/>
  <c r="N5079" i="6"/>
  <c r="K5079" i="6"/>
  <c r="L5207" i="6"/>
  <c r="K5207" i="6"/>
  <c r="M5207" i="6"/>
  <c r="N5207" i="6"/>
  <c r="L5211" i="6"/>
  <c r="N5211" i="6"/>
  <c r="K5211" i="6"/>
  <c r="M5211" i="6"/>
  <c r="N5215" i="6"/>
  <c r="M5215" i="6"/>
  <c r="L5215" i="6"/>
  <c r="K5215" i="6"/>
  <c r="L5219" i="6"/>
  <c r="N5219" i="6"/>
  <c r="K5219" i="6"/>
  <c r="M5219" i="6"/>
  <c r="K5280" i="6"/>
  <c r="L5280" i="6"/>
  <c r="N5280" i="6"/>
  <c r="M5280" i="6"/>
  <c r="L5284" i="6"/>
  <c r="M5284" i="6"/>
  <c r="N5284" i="6"/>
  <c r="K5284" i="6"/>
  <c r="M5301" i="6"/>
  <c r="N5301" i="6"/>
  <c r="L5301" i="6"/>
  <c r="K5301" i="6"/>
  <c r="K5350" i="6"/>
  <c r="M5350" i="6"/>
  <c r="L5350" i="6"/>
  <c r="N5350" i="6"/>
  <c r="K5386" i="6"/>
  <c r="L5386" i="6"/>
  <c r="M5386" i="6"/>
  <c r="N5386" i="6"/>
  <c r="K5390" i="6"/>
  <c r="M5390" i="6"/>
  <c r="L5390" i="6"/>
  <c r="N5390" i="6"/>
  <c r="K5394" i="6"/>
  <c r="M5394" i="6"/>
  <c r="L5394" i="6"/>
  <c r="N5394" i="6"/>
  <c r="L5488" i="6"/>
  <c r="K5488" i="6"/>
  <c r="M5488" i="6"/>
  <c r="N5488" i="6"/>
  <c r="K5492" i="6"/>
  <c r="M5492" i="6"/>
  <c r="L5492" i="6"/>
  <c r="N5492" i="6"/>
  <c r="L5513" i="6"/>
  <c r="M5513" i="6"/>
  <c r="K5513" i="6"/>
  <c r="N5513" i="6"/>
  <c r="L5529" i="6"/>
  <c r="K5529" i="6"/>
  <c r="M5529" i="6"/>
  <c r="N5529" i="6"/>
  <c r="N5561" i="6"/>
  <c r="K5561" i="6"/>
  <c r="M5561" i="6"/>
  <c r="L5561" i="6"/>
  <c r="L5607" i="6"/>
  <c r="K5607" i="6"/>
  <c r="N5607" i="6"/>
  <c r="M5607" i="6"/>
  <c r="N5611" i="6"/>
  <c r="K5611" i="6"/>
  <c r="M5611" i="6"/>
  <c r="L5611" i="6"/>
  <c r="K5632" i="6"/>
  <c r="M5632" i="6"/>
  <c r="N5632" i="6"/>
  <c r="L5632" i="6"/>
  <c r="L5645" i="6"/>
  <c r="K5645" i="6"/>
  <c r="M5645" i="6"/>
  <c r="N5645" i="6"/>
  <c r="M5649" i="6"/>
  <c r="L5649" i="6"/>
  <c r="N5649" i="6"/>
  <c r="K5649" i="6"/>
  <c r="K5684" i="6"/>
  <c r="M5684" i="6"/>
  <c r="N5684" i="6"/>
  <c r="L5684" i="6"/>
  <c r="K5688" i="6"/>
  <c r="M5688" i="6"/>
  <c r="L5688" i="6"/>
  <c r="N5688" i="6"/>
  <c r="M5692" i="6"/>
  <c r="K5692" i="6"/>
  <c r="N5692" i="6"/>
  <c r="L5692" i="6"/>
  <c r="M5737" i="6"/>
  <c r="K5737" i="6"/>
  <c r="L5737" i="6"/>
  <c r="N5737" i="6"/>
  <c r="N5761" i="6"/>
  <c r="K5761" i="6"/>
  <c r="M5761" i="6"/>
  <c r="L5761" i="6"/>
  <c r="K5765" i="6"/>
  <c r="N5765" i="6"/>
  <c r="L5765" i="6"/>
  <c r="M5765" i="6"/>
  <c r="M5769" i="6"/>
  <c r="N5769" i="6"/>
  <c r="K5769" i="6"/>
  <c r="L5769" i="6"/>
  <c r="N5793" i="6"/>
  <c r="K5793" i="6"/>
  <c r="M5793" i="6"/>
  <c r="L5793" i="6"/>
  <c r="K5809" i="6"/>
  <c r="N5809" i="6"/>
  <c r="M5809" i="6"/>
  <c r="L5809" i="6"/>
  <c r="K5813" i="6"/>
  <c r="L5813" i="6"/>
  <c r="N5813" i="6"/>
  <c r="M5813" i="6"/>
  <c r="M5841" i="6"/>
  <c r="L5841" i="6"/>
  <c r="K5841" i="6"/>
  <c r="N5841" i="6"/>
  <c r="N5853" i="6"/>
  <c r="K5853" i="6"/>
  <c r="M5853" i="6"/>
  <c r="L5853" i="6"/>
  <c r="M5884" i="6"/>
  <c r="K5884" i="6"/>
  <c r="L5884" i="6"/>
  <c r="N5884" i="6"/>
  <c r="N5903" i="6"/>
  <c r="K5903" i="6"/>
  <c r="M5903" i="6"/>
  <c r="L5903" i="6"/>
  <c r="L5916" i="6"/>
  <c r="K5916" i="6"/>
  <c r="M5916" i="6"/>
  <c r="N5916" i="6"/>
  <c r="L5930" i="6"/>
  <c r="K5930" i="6"/>
  <c r="M5930" i="6"/>
  <c r="N5930" i="6"/>
  <c r="K5934" i="6"/>
  <c r="N5934" i="6"/>
  <c r="M5934" i="6"/>
  <c r="L5934" i="6"/>
  <c r="N5938" i="6"/>
  <c r="K5938" i="6"/>
  <c r="M5938" i="6"/>
  <c r="L5938" i="6"/>
  <c r="L5955" i="6"/>
  <c r="K5955" i="6"/>
  <c r="M5955" i="6"/>
  <c r="N5955" i="6"/>
  <c r="L5979" i="6"/>
  <c r="K5979" i="6"/>
  <c r="M5979" i="6"/>
  <c r="N5979" i="6"/>
  <c r="N5983" i="6"/>
  <c r="L5983" i="6"/>
  <c r="K5983" i="6"/>
  <c r="M5983" i="6"/>
  <c r="L6000" i="6"/>
  <c r="N6000" i="6"/>
  <c r="K6000" i="6"/>
  <c r="M6000" i="6"/>
  <c r="L6012" i="6"/>
  <c r="M6012" i="6"/>
  <c r="N6012" i="6"/>
  <c r="K6012" i="6"/>
  <c r="K6026" i="6"/>
  <c r="M6026" i="6"/>
  <c r="N6026" i="6"/>
  <c r="L6026" i="6"/>
  <c r="L6048" i="6"/>
  <c r="N6048" i="6"/>
  <c r="K6048" i="6"/>
  <c r="M6048" i="6"/>
  <c r="L6065" i="6"/>
  <c r="N6065" i="6"/>
  <c r="K6065" i="6"/>
  <c r="M6065" i="6"/>
  <c r="L6094" i="6"/>
  <c r="N6094" i="6"/>
  <c r="K6094" i="6"/>
  <c r="M6094" i="6"/>
  <c r="M6106" i="6"/>
  <c r="N6106" i="6"/>
  <c r="K6106" i="6"/>
  <c r="L6106" i="6"/>
  <c r="M6126" i="6"/>
  <c r="L6126" i="6"/>
  <c r="N6126" i="6"/>
  <c r="K6126" i="6"/>
  <c r="N6139" i="6"/>
  <c r="K6139" i="6"/>
  <c r="M6139" i="6"/>
  <c r="L6139" i="6"/>
  <c r="N6154" i="6"/>
  <c r="M6154" i="6"/>
  <c r="L6154" i="6"/>
  <c r="K6154" i="6"/>
  <c r="M6173" i="6"/>
  <c r="N6173" i="6"/>
  <c r="L6173" i="6"/>
  <c r="K6173" i="6"/>
  <c r="M6189" i="6"/>
  <c r="L6189" i="6"/>
  <c r="N6189" i="6"/>
  <c r="K6189" i="6"/>
  <c r="L6202" i="6"/>
  <c r="N6202" i="6"/>
  <c r="M6202" i="6"/>
  <c r="K6202" i="6"/>
  <c r="M6217" i="6"/>
  <c r="L6217" i="6"/>
  <c r="N6217" i="6"/>
  <c r="K6217" i="6"/>
  <c r="M6225" i="6"/>
  <c r="K6225" i="6"/>
  <c r="L6225" i="6"/>
  <c r="N6225" i="6"/>
  <c r="N6239" i="6"/>
  <c r="M6239" i="6"/>
  <c r="L6239" i="6"/>
  <c r="K6239" i="6"/>
  <c r="M6249" i="6"/>
  <c r="K6249" i="6"/>
  <c r="L6249" i="6"/>
  <c r="N6249" i="6"/>
  <c r="L6270" i="6"/>
  <c r="M6270" i="6"/>
  <c r="K6270" i="6"/>
  <c r="N6270" i="6"/>
  <c r="K6287" i="6"/>
  <c r="N6287" i="6"/>
  <c r="L6287" i="6"/>
  <c r="M6287" i="6"/>
  <c r="M6298" i="6"/>
  <c r="L6298" i="6"/>
  <c r="N6298" i="6"/>
  <c r="K6298" i="6"/>
  <c r="L6318" i="6"/>
  <c r="K6318" i="6"/>
  <c r="N6318" i="6"/>
  <c r="M6318" i="6"/>
  <c r="N6333" i="6"/>
  <c r="K6333" i="6"/>
  <c r="M6333" i="6"/>
  <c r="L6333" i="6"/>
  <c r="N6353" i="6"/>
  <c r="K6353" i="6"/>
  <c r="M6353" i="6"/>
  <c r="L6353" i="6"/>
  <c r="L6363" i="6"/>
  <c r="K6363" i="6"/>
  <c r="M6363" i="6"/>
  <c r="N6363" i="6"/>
  <c r="N6386" i="6"/>
  <c r="M6386" i="6"/>
  <c r="L6386" i="6"/>
  <c r="K6386" i="6"/>
  <c r="N6406" i="6"/>
  <c r="M6406" i="6"/>
  <c r="L6406" i="6"/>
  <c r="K6406" i="6"/>
  <c r="N6426" i="6"/>
  <c r="M6426" i="6"/>
  <c r="K6426" i="6"/>
  <c r="L6426" i="6"/>
  <c r="N6451" i="6"/>
  <c r="L6451" i="6"/>
  <c r="M6451" i="6"/>
  <c r="K6451" i="6"/>
  <c r="L6464" i="6"/>
  <c r="N6464" i="6"/>
  <c r="M6464" i="6"/>
  <c r="K6464" i="6"/>
  <c r="N6486" i="6"/>
  <c r="L6486" i="6"/>
  <c r="K6486" i="6"/>
  <c r="M6486" i="6"/>
  <c r="M6500" i="6"/>
  <c r="L6500" i="6"/>
  <c r="K6500" i="6"/>
  <c r="N6500" i="6"/>
  <c r="N6521" i="6"/>
  <c r="L6521" i="6"/>
  <c r="K6521" i="6"/>
  <c r="M6521" i="6"/>
  <c r="L6539" i="6"/>
  <c r="M6539" i="6"/>
  <c r="N6539" i="6"/>
  <c r="K6539" i="6"/>
  <c r="N6555" i="6"/>
  <c r="L6555" i="6"/>
  <c r="M6555" i="6"/>
  <c r="K6555" i="6"/>
  <c r="N6575" i="6"/>
  <c r="M6575" i="6"/>
  <c r="L6575" i="6"/>
  <c r="K6575" i="6"/>
  <c r="M6587" i="6"/>
  <c r="N6587" i="6"/>
  <c r="L6587" i="6"/>
  <c r="K6587" i="6"/>
  <c r="L6597" i="6"/>
  <c r="K6597" i="6"/>
  <c r="N6597" i="6"/>
  <c r="M6597" i="6"/>
  <c r="M6616" i="6"/>
  <c r="L6616" i="6"/>
  <c r="N6616" i="6"/>
  <c r="K6616" i="6"/>
  <c r="N6630" i="6"/>
  <c r="M6630" i="6"/>
  <c r="L6630" i="6"/>
  <c r="K6630" i="6"/>
  <c r="N6643" i="6"/>
  <c r="L6643" i="6"/>
  <c r="M6643" i="6"/>
  <c r="K6643" i="6"/>
  <c r="N6662" i="6"/>
  <c r="M6662" i="6"/>
  <c r="L6662" i="6"/>
  <c r="K6662" i="6"/>
  <c r="M6680" i="6"/>
  <c r="N6680" i="6"/>
  <c r="K6680" i="6"/>
  <c r="L6680" i="6"/>
  <c r="L6697" i="6"/>
  <c r="N6697" i="6"/>
  <c r="K6697" i="6"/>
  <c r="M6697" i="6"/>
  <c r="K6712" i="6"/>
  <c r="L6712" i="6"/>
  <c r="N6712" i="6"/>
  <c r="M6712" i="6"/>
  <c r="N6730" i="6"/>
  <c r="K6730" i="6"/>
  <c r="L6730" i="6"/>
  <c r="M6730" i="6"/>
  <c r="L6744" i="6"/>
  <c r="N6744" i="6"/>
  <c r="K6744" i="6"/>
  <c r="M6744" i="6"/>
  <c r="N6758" i="6"/>
  <c r="L6758" i="6"/>
  <c r="M6758" i="6"/>
  <c r="K6758" i="6"/>
  <c r="N6770" i="6"/>
  <c r="M6770" i="6"/>
  <c r="L6770" i="6"/>
  <c r="K6770" i="6"/>
  <c r="L6787" i="6"/>
  <c r="N6787" i="6"/>
  <c r="M6787" i="6"/>
  <c r="K6787" i="6"/>
  <c r="N6803" i="6"/>
  <c r="L6803" i="6"/>
  <c r="M6803" i="6"/>
  <c r="K6803" i="6"/>
  <c r="N6818" i="6"/>
  <c r="M6818" i="6"/>
  <c r="L6818" i="6"/>
  <c r="K6818" i="6"/>
  <c r="L6829" i="6"/>
  <c r="N6829" i="6"/>
  <c r="K6829" i="6"/>
  <c r="M6829" i="6"/>
  <c r="N6847" i="6"/>
  <c r="M6847" i="6"/>
  <c r="L6847" i="6"/>
  <c r="K6847" i="6"/>
  <c r="N6866" i="6"/>
  <c r="M6866" i="6"/>
  <c r="L6866" i="6"/>
  <c r="K6866" i="6"/>
  <c r="N6883" i="6"/>
  <c r="M6883" i="6"/>
  <c r="L6883" i="6"/>
  <c r="K6883" i="6"/>
  <c r="N6898" i="6"/>
  <c r="M6898" i="6"/>
  <c r="L6898" i="6"/>
  <c r="K6898" i="6"/>
  <c r="K3740" i="6"/>
  <c r="K81" i="6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K2" i="6"/>
  <c r="M2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<sst xmlns="http://schemas.openxmlformats.org/spreadsheetml/2006/main" count="6512" uniqueCount="1222">
  <si>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</si>
  <si>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</si>
  <si>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</si>
  <si>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</si>
  <si>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</si>
  <si>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</si>
  <si>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</si>
  <si>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</si>
  <si>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</si>
  <si>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</si>
  <si>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</si>
  <si>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</si>
  <si>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</si>
  <si>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</si>
  <si>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</si>
  <si>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</si>
  <si>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</si>
  <si>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</si>
  <si>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</si>
  <si>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</si>
  <si>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</si>
  <si>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</si>
  <si>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</si>
  <si>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</si>
  <si>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</si>
  <si>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</si>
  <si>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</si>
  <si>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</si>
  <si>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</si>
  <si>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</si>
  <si>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</si>
  <si>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</si>
  <si>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</si>
  <si>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</si>
  <si>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</si>
  <si>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</si>
  <si>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</si>
  <si>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</si>
  <si>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</si>
  <si>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</si>
  <si>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</si>
  <si>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</si>
  <si>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</si>
  <si>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</si>
  <si>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</si>
  <si>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</si>
  <si>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</si>
  <si>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</si>
  <si>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</si>
  <si>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</si>
  <si>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</si>
  <si>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</si>
  <si>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</si>
  <si>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</si>
  <si>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</si>
  <si>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</si>
  <si>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</si>
  <si>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</si>
  <si>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</si>
  <si>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</si>
  <si>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</si>
  <si>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</si>
  <si>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</si>
  <si>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alp_ecom_conversao_ecom_facebook_social_pagepost_social_simpsons_curte-havaianas_cpc_1200x628_111116</t>
  </si>
  <si>
    <t>242342664</t>
  </si>
  <si>
    <t>438874500</t>
  </si>
  <si>
    <t>alp_marca</t>
  </si>
  <si>
    <t>Elhombre_Puig</t>
  </si>
  <si>
    <t>242963447</t>
  </si>
  <si>
    <t>439773337</t>
  </si>
  <si>
    <t>243290121</t>
  </si>
  <si>
    <t>439773376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</si>
  <si>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</si>
  <si>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</si>
  <si>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</si>
  <si>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</si>
  <si>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</si>
  <si>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</si>
  <si>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</si>
  <si>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</si>
  <si>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</si>
  <si>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</si>
  <si>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</si>
  <si>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</si>
  <si>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</si>
  <si>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</si>
  <si>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</si>
  <si>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</si>
  <si>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</si>
  <si>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</si>
  <si>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</si>
  <si>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</si>
  <si>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</si>
  <si>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</si>
  <si>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</si>
  <si>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</si>
  <si>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</si>
  <si>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</si>
  <si>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</si>
  <si>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</si>
  <si>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</si>
  <si>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</si>
  <si>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alp_marca_engajamentos_jovem_mtv_display_logo_ros_logo_all_cpm_no-size_111117</t>
  </si>
  <si>
    <t>243403010</t>
  </si>
  <si>
    <t>440229374</t>
  </si>
  <si>
    <t>Omelete</t>
  </si>
  <si>
    <t>alp_marca_alcance_jovem_facebook_social_dark-post_social_got_all_cpm_1080x1080_111120</t>
  </si>
  <si>
    <t>alp_marca_alcance_jovem_facebook_social_dark-post_social_got_all_cpm_1080x1080_111121</t>
  </si>
  <si>
    <t>jovemnerd.com.br</t>
  </si>
  <si>
    <t>1x1 Default Web Ad</t>
  </si>
  <si>
    <t>438503523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</si>
  <si>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</si>
  <si>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</si>
  <si>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</si>
  <si>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</si>
  <si>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</si>
  <si>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</si>
  <si>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</si>
  <si>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</si>
  <si>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</si>
  <si>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</si>
  <si>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</si>
  <si>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</si>
  <si>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</si>
  <si>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</si>
  <si>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</si>
  <si>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</si>
  <si>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</si>
  <si>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</si>
  <si>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</si>
  <si>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</si>
  <si>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</si>
  <si>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</si>
  <si>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</si>
  <si>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</si>
  <si>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</si>
  <si>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</si>
  <si>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</si>
  <si>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</si>
  <si>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</si>
  <si>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</si>
  <si>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</si>
  <si>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</si>
  <si>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</si>
  <si>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</si>
  <si>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</si>
  <si>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</si>
  <si>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</si>
  <si>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</si>
  <si>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</si>
  <si>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</si>
  <si>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</si>
  <si>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</si>
  <si>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</si>
  <si>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</si>
  <si>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</si>
  <si>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</si>
  <si>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</si>
  <si>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</si>
  <si>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</si>
  <si>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</si>
  <si>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</si>
  <si>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</si>
  <si>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</si>
  <si>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</si>
  <si>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</si>
  <si>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</si>
  <si>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</si>
  <si>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</si>
  <si>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</si>
  <si>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</si>
  <si>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</si>
  <si>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</si>
  <si>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</si>
  <si>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</si>
  <si>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alp_ecom_conversao_ecom_facebook_social_pagepost_social_got_rmk-30-mobile_cpm_1200x628_111202</t>
  </si>
  <si>
    <t>247894819</t>
  </si>
  <si>
    <t>444247223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</si>
  <si>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</si>
  <si>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</si>
  <si>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</si>
  <si>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</si>
  <si>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</si>
  <si>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</si>
  <si>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</si>
  <si>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</si>
  <si>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</si>
  <si>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</si>
  <si>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</si>
  <si>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</si>
  <si>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</si>
  <si>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</si>
  <si>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</si>
  <si>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</si>
  <si>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</si>
  <si>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</si>
  <si>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</si>
  <si>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</si>
  <si>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</si>
  <si>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</si>
  <si>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</si>
  <si>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</si>
  <si>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</si>
  <si>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</si>
  <si>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</si>
  <si>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</si>
  <si>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</si>
  <si>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</si>
  <si>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</si>
  <si>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</si>
  <si>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</si>
  <si>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</si>
  <si>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</si>
  <si>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</si>
  <si>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</si>
  <si>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</si>
  <si>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</si>
  <si>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</si>
  <si>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</si>
  <si>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</si>
  <si>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</si>
  <si>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</si>
  <si>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</si>
  <si>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</si>
  <si>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</si>
  <si>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</si>
  <si>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</si>
  <si>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</si>
  <si>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</si>
  <si>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</si>
  <si>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</si>
  <si>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</si>
  <si>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</si>
  <si>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</si>
  <si>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</si>
  <si>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</si>
  <si>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</si>
  <si>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</si>
  <si>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</si>
  <si>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</si>
  <si>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</si>
  <si>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</si>
  <si>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</si>
  <si>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</si>
  <si>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</si>
  <si>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</si>
  <si>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</si>
  <si>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</si>
  <si>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</si>
  <si>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</si>
  <si>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</si>
  <si>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</si>
  <si>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</si>
  <si>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</si>
  <si>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</si>
  <si>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</si>
  <si>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</si>
  <si>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</si>
  <si>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</si>
  <si>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</si>
  <si>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</si>
  <si>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</si>
  <si>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</si>
  <si>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</si>
  <si>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</si>
  <si>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</si>
  <si>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</si>
  <si>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</si>
  <si>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</si>
  <si>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</si>
  <si>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</si>
  <si>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</si>
  <si>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</si>
  <si>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</si>
  <si>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</si>
  <si>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</si>
  <si>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</si>
  <si>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</si>
  <si>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</si>
  <si>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</si>
  <si>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</si>
  <si>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</si>
  <si>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</si>
  <si>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</si>
  <si>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</si>
  <si>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</si>
  <si>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</si>
  <si>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</si>
  <si>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</si>
  <si>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</si>
  <si>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</si>
  <si>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</si>
  <si>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</si>
  <si>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</si>
  <si>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</si>
  <si>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</si>
  <si>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</si>
  <si>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</si>
  <si>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</si>
  <si>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</si>
  <si>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</si>
  <si>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</si>
  <si>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</si>
  <si>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alp_ecom_conversao_ecom_facebook_social_carrossel_social_toy-story_look-1-desk_cpm_1080x1080_111213</t>
  </si>
  <si>
    <t>250254690</t>
  </si>
  <si>
    <t>446210145</t>
  </si>
  <si>
    <t>alp_ecom_conversao_ecom_facebook_social_carrossel_social_toy-story_look-1-mobile_cpm_1080x1080_111213</t>
  </si>
  <si>
    <t>250254687</t>
  </si>
  <si>
    <t>446210142</t>
  </si>
  <si>
    <t>alp_ecom_conversao_ecom_facebook_social_carrossel_social_toy-story_look-2-desk_cpm_1080x1080_111213</t>
  </si>
  <si>
    <t>250254684</t>
  </si>
  <si>
    <t>446210139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</si>
  <si>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</si>
  <si>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</si>
  <si>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</si>
  <si>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</si>
  <si>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</si>
  <si>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</si>
  <si>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alp_ecom_conversao_ecom_facebook_social_pagepost_social_havaianas-outlet_rmk-30_cpm_1200x628_111205</t>
  </si>
  <si>
    <t>248092931</t>
  </si>
  <si>
    <t>444520653</t>
  </si>
  <si>
    <t>alp_ecom_conversao_ecom_facebook_social_pagepost_social_havaianas-tarsila_look-1-mobile_cpm_1200x628_111204</t>
  </si>
  <si>
    <t>248200606</t>
  </si>
  <si>
    <t>444464433</t>
  </si>
  <si>
    <t>alp_ecom_conversao_ecom_facebook_social_pagepost_social_havaianas-tarsila_rmk-30-mobile_cpm_1200x628_111204</t>
  </si>
  <si>
    <t>248200594</t>
  </si>
  <si>
    <t>444464421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</si>
  <si>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</si>
  <si>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</si>
  <si>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</si>
  <si>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alp_ecom_conversao_ecom_facebook_social_pagepost_social_sao-joao_curte-havaianas_cpm_1200x628_111210</t>
  </si>
  <si>
    <t>248595644</t>
  </si>
  <si>
    <t>445067264</t>
  </si>
  <si>
    <t>alp_ecom_conversao_ecom_facebook_social_pagepost_social_sao-joao_rmk-30-mobile_cpm_1200x628_111210</t>
  </si>
  <si>
    <t>248595623</t>
  </si>
  <si>
    <t>445067243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</si>
  <si>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</si>
  <si>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</si>
  <si>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</si>
  <si>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</si>
  <si>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</si>
  <si>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</si>
  <si>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alp_ecom_conversao_ecom_facebook_social_pagepost_social_stranger-things_rmk-30-mobile_cpm_1080x1080_111214</t>
  </si>
  <si>
    <t>250561287</t>
  </si>
  <si>
    <t>446676001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</si>
  <si>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</si>
  <si>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</si>
  <si>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</si>
  <si>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</si>
  <si>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</si>
  <si>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</si>
  <si>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alp_ecom_conversao_ecom_facebook_social_pagepost_social_toy-story_look-1-mobile_cpm_1200x628_111212</t>
  </si>
  <si>
    <t>249650818</t>
  </si>
  <si>
    <t>445753521</t>
  </si>
  <si>
    <t>alp_ecom_conversao_ecom_facebook_social_pagepost_social_toy-story_look-2-desk_cpm_1200x628_111212</t>
  </si>
  <si>
    <t>249650815</t>
  </si>
  <si>
    <t>445753518</t>
  </si>
  <si>
    <t>alp_ecom_conversao_ecom_facebook_social_pagepost_social_toy-story_look-2-mobile_cpm_1200x628_111212</t>
  </si>
  <si>
    <t>249650812</t>
  </si>
  <si>
    <t>445753515</t>
  </si>
  <si>
    <t>alp_ecom_conversao_ecom_facebook_social_pagepost_social_toy-story_rmk-30-mobile_cpm_1200x628_111212</t>
  </si>
  <si>
    <t>249650806</t>
  </si>
  <si>
    <t>445753509</t>
  </si>
  <si>
    <t>alp_ecom_conversao_ecom_facebook_social_pagepost_social_toy-story_rmk-30_cpm_1200x628_111212</t>
  </si>
  <si>
    <t>249650809</t>
  </si>
  <si>
    <t>445753512</t>
  </si>
  <si>
    <t>alp_ecom_conversao_ecom_facebook_social_stories_social_harry-potter_interesse-harry-potter_cpm_de-5s-ate-10s_111134</t>
  </si>
  <si>
    <t>243399840</t>
  </si>
  <si>
    <t>439898660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</si>
  <si>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</si>
  <si>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</si>
  <si>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</si>
  <si>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</si>
  <si>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</si>
  <si>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</si>
  <si>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</si>
  <si>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</si>
  <si>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</si>
  <si>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</si>
  <si>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</si>
  <si>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</si>
  <si>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</si>
  <si>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</si>
  <si>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</si>
  <si>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</si>
  <si>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</si>
  <si>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</si>
  <si>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alp_ecom_conversao_ecom_facebook_social_video-social_social_stranger-things_rmk-30-mobile_cpm_de-5s-ate-10s_111216</t>
  </si>
  <si>
    <t>250155812</t>
  </si>
  <si>
    <t>446691604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</si>
  <si>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</si>
  <si>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</si>
  <si>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</si>
  <si>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</si>
  <si>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</si>
  <si>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</si>
  <si>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</si>
  <si>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</si>
  <si>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Flix Media</t>
  </si>
  <si>
    <t>alp_marca_alcance_jovem_flix-media_display_retangulo-cinemark_ros_toy-story_all_fixo_300x250_111239</t>
  </si>
  <si>
    <t>249420466</t>
  </si>
  <si>
    <t>445573125</t>
  </si>
  <si>
    <t>alp_marca_alcance_jovem_flix-media_display_retangulo-ingressocom_ros_toy-story_all_fixo_300x250_111239</t>
  </si>
  <si>
    <t>249382964</t>
  </si>
  <si>
    <t>445751718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</si>
  <si>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</si>
  <si>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</si>
  <si>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</si>
  <si>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</si>
  <si>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</si>
  <si>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</si>
  <si>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</si>
  <si>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</si>
  <si>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</si>
  <si>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alp_marca_alcance_todos_instagram_social_pagepost_social_hype-wsl_all_cpm_1080x1080_111250</t>
  </si>
  <si>
    <t>249646258</t>
  </si>
  <si>
    <t>445740333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</si>
  <si>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</si>
  <si>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</si>
  <si>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</si>
  <si>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alp_marca_alcance_todos_instagram_social_stories_social_hype-wsl_all_cpm_de-5s-ate-10s_111249</t>
  </si>
  <si>
    <t>249646264</t>
  </si>
  <si>
    <t>445740339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</si>
  <si>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</si>
  <si>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</si>
  <si>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</si>
  <si>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</si>
  <si>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</si>
  <si>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</si>
  <si>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</si>
  <si>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</si>
  <si>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</si>
  <si>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</si>
  <si>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</si>
  <si>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</si>
  <si>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</si>
  <si>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</si>
  <si>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</si>
  <si>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</si>
  <si>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</si>
  <si>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</si>
  <si>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</si>
  <si>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</si>
  <si>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</si>
  <si>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</si>
  <si>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</si>
  <si>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</si>
  <si>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</si>
  <si>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</si>
  <si>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</si>
  <si>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</si>
  <si>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</si>
  <si>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</si>
  <si>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</si>
  <si>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</si>
  <si>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</si>
  <si>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</si>
  <si>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</si>
  <si>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</si>
  <si>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</si>
  <si>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</si>
  <si>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</si>
  <si>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</si>
  <si>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</si>
  <si>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</si>
  <si>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</si>
  <si>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</si>
  <si>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</si>
  <si>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</si>
  <si>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</si>
  <si>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</si>
  <si>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</si>
  <si>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</si>
  <si>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</si>
  <si>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</si>
  <si>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</si>
  <si>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</si>
  <si>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</si>
  <si>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</si>
  <si>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</si>
  <si>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</si>
  <si>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</si>
  <si>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</si>
  <si>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</si>
  <si>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</si>
  <si>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</si>
  <si>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</si>
  <si>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</si>
  <si>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</si>
  <si>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</si>
  <si>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</si>
  <si>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</si>
  <si>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</si>
  <si>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</si>
  <si>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</si>
  <si>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</si>
  <si>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</si>
  <si>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</si>
  <si>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</si>
  <si>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</si>
  <si>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</si>
  <si>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</si>
  <si>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</si>
  <si>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</si>
  <si>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</si>
  <si>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</si>
  <si>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</si>
  <si>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</si>
  <si>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</si>
  <si>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</si>
  <si>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</si>
  <si>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</si>
  <si>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</si>
  <si>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</si>
  <si>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</si>
  <si>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</si>
  <si>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</si>
  <si>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</si>
  <si>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</si>
  <si>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</si>
  <si>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</si>
  <si>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</si>
  <si>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</si>
  <si>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</si>
  <si>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</si>
  <si>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</si>
  <si>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</si>
  <si>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</si>
  <si>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</si>
  <si>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</si>
  <si>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</si>
  <si>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</si>
  <si>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</si>
  <si>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</si>
  <si>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</si>
  <si>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</si>
  <si>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</si>
  <si>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</si>
  <si>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</si>
  <si>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</si>
  <si>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</si>
  <si>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</si>
  <si>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</si>
  <si>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</si>
  <si>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</si>
  <si>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</si>
  <si>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</si>
  <si>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</si>
  <si>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</si>
  <si>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</si>
  <si>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</si>
  <si>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</si>
  <si>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</si>
  <si>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</si>
  <si>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</si>
  <si>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</si>
  <si>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</si>
  <si>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</si>
  <si>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</si>
  <si>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</si>
  <si>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</si>
  <si>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</si>
  <si>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</si>
  <si>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</si>
  <si>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</si>
  <si>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</si>
  <si>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</si>
  <si>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</si>
  <si>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</si>
  <si>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</si>
  <si>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</si>
  <si>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</si>
  <si>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</si>
  <si>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alp_marca_engajamentos_feminino_universa-uol_conteudo-veiculo_publieditorial_ros_rasteiras-you_all_cpm_no-size_111300</t>
  </si>
  <si>
    <t>250138990</t>
  </si>
  <si>
    <t>446267174</t>
  </si>
  <si>
    <t>Criteo</t>
  </si>
  <si>
    <t>alp_ecom_conversao_ecom_criteo_display_half-page_rmkt_frete-fixo_rmk-criteo_cpm_300x600_111226</t>
  </si>
  <si>
    <t>252205432</t>
  </si>
  <si>
    <t>448338025</t>
  </si>
  <si>
    <t>alp_ecom_conversao_ecom_criteo_display_quadrado_rmkt_frete-fixo_rmk-criteo_cpm_250x250_111226</t>
  </si>
  <si>
    <t>252205447</t>
  </si>
  <si>
    <t>448337770</t>
  </si>
  <si>
    <t>alp_ecom_conversao_ecom_criteo_display_retangulo_rmkt_frete-fixo_rmk-criteo_cpm_300x250_111226</t>
  </si>
  <si>
    <t>252205423</t>
  </si>
  <si>
    <t>448200690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</si>
  <si>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</si>
  <si>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</si>
  <si>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</si>
  <si>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</si>
  <si>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</si>
  <si>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</si>
  <si>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</si>
  <si>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</si>
  <si>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</si>
  <si>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alp_ecom_conversao_ecom_facebook_social_carrossel_social_harry-potter_curte-havaianas_cpm_1080x1080_111130</t>
  </si>
  <si>
    <t>243012344</t>
  </si>
  <si>
    <t>439736262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</si>
  <si>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</si>
  <si>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</si>
  <si>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</si>
  <si>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alp_ecom_conversao_ecom_facebook_social_carrossel_social_harry-potter_look-1-desk_cpm_1080x1080_111127</t>
  </si>
  <si>
    <t>243108697</t>
  </si>
  <si>
    <t>439773520</t>
  </si>
  <si>
    <t>alp_ecom_conversao_ecom_facebook_social_carrossel_social_harry-potter_look-1-desk_cpm_1080x1080_111128</t>
  </si>
  <si>
    <t>243108676</t>
  </si>
  <si>
    <t>439773499</t>
  </si>
  <si>
    <t>alp_ecom_conversao_ecom_facebook_social_carrossel_social_harry-potter_look-1-desk_cpm_1080x1080_111129</t>
  </si>
  <si>
    <t>243159247</t>
  </si>
  <si>
    <t>439736292</t>
  </si>
  <si>
    <t>alp_ecom_conversao_ecom_facebook_social_carrossel_social_harry-potter_look-1-desk_cpm_1080x1080_111130</t>
  </si>
  <si>
    <t>243012341</t>
  </si>
  <si>
    <t>439736259</t>
  </si>
  <si>
    <t>alp_ecom_conversao_ecom_facebook_social_carrossel_social_harry-potter_look-1-desk_cpm_1080x1080_111131</t>
  </si>
  <si>
    <t>243012320</t>
  </si>
  <si>
    <t>439736238</t>
  </si>
  <si>
    <t>alp_ecom_conversao_ecom_facebook_social_carrossel_social_harry-potter_look-1-mobile_cpm_1080x1080_111127</t>
  </si>
  <si>
    <t>243108694</t>
  </si>
  <si>
    <t>439773517</t>
  </si>
  <si>
    <t>alp_ecom_conversao_ecom_facebook_social_carrossel_social_harry-potter_look-1-mobile_cpm_1080x1080_111128</t>
  </si>
  <si>
    <t>243108673</t>
  </si>
  <si>
    <t>439773496</t>
  </si>
  <si>
    <t>alp_ecom_conversao_ecom_facebook_social_carrossel_social_harry-potter_look-2-desk_cpm_1080x1080_111127</t>
  </si>
  <si>
    <t>243108691</t>
  </si>
  <si>
    <t>439773514</t>
  </si>
  <si>
    <t>alp_ecom_conversao_ecom_facebook_social_carrossel_social_harry-potter_look-2-desk_cpm_1080x1080_111128</t>
  </si>
  <si>
    <t>243108670</t>
  </si>
  <si>
    <t>439773493</t>
  </si>
  <si>
    <t>alp_ecom_conversao_ecom_facebook_social_carrossel_social_harry-potter_look-2-mobile_cpm_1080x1080_111127</t>
  </si>
  <si>
    <t>243108688</t>
  </si>
  <si>
    <t>439773511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</si>
  <si>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</si>
  <si>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</si>
  <si>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</si>
  <si>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</si>
  <si>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</si>
  <si>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</si>
  <si>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alp_ecom_conversao_ecom_facebook_social_carrossel_social_harry-potter_rmk-30_cpm_1080x1080_111127</t>
  </si>
  <si>
    <t>243108685</t>
  </si>
  <si>
    <t>439773508</t>
  </si>
  <si>
    <t>alp_ecom_conversao_ecom_facebook_social_carrossel_social_harry-potter_rmk-30_cpm_1080x1080_111128</t>
  </si>
  <si>
    <t>243108664</t>
  </si>
  <si>
    <t>439773487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</si>
  <si>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</si>
  <si>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</si>
  <si>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</si>
  <si>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</si>
  <si>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</si>
  <si>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</si>
  <si>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</si>
  <si>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</si>
  <si>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</si>
  <si>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alp_ecom_conversao_ecom_facebook_social_carrossel_social_rei-leao_look-1-desk_cpm_1080x1080_111221</t>
  </si>
  <si>
    <t>251366934</t>
  </si>
  <si>
    <t>447333078</t>
  </si>
  <si>
    <t>alp_ecom_conversao_ecom_facebook_social_carrossel_social_rei-leao_look-2-desk_cpm_1080x1080_111195</t>
  </si>
  <si>
    <t>247089734</t>
  </si>
  <si>
    <t>443680126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</si>
  <si>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</si>
  <si>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</si>
  <si>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</si>
  <si>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alp_ecom_conversao_ecom_facebook_social_collection_social_frete-fixo_look-1-mobile_cpm_dinamico_111226</t>
  </si>
  <si>
    <t>252153711</t>
  </si>
  <si>
    <t>448092690</t>
  </si>
  <si>
    <t>alp_ecom_conversao_ecom_facebook_social_collection_social_frete-fixo_look-2-mobile_cpm_dinamico_111226</t>
  </si>
  <si>
    <t>252093643</t>
  </si>
  <si>
    <t>448092717</t>
  </si>
  <si>
    <t>alp_ecom_conversao_ecom_facebook_social_collection_social_frete-fixo_rmk-30-mobile_cpm_dinamico_111226</t>
  </si>
  <si>
    <t>251761157</t>
  </si>
  <si>
    <t>448228933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</si>
  <si>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</si>
  <si>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</si>
  <si>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</si>
  <si>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alp_ecom_conversao_ecom_facebook_social_collection_social_harry-potter_look-1-mobile_cpm_dinamico_111223</t>
  </si>
  <si>
    <t>251366904</t>
  </si>
  <si>
    <t>447333048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</si>
  <si>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</si>
  <si>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</si>
  <si>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</si>
  <si>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alp_ecom_conversao_ecom_facebook_social_collection_social_havaianas-outlet_curte-havaianas_cpm_dinamico_111225</t>
  </si>
  <si>
    <t>251366979</t>
  </si>
  <si>
    <t>447333123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</si>
  <si>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</si>
  <si>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</si>
  <si>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</si>
  <si>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alp_ecom_conversao_ecom_facebook_social_collection_social_havaianas-outlet_look-1-mobile_cpm_dinamico_111225</t>
  </si>
  <si>
    <t>251366967</t>
  </si>
  <si>
    <t>447333111</t>
  </si>
  <si>
    <t>alp_ecom_conversao_ecom_facebook_social_collection_social_havaianas-outlet_look-2-mobile_cpm_dinamico_111225</t>
  </si>
  <si>
    <t>251366955</t>
  </si>
  <si>
    <t>447333099</t>
  </si>
  <si>
    <t>alp_ecom_conversao_ecom_facebook_social_collection_social_havaianas-outlet_rmk-30-mobile_cpm_dinamico_111225</t>
  </si>
  <si>
    <t>251366943</t>
  </si>
  <si>
    <t>447333087</t>
  </si>
  <si>
    <t>alp_ecom_conversao_ecom_facebook_social_collection_social_mario-bros_curte-havaianas_cpm_dinamico_111224</t>
  </si>
  <si>
    <t>251366886</t>
  </si>
  <si>
    <t>447333030</t>
  </si>
  <si>
    <t>alp_ecom_conversao_ecom_facebook_social_collection_social_mario-bros_interesse-games_cpm_dinamico_111224</t>
  </si>
  <si>
    <t>251366985</t>
  </si>
  <si>
    <t>447333129</t>
  </si>
  <si>
    <t>alp_ecom_conversao_ecom_facebook_social_collection_social_mario-bros_look-1-mobile_cpm_dinamico_111224</t>
  </si>
  <si>
    <t>250964342</t>
  </si>
  <si>
    <t>447333024</t>
  </si>
  <si>
    <t>alp_ecom_conversao_ecom_facebook_social_collection_social_mario-bros_rmk-30-mobile_cpm_dinamico_111224</t>
  </si>
  <si>
    <t>250964330</t>
  </si>
  <si>
    <t>447333012</t>
  </si>
  <si>
    <t>alp_ecom_conversao_ecom_facebook_social_collection_social_star-wars_rmk-30-mobile_cpm_dinamico_111167</t>
  </si>
  <si>
    <t>245922808</t>
  </si>
  <si>
    <t>442542730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</si>
  <si>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</si>
  <si>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</si>
  <si>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</si>
  <si>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alp_ecom_conversao_ecom_facebook_social_pagepost_social_frete-fixo_curte-havaianas_cpm_1080x1080_111226</t>
  </si>
  <si>
    <t>251759555</t>
  </si>
  <si>
    <t>448227487</t>
  </si>
  <si>
    <t>alp_ecom_conversao_ecom_facebook_social_pagepost_social_frete-fixo_interesse-promocao_cpm_1080x1080_111226</t>
  </si>
  <si>
    <t>252152568</t>
  </si>
  <si>
    <t>448091682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</si>
  <si>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</si>
  <si>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</si>
  <si>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</si>
  <si>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</si>
  <si>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</si>
  <si>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</si>
  <si>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</si>
  <si>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</si>
  <si>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</si>
  <si>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</si>
  <si>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</si>
  <si>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</si>
  <si>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</si>
  <si>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</si>
  <si>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</si>
  <si>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</si>
  <si>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</si>
  <si>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</si>
  <si>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alp_ecom_conversao_ecom_facebook_social_pagepost_social_havaianas-novidades_curte-havaianas_cpm_1080x1080_111227</t>
  </si>
  <si>
    <t>252208378</t>
  </si>
  <si>
    <t>448258787</t>
  </si>
  <si>
    <t>alp_ecom_conversao_ecom_facebook_social_pagepost_social_havaianas-novidades_interesse-promocao_cpm_1080x1080_111227</t>
  </si>
  <si>
    <t>251878232</t>
  </si>
  <si>
    <t>448342276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</si>
  <si>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</si>
  <si>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</si>
  <si>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</si>
  <si>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alp_ecom_conversao_ecom_facebook_social_pagepost_social_havaianas-novidades_look-1-desk_cpm_1080x1080_111227</t>
  </si>
  <si>
    <t>252286389</t>
  </si>
  <si>
    <t>448257908</t>
  </si>
  <si>
    <t>alp_ecom_conversao_ecom_facebook_social_pagepost_social_havaianas-novidades_look-1-mobile_cpm_1080x1080_111227</t>
  </si>
  <si>
    <t>251878715</t>
  </si>
  <si>
    <t>448205391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</si>
  <si>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</si>
  <si>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</si>
  <si>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</si>
  <si>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alp_ecom_conversao_ecom_facebook_social_pagepost_social_havaianas-novidades_rmk-30_cpm_1080x1080_111227</t>
  </si>
  <si>
    <t>251876987</t>
  </si>
  <si>
    <t>448342957</t>
  </si>
  <si>
    <t>alp_ecom_conversao_ecom_facebook_social_pagepost_social_havaianas-outlet_curte-havaianas_cpm_1200x628_111217</t>
  </si>
  <si>
    <t>250255604</t>
  </si>
  <si>
    <t>446786734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</si>
  <si>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</si>
  <si>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</si>
  <si>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</si>
  <si>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alp_ecom_conversao_ecom_facebook_social_pagepost_social_havaianas-outlet_look-1-desk_cpm_1200x628_111217</t>
  </si>
  <si>
    <t>250255601</t>
  </si>
  <si>
    <t>446786731</t>
  </si>
  <si>
    <t>alp_ecom_conversao_ecom_facebook_social_pagepost_social_havaianas-outlet_look-1-mobile_cpm_1200x628_111217</t>
  </si>
  <si>
    <t>250255598</t>
  </si>
  <si>
    <t>446786728</t>
  </si>
  <si>
    <t>alp_ecom_conversao_ecom_facebook_social_pagepost_social_havaianas-outlet_look-2-desk_cpm_1200x628_111217</t>
  </si>
  <si>
    <t>250255595</t>
  </si>
  <si>
    <t>446786725</t>
  </si>
  <si>
    <t>alp_ecom_conversao_ecom_facebook_social_pagepost_social_havaianas-outlet_look-2-mobile_cpm_1200x628_111217</t>
  </si>
  <si>
    <t>250255592</t>
  </si>
  <si>
    <t>446786722</t>
  </si>
  <si>
    <t>alp_ecom_conversao_ecom_facebook_social_pagepost_social_havaianas-outlet_rmk-30-mobile_cpm_1200x628_111217</t>
  </si>
  <si>
    <t>250255586</t>
  </si>
  <si>
    <t>446786716</t>
  </si>
  <si>
    <t>alp_ecom_conversao_ecom_facebook_social_pagepost_social_havaianas-outlet_rmk-30_cpm_1200x628_111217</t>
  </si>
  <si>
    <t>250255589</t>
  </si>
  <si>
    <t>446786719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</si>
  <si>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</si>
  <si>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</si>
  <si>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</si>
  <si>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</si>
  <si>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</si>
  <si>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</si>
  <si>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</si>
  <si>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</si>
  <si>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</si>
  <si>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alp_ecom_conversao_ecom_facebook_social_pagepost_social_rasteiras-you_rmk-30_cpc_1200x628_111113</t>
  </si>
  <si>
    <t>242206020</t>
  </si>
  <si>
    <t>438842636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</si>
  <si>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</si>
  <si>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</si>
  <si>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</si>
  <si>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</si>
  <si>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</si>
  <si>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</si>
  <si>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alp_ecom_conversao_ecom_facebook_social_pagepost_social_rei-leao_look-1-desk_cpm_1200x628_111220</t>
  </si>
  <si>
    <t>251366982</t>
  </si>
  <si>
    <t>447333126</t>
  </si>
  <si>
    <t>alp_ecom_conversao_ecom_facebook_social_pagepost_social_rei-leao_look-1-mobile_cpm_1200x628_111220</t>
  </si>
  <si>
    <t>251366976</t>
  </si>
  <si>
    <t>447333120</t>
  </si>
  <si>
    <t>alp_ecom_conversao_ecom_facebook_social_pagepost_social_rei-leao_look-2-mobile_cpm_1200x628_111220</t>
  </si>
  <si>
    <t>251366964</t>
  </si>
  <si>
    <t>447333108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</si>
  <si>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</si>
  <si>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</si>
  <si>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</si>
  <si>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alp_ecom_conversao_ecom_facebook_social_pagepost_social_stranger-things_look-1-desk_cpm_1080x1080_111214</t>
  </si>
  <si>
    <t>250561317</t>
  </si>
  <si>
    <t>446675971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</si>
  <si>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</si>
  <si>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</si>
  <si>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</si>
  <si>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</si>
  <si>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</si>
  <si>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</si>
  <si>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alp_ecom_conversao_ecom_facebook_social_stories_social_harry-potter_interesse-harry-potter_cpm_de-5s-ate-10s_111132</t>
  </si>
  <si>
    <t>243188173</t>
  </si>
  <si>
    <t>439896365</t>
  </si>
  <si>
    <t>alp_ecom_conversao_ecom_facebook_social_stories_social_harry-potter_interesse-harry-potter_cpm_de-5s-ate-10s_111133</t>
  </si>
  <si>
    <t>243380601</t>
  </si>
  <si>
    <t>439800423</t>
  </si>
  <si>
    <t>alp_ecom_conversao_ecom_facebook_social_stories_social_havaianas-outlet_interesse-promocao_cpm_de-5s-ate-10s_111222</t>
  </si>
  <si>
    <t>251366913</t>
  </si>
  <si>
    <t>447333057</t>
  </si>
  <si>
    <t>alp_ecom_conversao_ecom_facebook_social_video-social_social_stranger-things_curte-havaianas_cpm_de-5s-ate-10s_111218</t>
  </si>
  <si>
    <t>250255580</t>
  </si>
  <si>
    <t>446786710</t>
  </si>
  <si>
    <t>alp_ecom_conversao_ecom_facebook_social_video-social_social_stranger-things_interesses-stranger-things_cpm_de-5s-ate-10s_111218</t>
  </si>
  <si>
    <t>250255559</t>
  </si>
  <si>
    <t>446786689</t>
  </si>
  <si>
    <t>alp_ecom_conversao_ecom_facebook_social_video-social_social_stranger-things_look-1-desk_cpm_de-5s-ate-10s_111215</t>
  </si>
  <si>
    <t>250155800</t>
  </si>
  <si>
    <t>446691616</t>
  </si>
  <si>
    <t>alp_ecom_conversao_ecom_facebook_social_video-social_social_stranger-things_look-1-desk_cpm_de-5s-ate-10s_111218</t>
  </si>
  <si>
    <t>250255577</t>
  </si>
  <si>
    <t>446786707</t>
  </si>
  <si>
    <t>alp_ecom_conversao_ecom_facebook_social_video-social_social_stranger-things_look-2-desk_cpm_de-5s-ate-10s_111218</t>
  </si>
  <si>
    <t>250255571</t>
  </si>
  <si>
    <t>446786701</t>
  </si>
  <si>
    <t>alp_ecom_conversao_ecom_facebook_social_video-social_social_stranger-things_look-2-mobile_cpm_de-5s-ate-10s_111215</t>
  </si>
  <si>
    <t>250155791</t>
  </si>
  <si>
    <t>446691625</t>
  </si>
  <si>
    <t>alp_ecom_conversao_ecom_facebook_social_video-social_social_stranger-things_look-2-mobile_cpm_de-5s-ate-10s_111216</t>
  </si>
  <si>
    <t>250561296</t>
  </si>
  <si>
    <t>446675992</t>
  </si>
  <si>
    <t>alp_ecom_conversao_ecom_facebook_social_video-social_social_stranger-things_look-2-mobile_cpm_de-5s-ate-10s_111218</t>
  </si>
  <si>
    <t>250255568</t>
  </si>
  <si>
    <t>446786698</t>
  </si>
  <si>
    <t>alp_ecom_conversao_ecom_facebook_social_video-social_social_stranger-things_rmk-30-mobile_cpm_de-5s-ate-10s_111218</t>
  </si>
  <si>
    <t>250255562</t>
  </si>
  <si>
    <t>446786692</t>
  </si>
  <si>
    <t>alp_ecom_conversao_ecom_facebook_social_video-social_social_stranger-things_rmk-30_cpm_de-5s-ate-10s_111215</t>
  </si>
  <si>
    <t>250155788</t>
  </si>
  <si>
    <t>446691628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</si>
  <si>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</si>
  <si>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</si>
  <si>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</si>
  <si>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</si>
  <si>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</si>
  <si>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</si>
  <si>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</si>
  <si>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</si>
  <si>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</si>
  <si>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</si>
  <si>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</si>
  <si>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</si>
  <si>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</si>
  <si>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alp_marca_alcance_jovem_flix-media_display_retangulo-cineclick_ros_rei-leao_all_fixo_300x250_111344</t>
  </si>
  <si>
    <t>251722911</t>
  </si>
  <si>
    <t>447647799</t>
  </si>
  <si>
    <t>alp_marca_alcance_jovem_flix-media_display_retangulo-cinemark_ros_rei-leao_all_fixo_300x250_111344</t>
  </si>
  <si>
    <t>251723094</t>
  </si>
  <si>
    <t>447699821</t>
  </si>
  <si>
    <t>alp_marca_alcance_jovem_flix-media_display_retangulo-cinepolis_ros_rei-leao_all_fixo_300x250_111344</t>
  </si>
  <si>
    <t>251721657</t>
  </si>
  <si>
    <t>447647634</t>
  </si>
  <si>
    <t>alp_marca_alcance_jovem_flix-media_display_retangulo-cinesystem_ros_rei-leao_all_fixo_300x250_111344</t>
  </si>
  <si>
    <t>251293541</t>
  </si>
  <si>
    <t>447785431</t>
  </si>
  <si>
    <t>alp_marca_alcance_jovem_flix-media_display_retangulo-ingressocom_ros_rei-leao_all_fixo_300x250_111344</t>
  </si>
  <si>
    <t>251723427</t>
  </si>
  <si>
    <t>447647796</t>
  </si>
  <si>
    <t>alp_marca_alcance_jovem_flix-media_display_superbanner-cineclick_ros_rei-leao_all_fixo_728x90_111345</t>
  </si>
  <si>
    <t>251293490</t>
  </si>
  <si>
    <t>447777193</t>
  </si>
  <si>
    <t>alp_marca_alcance_jovem_flix-media_display_superbanner-cinemark_ros_rei-leao_all_fixo_728x90_111345</t>
  </si>
  <si>
    <t>251722629</t>
  </si>
  <si>
    <t>447787393</t>
  </si>
  <si>
    <t>alp_marca_alcance_jovem_flix-media_display_superbanner-cinepolis_ros_rei-leao_all_fixo_728x90_111345</t>
  </si>
  <si>
    <t>251298485</t>
  </si>
  <si>
    <t>447785461</t>
  </si>
  <si>
    <t>alp_marca_alcance_jovem_flix-media_display_superbanner-cinesystem_ros_rei-leao_all_fixo_728x90_111345</t>
  </si>
  <si>
    <t>251717361</t>
  </si>
  <si>
    <t>447780430</t>
  </si>
  <si>
    <t>alp_marca_alcance_jovem_flix-media_display_superbanner-ingressocom_ros_rei-leao_all_fixo_728x90_111345</t>
  </si>
  <si>
    <t>251694786</t>
  </si>
  <si>
    <t>447685718</t>
  </si>
  <si>
    <t>alp_marca_alcance_jovem_flix-media_display_superbanner-kinoplex_ros_rei-leao_all_fixo_728x90_111345</t>
  </si>
  <si>
    <t>251601343</t>
  </si>
  <si>
    <t>447780358</t>
  </si>
  <si>
    <t>alp_marca_alcance_jovem_instagram_social_stories_social_rei-leao_all_cpm_de-5s-ate-10s_111343</t>
  </si>
  <si>
    <t>251298464</t>
  </si>
  <si>
    <t>447785986</t>
  </si>
  <si>
    <t>alp_marca_alcance_jovem_instagram_social_stories_social_stranger-things_all_cpm_de-11s-ate-29s_111319</t>
  </si>
  <si>
    <t>250660887</t>
  </si>
  <si>
    <t>446775331</t>
  </si>
  <si>
    <t>alp_marca_alcance_masculino_instagram_social_pagepost_social_havaianas-urban-rubinho_all_cpm_1080x1080_111331</t>
  </si>
  <si>
    <t>251320189</t>
  </si>
  <si>
    <t>447398568</t>
  </si>
  <si>
    <t>alp_marca_alcance_masculino_instagram_social_stories_social_havaianas-urban-rubinho_all_cpm_de-5s-ate-10s_111330</t>
  </si>
  <si>
    <t>251320150</t>
  </si>
  <si>
    <t>447520354</t>
  </si>
  <si>
    <t>alp_marca_engajamentos_jovem_mtv_display_header-mobile_ros_slim-hits-vma_all_cpm_320x50_111306</t>
  </si>
  <si>
    <t>250299607</t>
  </si>
  <si>
    <t>446459630</t>
  </si>
  <si>
    <t>alp_marca_engajamentos_jovem_mtv_display_logo_ros_logo-vma_all_cpm_no-size_111308</t>
  </si>
  <si>
    <t>249991874</t>
  </si>
  <si>
    <t>446368266</t>
  </si>
  <si>
    <t>alp_marca_engajamentos_jovem_mtv_display_retangulo_ros_slim-hits-vma_all_cpm_300x250_111304</t>
  </si>
  <si>
    <t>250394535</t>
  </si>
  <si>
    <t>446519932</t>
  </si>
  <si>
    <t>alp_marca_engajamentos_jovem_mtv_influenciador_stories-jonathan-neguebites_social_havaianas-top-max_all_fixo_de-11s-ate-29s_111327</t>
  </si>
  <si>
    <t>250818865</t>
  </si>
  <si>
    <t>447013237</t>
  </si>
  <si>
    <t>alp_marca_engajamentos_jovem_mtv_influenciador_stories-karolconka_social_rasteiras-you_all_fixo_de-11s-ate-29s_111326</t>
  </si>
  <si>
    <t>250898058</t>
  </si>
  <si>
    <t>alp_marca_engajamentos_jovem_mtv_stories-karolconka_rasteiras-you_all_fixo_de-11s-ate-29s_111326</t>
  </si>
  <si>
    <t>446926007</t>
  </si>
  <si>
    <t>alp_marca_engajamentos_jovem_mtv_influenciador_stories-sabrinasato_social_slim-hits_all_fixo_de-11s-ate-29s_111325</t>
  </si>
  <si>
    <t>250818304</t>
  </si>
  <si>
    <t>446926763</t>
  </si>
  <si>
    <t>alp_marca_engajamentos_jovem_mtv_video_pre-roll_ros_hype-vma_all_cpm_de-11s-ate-29s_111309</t>
  </si>
  <si>
    <t>249995243</t>
  </si>
  <si>
    <t>446428979</t>
  </si>
  <si>
    <t>alp_marca_engajamentos_jovem_mtv_video_pre-roll_ros_slim-hibisco-vma_all_cpm_de-11s-ate-29s_111307</t>
  </si>
  <si>
    <t>249992882</t>
  </si>
  <si>
    <t>446368218</t>
  </si>
  <si>
    <t>alp_marca_alcance_feminino_marie-claire_display_billboard_ros_rasteiras_fashion_cpm_970x250_111341</t>
  </si>
  <si>
    <t>251705546</t>
  </si>
  <si>
    <t>448030590</t>
  </si>
  <si>
    <t>alp_marca_alcance_feminino_marie-claire_display_billboard_ros_rasteiras_funcional_cpm_970x250_111340</t>
  </si>
  <si>
    <t>252109170</t>
  </si>
  <si>
    <t>448044843</t>
  </si>
  <si>
    <t>alp_marca_alcance_feminino_marie-claire_display_half-page_ros_rasteiras_fashion_cpm_300x600_111341</t>
  </si>
  <si>
    <t>251713850</t>
  </si>
  <si>
    <t>448102064</t>
  </si>
  <si>
    <t>alp_marca_alcance_feminino_marie-claire_display_half-page_ros_rasteiras_funcional_cpm_300x600_111340</t>
  </si>
  <si>
    <t>252038203</t>
  </si>
  <si>
    <t>448183864</t>
  </si>
  <si>
    <t>alp_marca_alcance_feminino_marie-claire_display_retangulo_ros_rasteiras_fashion_cpm_300x250_111341</t>
  </si>
  <si>
    <t>252108897</t>
  </si>
  <si>
    <t>448185619</t>
  </si>
  <si>
    <t>alp_marca_alcance_feminino_marie-claire_display_retangulo_ros_rasteiras_funcional_cpm_300x250_111340</t>
  </si>
  <si>
    <t>252038179</t>
  </si>
  <si>
    <t>448100054</t>
  </si>
  <si>
    <t>alp_marca_alcance_feminino_marie-claire_display_superbanner_ros_rasteiras_fashion_cpm_728x90_111341</t>
  </si>
  <si>
    <t>252038263</t>
  </si>
  <si>
    <t>448102070</t>
  </si>
  <si>
    <t>alp_marca_alcance_feminino_marie-claire_display_superbanner_ros_rasteiras_funcional_cpm_728x90_111340</t>
  </si>
  <si>
    <t>251713829</t>
  </si>
  <si>
    <t>448044489</t>
  </si>
  <si>
    <t>alp_marca_alcance_feminino_oath-verizon_display_arranha-ceu_ros_rasteiras_fashion_cpm_160x600_111341</t>
  </si>
  <si>
    <t>251525998</t>
  </si>
  <si>
    <t>alp_marca_alcance_feminino_oath-verizon_display_arranha-ceu_ros_rasteiras_funcional_cpm_160x600_111340</t>
  </si>
  <si>
    <t>251622879</t>
  </si>
  <si>
    <t>447709207</t>
  </si>
  <si>
    <t>alp_marca_alcance_feminino_oath-verizon_display_banner_ros_rasteiras_fashion_cpm_468x60_111341</t>
  </si>
  <si>
    <t>251527363</t>
  </si>
  <si>
    <t>447711241</t>
  </si>
  <si>
    <t>alp_marca_alcance_feminino_oath-verizon_display_banner_ros_rasteiras_funcional_cpm_468x60_111340</t>
  </si>
  <si>
    <t>251625366</t>
  </si>
  <si>
    <t>447710446</t>
  </si>
  <si>
    <t>alp_marca_alcance_feminino_oath-verizon_display_billboard_ros_rasteiras_fashion_cpm_970x250_111341</t>
  </si>
  <si>
    <t>251230706</t>
  </si>
  <si>
    <t>447627221</t>
  </si>
  <si>
    <t>alp_marca_alcance_feminino_oath-verizon_display_billboard_ros_rasteiras_funcional_cpm_970x250_111340</t>
  </si>
  <si>
    <t>251625105</t>
  </si>
  <si>
    <t>447711070</t>
  </si>
  <si>
    <t>alp_marca_alcance_feminino_oath-verizon_display_half-page_ros_rasteiras_fashion_cpm_300x600_111341</t>
  </si>
  <si>
    <t>251527147</t>
  </si>
  <si>
    <t>447625571</t>
  </si>
  <si>
    <t>alp_marca_alcance_feminino_oath-verizon_display_half-page_ros_rasteiras_funcional_cpm_300x600_111340</t>
  </si>
  <si>
    <t>251625273</t>
  </si>
  <si>
    <t>447709690</t>
  </si>
  <si>
    <t>alp_marca_alcance_feminino_oath-verizon_display_header-mobile_ros_rasteiras_fashion_cpm_320x50_111341</t>
  </si>
  <si>
    <t>251229551</t>
  </si>
  <si>
    <t>447710638</t>
  </si>
  <si>
    <t>alp_marca_alcance_feminino_oath-verizon_display_header-mobile_ros_rasteiras_funcional_cpm_320x50_111340</t>
  </si>
  <si>
    <t>251524300</t>
  </si>
  <si>
    <t>447708541</t>
  </si>
  <si>
    <t>alp_marca_alcance_feminino_oath-verizon_display_quadrado-pequeno_ros_rasteiras_fashion_cpm_200x200_111341</t>
  </si>
  <si>
    <t>251229083</t>
  </si>
  <si>
    <t>447625487</t>
  </si>
  <si>
    <t>alp_marca_alcance_feminino_oath-verizon_display_quadrado-pequeno_ros_rasteiras_funcional_cpm_200x200_111340</t>
  </si>
  <si>
    <t>251523709</t>
  </si>
  <si>
    <t>447708427</t>
  </si>
  <si>
    <t>alp_marca_alcance_feminino_oath-verizon_display_quadrado_ros_rasteiras_fashion_cpm_250x250_111341</t>
  </si>
  <si>
    <t>251526604</t>
  </si>
  <si>
    <t>alp_marca_alcance_feminino_oath-verizon_display_quadrado_ros_rasteiras_funcional_cpm_250x250_111340</t>
  </si>
  <si>
    <t>251524159</t>
  </si>
  <si>
    <t>447577809</t>
  </si>
  <si>
    <t>alp_marca_alcance_feminino_oath-verizon_display_retangulo-grande_ros_rasteiras_fashion_cpm_336x280_111341</t>
  </si>
  <si>
    <t>251229647</t>
  </si>
  <si>
    <t>447712489</t>
  </si>
  <si>
    <t>alp_marca_alcance_feminino_oath-verizon_display_retangulo-grande_ros_rasteiras_funcional_cpm_336x280_111340</t>
  </si>
  <si>
    <t>251624976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</si>
  <si>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</si>
  <si>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</si>
  <si>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</si>
  <si>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</si>
  <si>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</si>
  <si>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</si>
  <si>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alp_marca_alcance_feminino_oath-verizon_display_super-leaderboard_ros_rasteiras_fashion_cpm_970x90_111341</t>
  </si>
  <si>
    <t>251627298</t>
  </si>
  <si>
    <t>alp_marca_alcance_feminino_oath-verizon_display_super-leaderboard_ros_rasteiras_funcional_cpm_970x90_111340</t>
  </si>
  <si>
    <t>251625678</t>
  </si>
  <si>
    <t>447709858</t>
  </si>
  <si>
    <t>alp_marca_alcance_feminino_oath-verizon_display_superbanner_ros_rasteiras_fashion_cpm_728x90_111341</t>
  </si>
  <si>
    <t>251527402</t>
  </si>
  <si>
    <t>447711490</t>
  </si>
  <si>
    <t>alp_marca_alcance_feminino_oath-verizon_display_superbanner_ros_rasteiras_funcional_cpm_728x90_111340</t>
  </si>
  <si>
    <t>251524372</t>
  </si>
  <si>
    <t>447710992</t>
  </si>
  <si>
    <t>alp_marca_alcance_feminino_oath-verizon_display_superheader-mobile_ros_rasteiras_fashion_cpm_320x100_111341</t>
  </si>
  <si>
    <t>251527273</t>
  </si>
  <si>
    <t>alp_marca_alcance_feminino_oath-verizon_display_superheader-mobile_ros_rasteiras_funcional_cpm_320x100_111340</t>
  </si>
  <si>
    <t>251625333</t>
  </si>
  <si>
    <t>447710392</t>
  </si>
  <si>
    <t>alp_marca_alcance_masculino_oath-verizon_video_video_ros_havaianas-urban-rubinho_all_cpm_de-11s-ate-29s_111333</t>
  </si>
  <si>
    <t>251320243</t>
  </si>
  <si>
    <t>447398574</t>
  </si>
  <si>
    <t>alp_marca_alcance_jovem_omelete_display_half-page_ros_stranger-things_all_cpm_300x600_111320</t>
  </si>
  <si>
    <t>250660884</t>
  </si>
  <si>
    <t>446775328</t>
  </si>
  <si>
    <t>alp_marca_alcance_jovem_omelete_display_header-mobile_ros_stranger-things_all_cpm_320x50_111321</t>
  </si>
  <si>
    <t>250660881</t>
  </si>
  <si>
    <t>446775325</t>
  </si>
  <si>
    <t>alp_marca_alcance_jovem_omelete_display_retangulo_ros_got_all_fixo_300x250_111154</t>
  </si>
  <si>
    <t>245972916</t>
  </si>
  <si>
    <t>442369679</t>
  </si>
  <si>
    <t>alp_marca_engajamentos_masculino_outbrain_native_native-ads_ros_masculino-cinderello_all_cpm_no-size_111143</t>
  </si>
  <si>
    <t>244289813</t>
  </si>
  <si>
    <t>441119934</t>
  </si>
  <si>
    <t>alp_marca_alcance_feminino_steal-the-look_display_diaria-bg_home_rasteiras-you_all_cpm_1900x1020_111349</t>
  </si>
  <si>
    <t>252094675</t>
  </si>
  <si>
    <t>448096674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</si>
  <si>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</si>
  <si>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</si>
  <si>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</si>
  <si>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</si>
  <si>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</si>
  <si>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</si>
  <si>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alp_marca_alcance_jovem_adoro-cinema_display_half-page-expand_ros_rei-leao_all_fixo_de-5s-ate-10s_111347</t>
  </si>
  <si>
    <t>251609371</t>
  </si>
  <si>
    <t>447776953</t>
  </si>
  <si>
    <t>alp_marca_alcance_jovem_adoro-cinema_display_maxi-wallpaper_ros_rei-leao_all_fixo_de-5s-ate-10s_111346</t>
  </si>
  <si>
    <t>251604283</t>
  </si>
  <si>
    <t>447638973</t>
  </si>
  <si>
    <t>alp_marca_alcance_feminino_facebook_social_pagepost_social_havaianas-shooting-bienal_all_cpm_1080x1080_111356</t>
  </si>
  <si>
    <t>251873027</t>
  </si>
  <si>
    <t>448202253</t>
  </si>
  <si>
    <t>alp_marca_alcance_feminino_facebook_social_pagepost_social_havaianas-shooting-bienal_all_cpm_1080x1080_111357</t>
  </si>
  <si>
    <t>252284052</t>
  </si>
  <si>
    <t>448340077</t>
  </si>
  <si>
    <t>alp_marca_alcance_jovem_facebook_social_dark-post_social_got_all_cpm_1080x1080_111122</t>
  </si>
  <si>
    <t>243290136</t>
  </si>
  <si>
    <t>439764581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</si>
  <si>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</si>
  <si>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</si>
  <si>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</si>
  <si>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</si>
  <si>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</si>
  <si>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</si>
  <si>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</si>
  <si>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</si>
  <si>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</si>
  <si>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</si>
  <si>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</si>
  <si>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</si>
  <si>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</si>
  <si>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</si>
  <si>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</si>
  <si>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</si>
  <si>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</si>
  <si>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</si>
  <si>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alp_marca_alcance_jovem_facebook_social_video-social_social_stranger-things_all_cpm_de-11s-ate-29s_111317</t>
  </si>
  <si>
    <t>250660893</t>
  </si>
  <si>
    <t>446775337</t>
  </si>
  <si>
    <t>alp_marca_alcance_jovem_facebook_social_video-social_social_stranger-things_all_cpm_de-11s-ate-29s_111318</t>
  </si>
  <si>
    <t>250660890</t>
  </si>
  <si>
    <t>446775334</t>
  </si>
  <si>
    <t>alp_marca_alcance_masculino_facebook_social_carrossel_social_havaianas-urban-dia-pais_all_cpm_1080x1080_111360</t>
  </si>
  <si>
    <t>252404155</t>
  </si>
  <si>
    <t>448436609</t>
  </si>
  <si>
    <t>alp_marca_alcance_masculino_facebook_social_pagepost_social_havaianas-urban-dia-pais-store-visit_all_cpm_1080x1080_111361</t>
  </si>
  <si>
    <t>252404179</t>
  </si>
  <si>
    <t>448434623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</si>
  <si>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</si>
  <si>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</si>
  <si>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</si>
  <si>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</si>
  <si>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</si>
  <si>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</si>
  <si>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alp_marca_alcance_masculino_facebook_social_stories_social_havaianas-rubinho-criacao-fb-relaxa_all_cpm_de-11s-ate-29s_111362</t>
  </si>
  <si>
    <t>252073241</t>
  </si>
  <si>
    <t>448391832</t>
  </si>
  <si>
    <t>alp_marca_alcance_masculino_facebook_social_stories_social_havaianas-rubinho-criacao-fb_all_cpm_de-11s-ate-29s_111358</t>
  </si>
  <si>
    <t>252400696</t>
  </si>
  <si>
    <t>448505326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</si>
  <si>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</si>
  <si>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</si>
  <si>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</si>
  <si>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</si>
  <si>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</si>
  <si>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</si>
  <si>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</si>
  <si>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</si>
  <si>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</si>
  <si>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</si>
  <si>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</si>
  <si>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</si>
  <si>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</si>
  <si>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</si>
  <si>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</si>
  <si>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</si>
  <si>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</si>
  <si>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</si>
  <si>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alp_marca_engajamentos_feminino_facebook_social_dark-post_social_rasteiras_fashion_cpm_1200x628_111339</t>
  </si>
  <si>
    <t>251373616</t>
  </si>
  <si>
    <t>447455262</t>
  </si>
  <si>
    <t>alp_marca_engajamentos_feminino_facebook_social_dark-post_social_rasteiras_fashion_cpm_500x500_111338</t>
  </si>
  <si>
    <t>251375338</t>
  </si>
  <si>
    <t>447586543</t>
  </si>
  <si>
    <t>alp_marca_engajamentos_feminino_facebook_social_dark-post_social_rasteiras_funcional_cpm_1080x1080_111334</t>
  </si>
  <si>
    <t>251079740</t>
  </si>
  <si>
    <t>447455193</t>
  </si>
  <si>
    <t>alp_marca_engajamentos_feminino_facebook_social_dark-post_social_rasteiras_funcional_cpm_1200x628_111336</t>
  </si>
  <si>
    <t>251476689</t>
  </si>
  <si>
    <t>447504758</t>
  </si>
  <si>
    <t>alp_marca_engajamentos_feminino_facebook_social_dark-post_social_rasteiras_funcional_cpm_500x500_111335</t>
  </si>
  <si>
    <t>251079758</t>
  </si>
  <si>
    <t>447455613</t>
  </si>
  <si>
    <t>alp_marca_engajamentos_masculino_facebook_social_dark-post_social_hype_sports_cpm_1080x1080_111348</t>
  </si>
  <si>
    <t>251697559</t>
  </si>
  <si>
    <t>447872983</t>
  </si>
  <si>
    <t>Disable_alp_marca_engajamentos_masculino_globo-esporte_display_billboard_ros_hype_all_cpm_970x250_111348</t>
  </si>
  <si>
    <t>252148830</t>
  </si>
  <si>
    <t>alp_marca_engajamentos_masculino_globo-esporte_display_billboard_ros_hype_all_cpm_970x250_111348</t>
  </si>
  <si>
    <t>448143782</t>
  </si>
  <si>
    <t>Disable_alp_marca_engajamentos_masculino_globo-esporte_display_maxiboard_ros_hype_all_cpm_970x150_111348</t>
  </si>
  <si>
    <t>252150357</t>
  </si>
  <si>
    <t>alp_marca_engajamentos_masculino_globo-esporte_display_maxiboard_ros_hype_all_cpm_970x150_111348</t>
  </si>
  <si>
    <t>448145243</t>
  </si>
  <si>
    <t>Disable_alp_marca_engajamentos_masculino_globo-esporte_display_retangulo_ros_hype_all_cpm_300x250_111348</t>
  </si>
  <si>
    <t>252088453</t>
  </si>
  <si>
    <t>alp_marca_engajamentos_masculino_globo-esporte_display_retangulo_ros_hype_all_cpm_300x250_111348</t>
  </si>
  <si>
    <t>448144328</t>
  </si>
  <si>
    <t>252119284</t>
  </si>
  <si>
    <t>448246708</t>
  </si>
  <si>
    <t>252179835</t>
  </si>
  <si>
    <t>448251334</t>
  </si>
  <si>
    <t>252119245</t>
  </si>
  <si>
    <t>448252102</t>
  </si>
  <si>
    <t>alp_marca_alcance_jovem_jovem-nerd_display_half-page_ros_got_all_cpm_300x600_111158</t>
  </si>
  <si>
    <t>245972907</t>
  </si>
  <si>
    <t>442369667</t>
  </si>
  <si>
    <t>alp_marca_alcance_jovem_jovem-nerd_display_half-page_ros_stranger-things_all_cpm_300x600_111324</t>
  </si>
  <si>
    <t>250660872</t>
  </si>
  <si>
    <t>446775316</t>
  </si>
  <si>
    <t>alp_marca_alcance_jovem_jovem-nerd_display_retangulo_ros_stranger-things_all_cpm_300x250_111322</t>
  </si>
  <si>
    <t>250660878</t>
  </si>
  <si>
    <t>446775322</t>
  </si>
  <si>
    <t>alp_marca_alcance_jovem_jovem-nerd_display_superbanner_ros_got_all_cpm_728x90_111159</t>
  </si>
  <si>
    <t>245972904</t>
  </si>
  <si>
    <t>alp_marca_alcance_jovem_jovem-nerd_display_superbanner_ros_stranger-things_all_cpm_728x90_111323</t>
  </si>
  <si>
    <t>250660875</t>
  </si>
  <si>
    <t>446775319</t>
  </si>
  <si>
    <t>alp_marca_alcance_feminino_universa-uol_display_billboard_ros_rasteiras_fashion_cpm_970x250_111341</t>
  </si>
  <si>
    <t>252033517</t>
  </si>
  <si>
    <t>448038642</t>
  </si>
  <si>
    <t>alp_marca_alcance_feminino_universa-uol_display_billboard_ros_rasteiras_funcional_cpm_970x250_111340</t>
  </si>
  <si>
    <t>252034573</t>
  </si>
  <si>
    <t>448036827</t>
  </si>
  <si>
    <t>alp_marca_alcance_feminino_universa-uol_display_half-page_ros_rasteiras_fashion_cpm_300x600_111341</t>
  </si>
  <si>
    <t>252033505</t>
  </si>
  <si>
    <t>448036851</t>
  </si>
  <si>
    <t>alp_marca_alcance_feminino_universa-uol_display_header-mobile_ros_rasteiras_fashion_cpm_320x50_111341</t>
  </si>
  <si>
    <t>252265371</t>
  </si>
  <si>
    <t>448238975</t>
  </si>
  <si>
    <t>alp_marca_alcance_feminino_universa-uol_display_retangulo_ros_rasteiras_fashion_cpm_300x250_111341</t>
  </si>
  <si>
    <t>252034849</t>
  </si>
  <si>
    <t>448038630</t>
  </si>
  <si>
    <t>alp_marca_alcance_feminino_universa-uol_display_retangulo_ros_rasteiras_funcional_cpm_300x250_111340</t>
  </si>
  <si>
    <t>251711111</t>
  </si>
  <si>
    <t>448038858</t>
  </si>
  <si>
    <t>alp_marca_alcance_feminino_universa-uol_display_superbanner_ros_rasteiras_fashion_cpm_728x90_111341</t>
  </si>
  <si>
    <t>252035758</t>
  </si>
  <si>
    <t>448092575</t>
  </si>
  <si>
    <t>alp_marca_alcance_feminino_universa-uol_display_superbanner_ros_rasteiras_funcional_cpm_728x90_111340</t>
  </si>
  <si>
    <t>251710241</t>
  </si>
  <si>
    <t>448092557</t>
  </si>
  <si>
    <t>alp_marca_alcance_feminino_universa-uol_display_superheader-mobile_ros_rasteiras_fashion_cpm_320x100_111341</t>
  </si>
  <si>
    <t>252177547</t>
  </si>
  <si>
    <t>448240193</t>
  </si>
  <si>
    <t>alp_marca_engajamentos_feminino_universa-uol_conteudo-veiculo_publieditorial_ros_rasteiras-you_all_cpm_no-size_111291</t>
  </si>
  <si>
    <t>250145917</t>
  </si>
  <si>
    <t>446267201</t>
  </si>
  <si>
    <t>alp_marca_engajamentos_feminino_universa-uol_conteudo-veiculo_publieditorial_ros_rasteiras-you_all_cpm_no-size_111298</t>
  </si>
  <si>
    <t>250145896</t>
  </si>
  <si>
    <t>446267180</t>
  </si>
  <si>
    <t>alp_marca_engajamentos_feminino_universa-uol_conteudo-veiculo_publieditorial_ros_rasteiras-you_all_cpm_no-size_111301</t>
  </si>
  <si>
    <t>250138987</t>
  </si>
  <si>
    <t>446267171</t>
  </si>
  <si>
    <t>alp_marca_engajamentos_feminino_universa-uol_conteudo-veiculo_publieditorial_ros_rasteiras-you_all_cpm_no-size_111303</t>
  </si>
  <si>
    <t>250138981</t>
  </si>
  <si>
    <t>446267165</t>
  </si>
  <si>
    <t>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</si>
</sst>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A2" sqref="A2:J401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576</v>
      </c>
      <c r="C2" s="19" t="s">
        <v>577</v>
      </c>
      <c r="D2" s="19" t="s">
        <v>578</v>
      </c>
      <c r="E2" s="20" t="s">
        <v>32</v>
      </c>
      <c r="F2" s="19" t="s">
        <v>577</v>
      </c>
      <c r="G2" s="19" t="s">
        <v>579</v>
      </c>
      <c r="H2" s="19" t="s">
        <v>32</v>
      </c>
      <c r="I2" s="26">
        <v>0</v>
      </c>
      <c r="J2">
        <v>6</v>
      </c>
      <c r="K2" s="1"/>
    </row>
    <row r="3" spans="1:11">
      <c r="A3" s="17" t="s">
        <v>52</v>
      </c>
      <c r="B3" s="19" t="s">
        <v>576</v>
      </c>
      <c r="C3" s="19" t="s">
        <v>580</v>
      </c>
      <c r="D3" s="19" t="s">
        <v>581</v>
      </c>
      <c r="E3" s="20" t="s">
        <v>32</v>
      </c>
      <c r="F3" s="19" t="s">
        <v>580</v>
      </c>
      <c r="G3" s="19" t="s">
        <v>582</v>
      </c>
      <c r="H3" s="19" t="s">
        <v>32</v>
      </c>
      <c r="I3">
        <v>0</v>
      </c>
      <c r="J3">
        <v>8</v>
      </c>
      <c r="K3" s="1"/>
    </row>
    <row r="4" spans="1:11">
      <c r="A4" s="17" t="s">
        <v>52</v>
      </c>
      <c r="B4" s="19" t="s">
        <v>576</v>
      </c>
      <c r="C4" s="19" t="s">
        <v>583</v>
      </c>
      <c r="D4" s="19" t="s">
        <v>584</v>
      </c>
      <c r="E4" s="20" t="s">
        <v>32</v>
      </c>
      <c r="F4" s="19" t="s">
        <v>583</v>
      </c>
      <c r="G4" s="19" t="s">
        <v>585</v>
      </c>
      <c r="H4" s="19" t="s">
        <v>32</v>
      </c>
      <c r="I4">
        <v>0</v>
      </c>
      <c r="J4">
        <v>6</v>
      </c>
      <c r="K4" s="1"/>
    </row>
    <row r="5" spans="1:11">
      <c r="A5" s="17" t="s">
        <v>52</v>
      </c>
      <c r="B5" s="19" t="s">
        <v>80</v>
      </c>
      <c r="C5" s="19" t="s">
        <v>81</v>
      </c>
      <c r="D5" s="19" t="s">
        <v>82</v>
      </c>
      <c r="E5" s="20" t="s">
        <v>32</v>
      </c>
      <c r="F5" s="19" t="s">
        <v>81</v>
      </c>
      <c r="G5" s="19" t="s">
        <v>83</v>
      </c>
      <c r="H5" s="19" t="s">
        <v>32</v>
      </c>
      <c r="I5">
        <v>3</v>
      </c>
      <c r="J5">
        <v>0</v>
      </c>
      <c r="K5" s="1"/>
    </row>
    <row r="6" spans="1:11">
      <c r="A6" s="17" t="s">
        <v>52</v>
      </c>
      <c r="B6" s="19" t="s">
        <v>85</v>
      </c>
      <c r="C6" s="19" t="s">
        <v>112</v>
      </c>
      <c r="D6" s="19" t="s">
        <v>113</v>
      </c>
      <c r="E6" s="20" t="s">
        <v>32</v>
      </c>
      <c r="F6" s="19" t="s">
        <v>112</v>
      </c>
      <c r="G6" s="19" t="s">
        <v>114</v>
      </c>
      <c r="H6" s="19" t="s">
        <v>32</v>
      </c>
      <c r="I6" s="26">
        <v>8</v>
      </c>
      <c r="J6">
        <v>0</v>
      </c>
      <c r="K6" s="1"/>
    </row>
    <row r="7" spans="1:11">
      <c r="A7" s="17" t="s">
        <v>52</v>
      </c>
      <c r="B7" s="19" t="s">
        <v>85</v>
      </c>
      <c r="C7" s="19" t="s">
        <v>115</v>
      </c>
      <c r="D7" s="19" t="s">
        <v>116</v>
      </c>
      <c r="E7" s="20" t="s">
        <v>32</v>
      </c>
      <c r="F7" s="19" t="s">
        <v>115</v>
      </c>
      <c r="G7" s="19" t="s">
        <v>117</v>
      </c>
      <c r="H7" s="19" t="s">
        <v>32</v>
      </c>
      <c r="I7" s="26">
        <v>8</v>
      </c>
      <c r="J7">
        <v>0</v>
      </c>
      <c r="K7" s="1"/>
    </row>
    <row r="8" spans="1:11">
      <c r="A8" s="17" t="s">
        <v>52</v>
      </c>
      <c r="B8" s="19" t="s">
        <v>85</v>
      </c>
      <c r="C8" s="19" t="s">
        <v>118</v>
      </c>
      <c r="D8" s="19" t="s">
        <v>119</v>
      </c>
      <c r="E8" s="20" t="s">
        <v>32</v>
      </c>
      <c r="F8" s="19" t="s">
        <v>118</v>
      </c>
      <c r="G8" s="19" t="s">
        <v>120</v>
      </c>
      <c r="H8" s="19" t="s">
        <v>32</v>
      </c>
      <c r="I8" s="26">
        <v>8</v>
      </c>
      <c r="J8">
        <v>0</v>
      </c>
      <c r="K8" s="1"/>
    </row>
    <row r="9" spans="1:11">
      <c r="A9" s="17" t="s">
        <v>52</v>
      </c>
      <c r="B9" s="19" t="s">
        <v>85</v>
      </c>
      <c r="C9" s="19" t="s">
        <v>121</v>
      </c>
      <c r="D9" s="19" t="s">
        <v>122</v>
      </c>
      <c r="E9" s="20" t="s">
        <v>32</v>
      </c>
      <c r="F9" s="19" t="s">
        <v>121</v>
      </c>
      <c r="G9" s="19" t="s">
        <v>123</v>
      </c>
      <c r="H9" s="19" t="s">
        <v>32</v>
      </c>
      <c r="I9" s="26">
        <v>8</v>
      </c>
      <c r="J9">
        <v>0</v>
      </c>
      <c r="K9" s="1"/>
    </row>
    <row r="10" spans="1:11">
      <c r="A10" s="17" t="s">
        <v>52</v>
      </c>
      <c r="B10" s="19" t="s">
        <v>85</v>
      </c>
      <c r="C10" s="19" t="s">
        <v>124</v>
      </c>
      <c r="D10" s="19" t="s">
        <v>125</v>
      </c>
      <c r="E10" s="20" t="s">
        <v>32</v>
      </c>
      <c r="F10" s="19" t="s">
        <v>124</v>
      </c>
      <c r="G10" s="19" t="s">
        <v>126</v>
      </c>
      <c r="H10" s="19" t="s">
        <v>32</v>
      </c>
      <c r="I10" s="26">
        <v>8</v>
      </c>
      <c r="J10">
        <v>1</v>
      </c>
      <c r="K10" s="1"/>
    </row>
    <row r="11" spans="1:11">
      <c r="A11" s="17" t="s">
        <v>52</v>
      </c>
      <c r="B11" s="19" t="s">
        <v>85</v>
      </c>
      <c r="C11" s="19" t="s">
        <v>127</v>
      </c>
      <c r="D11" s="19" t="s">
        <v>128</v>
      </c>
      <c r="E11" s="20" t="s">
        <v>32</v>
      </c>
      <c r="F11" s="19" t="s">
        <v>127</v>
      </c>
      <c r="G11" s="19" t="s">
        <v>129</v>
      </c>
      <c r="H11" s="19" t="s">
        <v>32</v>
      </c>
      <c r="I11" s="26">
        <v>8</v>
      </c>
      <c r="J11">
        <v>0</v>
      </c>
      <c r="K11" s="1"/>
    </row>
    <row r="12" spans="1:11">
      <c r="A12" s="17" t="s">
        <v>52</v>
      </c>
      <c r="B12" s="19" t="s">
        <v>85</v>
      </c>
      <c r="C12" s="19" t="s">
        <v>130</v>
      </c>
      <c r="D12" s="19" t="s">
        <v>131</v>
      </c>
      <c r="E12" s="20" t="s">
        <v>32</v>
      </c>
      <c r="F12" s="19" t="s">
        <v>130</v>
      </c>
      <c r="G12" s="19" t="s">
        <v>132</v>
      </c>
      <c r="H12" s="19" t="s">
        <v>32</v>
      </c>
      <c r="I12" s="26">
        <v>8</v>
      </c>
      <c r="J12">
        <v>0</v>
      </c>
      <c r="K12" s="1"/>
    </row>
    <row r="13" spans="1:11">
      <c r="A13" s="17" t="s">
        <v>52</v>
      </c>
      <c r="B13" s="19" t="s">
        <v>85</v>
      </c>
      <c r="C13" s="19" t="s">
        <v>133</v>
      </c>
      <c r="D13" s="19" t="s">
        <v>134</v>
      </c>
      <c r="E13" s="20" t="s">
        <v>32</v>
      </c>
      <c r="F13" s="19" t="s">
        <v>133</v>
      </c>
      <c r="G13" s="19" t="s">
        <v>135</v>
      </c>
      <c r="H13" s="19" t="s">
        <v>32</v>
      </c>
      <c r="I13" s="26">
        <v>8</v>
      </c>
      <c r="J13">
        <v>0</v>
      </c>
      <c r="K13" s="1"/>
    </row>
    <row r="14" spans="1:11">
      <c r="A14" s="17" t="s">
        <v>52</v>
      </c>
      <c r="B14" s="19" t="s">
        <v>85</v>
      </c>
      <c r="C14" s="19" t="s">
        <v>136</v>
      </c>
      <c r="D14" s="19" t="s">
        <v>137</v>
      </c>
      <c r="E14" s="20" t="s">
        <v>32</v>
      </c>
      <c r="F14" s="19" t="s">
        <v>136</v>
      </c>
      <c r="G14" s="19" t="s">
        <v>138</v>
      </c>
      <c r="H14" s="19" t="s">
        <v>32</v>
      </c>
      <c r="I14" s="26">
        <v>8</v>
      </c>
      <c r="J14">
        <v>0</v>
      </c>
      <c r="K14" s="1"/>
    </row>
    <row r="15" spans="1:11">
      <c r="A15" s="17" t="s">
        <v>52</v>
      </c>
      <c r="B15" s="19" t="s">
        <v>85</v>
      </c>
      <c r="C15" s="19" t="s">
        <v>139</v>
      </c>
      <c r="D15" s="19" t="s">
        <v>140</v>
      </c>
      <c r="E15" s="20" t="s">
        <v>32</v>
      </c>
      <c r="F15" s="19" t="s">
        <v>139</v>
      </c>
      <c r="G15" s="19" t="s">
        <v>141</v>
      </c>
      <c r="H15" s="19" t="s">
        <v>32</v>
      </c>
      <c r="I15" s="26">
        <v>8</v>
      </c>
      <c r="J15">
        <v>0</v>
      </c>
      <c r="K15" s="1"/>
    </row>
    <row r="16" spans="1:11">
      <c r="A16" s="17" t="s">
        <v>52</v>
      </c>
      <c r="B16" s="19" t="s">
        <v>85</v>
      </c>
      <c r="C16" s="19" t="s">
        <v>142</v>
      </c>
      <c r="D16" s="19" t="s">
        <v>143</v>
      </c>
      <c r="E16" s="20" t="s">
        <v>32</v>
      </c>
      <c r="F16" s="19" t="s">
        <v>142</v>
      </c>
      <c r="G16" s="19" t="s">
        <v>144</v>
      </c>
      <c r="H16" s="19" t="s">
        <v>32</v>
      </c>
      <c r="I16" s="26">
        <v>8</v>
      </c>
      <c r="J16">
        <v>0</v>
      </c>
      <c r="K16" s="1"/>
    </row>
    <row r="17" spans="1:11">
      <c r="A17" s="17" t="s">
        <v>52</v>
      </c>
      <c r="B17" s="19" t="s">
        <v>85</v>
      </c>
      <c r="C17" s="19" t="s">
        <v>145</v>
      </c>
      <c r="D17" s="19" t="s">
        <v>146</v>
      </c>
      <c r="E17" s="20" t="s">
        <v>32</v>
      </c>
      <c r="F17" s="19" t="s">
        <v>145</v>
      </c>
      <c r="G17" s="19" t="s">
        <v>147</v>
      </c>
      <c r="H17" s="19" t="s">
        <v>32</v>
      </c>
      <c r="I17" s="26">
        <v>8</v>
      </c>
      <c r="J17">
        <v>0</v>
      </c>
      <c r="K17" s="1"/>
    </row>
    <row r="18" spans="1:11">
      <c r="A18" s="17" t="s">
        <v>52</v>
      </c>
      <c r="B18" s="19" t="s">
        <v>85</v>
      </c>
      <c r="C18" s="19" t="s">
        <v>148</v>
      </c>
      <c r="D18" s="19" t="s">
        <v>149</v>
      </c>
      <c r="E18" s="20" t="s">
        <v>32</v>
      </c>
      <c r="F18" s="19" t="s">
        <v>148</v>
      </c>
      <c r="G18" s="19" t="s">
        <v>150</v>
      </c>
      <c r="H18" s="19" t="s">
        <v>32</v>
      </c>
      <c r="I18" s="26">
        <v>8</v>
      </c>
      <c r="J18">
        <v>0</v>
      </c>
      <c r="K18" s="1"/>
    </row>
    <row r="19" spans="1:11">
      <c r="A19" s="17" t="s">
        <v>52</v>
      </c>
      <c r="B19" s="19" t="s">
        <v>53</v>
      </c>
      <c r="C19" s="19" t="s">
        <v>586</v>
      </c>
      <c r="D19" s="19" t="s">
        <v>587</v>
      </c>
      <c r="E19" s="20" t="s">
        <v>32</v>
      </c>
      <c r="F19" s="19" t="s">
        <v>586</v>
      </c>
      <c r="G19" s="19" t="s">
        <v>588</v>
      </c>
      <c r="H19" s="19" t="s">
        <v>32</v>
      </c>
      <c r="I19" s="26">
        <v>0</v>
      </c>
      <c r="J19">
        <v>29</v>
      </c>
      <c r="K19" s="1"/>
    </row>
    <row r="20" spans="1:11">
      <c r="A20" s="17" t="s">
        <v>52</v>
      </c>
      <c r="B20" s="19" t="s">
        <v>53</v>
      </c>
      <c r="C20" s="19" t="s">
        <v>589</v>
      </c>
      <c r="D20" s="19" t="s">
        <v>590</v>
      </c>
      <c r="E20" s="20" t="s">
        <v>32</v>
      </c>
      <c r="F20" s="19" t="s">
        <v>589</v>
      </c>
      <c r="G20" s="19" t="s">
        <v>591</v>
      </c>
      <c r="H20" s="19" t="s">
        <v>32</v>
      </c>
      <c r="I20" s="26">
        <v>0</v>
      </c>
      <c r="J20">
        <v>7</v>
      </c>
      <c r="K20" s="1"/>
    </row>
    <row r="21" spans="1:11">
      <c r="A21" s="17" t="s">
        <v>52</v>
      </c>
      <c r="B21" s="19" t="s">
        <v>53</v>
      </c>
      <c r="C21" s="19" t="s">
        <v>592</v>
      </c>
      <c r="D21" s="19" t="s">
        <v>593</v>
      </c>
      <c r="E21" s="20" t="s">
        <v>32</v>
      </c>
      <c r="F21" s="19" t="s">
        <v>592</v>
      </c>
      <c r="G21" s="19" t="s">
        <v>594</v>
      </c>
      <c r="H21" s="19" t="s">
        <v>32</v>
      </c>
      <c r="I21" s="26">
        <v>0</v>
      </c>
      <c r="J21">
        <v>1</v>
      </c>
      <c r="K21" s="1"/>
    </row>
    <row r="22" spans="1:11">
      <c r="A22" s="17" t="s">
        <v>52</v>
      </c>
      <c r="B22" s="19" t="s">
        <v>53</v>
      </c>
      <c r="C22" s="19" t="s">
        <v>595</v>
      </c>
      <c r="D22" s="19" t="s">
        <v>596</v>
      </c>
      <c r="E22" s="20" t="s">
        <v>32</v>
      </c>
      <c r="F22" s="19" t="s">
        <v>595</v>
      </c>
      <c r="G22" s="19" t="s">
        <v>597</v>
      </c>
      <c r="H22" s="19" t="s">
        <v>32</v>
      </c>
      <c r="I22" s="26">
        <v>0</v>
      </c>
      <c r="J22">
        <v>4</v>
      </c>
      <c r="K22" s="1"/>
    </row>
    <row r="23" spans="1:11">
      <c r="A23" s="17" t="s">
        <v>52</v>
      </c>
      <c r="B23" s="19" t="s">
        <v>53</v>
      </c>
      <c r="C23" s="19" t="s">
        <v>598</v>
      </c>
      <c r="D23" s="19" t="s">
        <v>599</v>
      </c>
      <c r="E23" s="20" t="s">
        <v>32</v>
      </c>
      <c r="F23" s="19" t="s">
        <v>598</v>
      </c>
      <c r="G23" s="19" t="s">
        <v>600</v>
      </c>
      <c r="H23" s="19" t="s">
        <v>32</v>
      </c>
      <c r="I23" s="26">
        <v>0</v>
      </c>
      <c r="J23">
        <v>5</v>
      </c>
      <c r="K23" s="1"/>
    </row>
    <row r="24" spans="1:11">
      <c r="A24" s="17" t="s">
        <v>52</v>
      </c>
      <c r="B24" s="19" t="s">
        <v>53</v>
      </c>
      <c r="C24" s="19" t="s">
        <v>601</v>
      </c>
      <c r="D24" s="19" t="s">
        <v>602</v>
      </c>
      <c r="E24" s="20" t="s">
        <v>32</v>
      </c>
      <c r="F24" s="19" t="s">
        <v>601</v>
      </c>
      <c r="G24" s="19" t="s">
        <v>603</v>
      </c>
      <c r="H24" s="19" t="s">
        <v>32</v>
      </c>
      <c r="I24" s="26">
        <v>0</v>
      </c>
      <c r="J24">
        <v>1</v>
      </c>
      <c r="K24" s="1"/>
    </row>
    <row r="25" spans="1:11">
      <c r="A25" s="17" t="s">
        <v>52</v>
      </c>
      <c r="B25" s="19" t="s">
        <v>53</v>
      </c>
      <c r="C25" s="19" t="s">
        <v>604</v>
      </c>
      <c r="D25" s="19" t="s">
        <v>605</v>
      </c>
      <c r="E25" s="20" t="s">
        <v>32</v>
      </c>
      <c r="F25" s="19" t="s">
        <v>604</v>
      </c>
      <c r="G25" s="19" t="s">
        <v>606</v>
      </c>
      <c r="H25" s="19" t="s">
        <v>32</v>
      </c>
      <c r="I25" s="26">
        <v>0</v>
      </c>
      <c r="J25">
        <v>2</v>
      </c>
      <c r="K25" s="1"/>
    </row>
    <row r="26" spans="1:11">
      <c r="A26" s="17" t="s">
        <v>52</v>
      </c>
      <c r="B26" s="19" t="s">
        <v>53</v>
      </c>
      <c r="C26" s="19" t="s">
        <v>607</v>
      </c>
      <c r="D26" s="19" t="s">
        <v>608</v>
      </c>
      <c r="E26" s="20" t="s">
        <v>32</v>
      </c>
      <c r="F26" s="19" t="s">
        <v>607</v>
      </c>
      <c r="G26" s="19" t="s">
        <v>609</v>
      </c>
      <c r="H26" s="19" t="s">
        <v>32</v>
      </c>
      <c r="I26" s="26">
        <v>0</v>
      </c>
      <c r="J26">
        <v>1</v>
      </c>
      <c r="K26" s="1"/>
    </row>
    <row r="27" spans="1:11">
      <c r="A27" s="17" t="s">
        <v>52</v>
      </c>
      <c r="B27" s="19" t="s">
        <v>53</v>
      </c>
      <c r="C27" s="19" t="s">
        <v>610</v>
      </c>
      <c r="D27" s="19" t="s">
        <v>611</v>
      </c>
      <c r="E27" s="20" t="s">
        <v>32</v>
      </c>
      <c r="F27" s="19" t="s">
        <v>610</v>
      </c>
      <c r="G27" s="19" t="s">
        <v>612</v>
      </c>
      <c r="H27" s="19" t="s">
        <v>32</v>
      </c>
      <c r="I27" s="26">
        <v>0</v>
      </c>
      <c r="J27">
        <v>1</v>
      </c>
      <c r="K27" s="1"/>
    </row>
    <row r="28" spans="1:11">
      <c r="A28" s="17" t="s">
        <v>52</v>
      </c>
      <c r="B28" s="19" t="s">
        <v>53</v>
      </c>
      <c r="C28" s="19" t="s">
        <v>613</v>
      </c>
      <c r="D28" s="19" t="s">
        <v>614</v>
      </c>
      <c r="E28" s="20" t="s">
        <v>32</v>
      </c>
      <c r="F28" s="19" t="s">
        <v>613</v>
      </c>
      <c r="G28" s="19" t="s">
        <v>615</v>
      </c>
      <c r="H28" s="19" t="s">
        <v>32</v>
      </c>
      <c r="I28" s="26">
        <v>0</v>
      </c>
      <c r="J28">
        <v>1</v>
      </c>
      <c r="K28" s="1"/>
    </row>
    <row r="29" spans="1:11">
      <c r="A29" s="17" t="s">
        <v>52</v>
      </c>
      <c r="B29" s="19" t="s">
        <v>53</v>
      </c>
      <c r="C29" s="19" t="s">
        <v>616</v>
      </c>
      <c r="D29" s="19" t="s">
        <v>617</v>
      </c>
      <c r="E29" s="20" t="s">
        <v>32</v>
      </c>
      <c r="F29" s="19" t="s">
        <v>616</v>
      </c>
      <c r="G29" s="19" t="s">
        <v>618</v>
      </c>
      <c r="H29" s="19" t="s">
        <v>32</v>
      </c>
      <c r="I29" s="26">
        <v>0</v>
      </c>
      <c r="J29">
        <v>1</v>
      </c>
      <c r="K29" s="1"/>
    </row>
    <row r="30" spans="1:11">
      <c r="A30" s="17" t="s">
        <v>52</v>
      </c>
      <c r="B30" s="19" t="s">
        <v>53</v>
      </c>
      <c r="C30" s="19" t="s">
        <v>619</v>
      </c>
      <c r="D30" s="19" t="s">
        <v>620</v>
      </c>
      <c r="E30" s="20" t="s">
        <v>32</v>
      </c>
      <c r="F30" s="19" t="s">
        <v>619</v>
      </c>
      <c r="G30" s="19" t="s">
        <v>621</v>
      </c>
      <c r="H30" s="19" t="s">
        <v>32</v>
      </c>
      <c r="I30" s="26">
        <v>0</v>
      </c>
      <c r="J30">
        <v>1</v>
      </c>
      <c r="K30" s="1"/>
    </row>
    <row r="31" spans="1:11">
      <c r="A31" s="17" t="s">
        <v>52</v>
      </c>
      <c r="B31" s="19" t="s">
        <v>53</v>
      </c>
      <c r="C31" s="19" t="s">
        <v>622</v>
      </c>
      <c r="D31" s="19" t="s">
        <v>623</v>
      </c>
      <c r="E31" s="20" t="s">
        <v>32</v>
      </c>
      <c r="F31" s="19" t="s">
        <v>622</v>
      </c>
      <c r="G31" s="19" t="s">
        <v>624</v>
      </c>
      <c r="H31" s="19" t="s">
        <v>32</v>
      </c>
      <c r="I31" s="26">
        <v>0</v>
      </c>
      <c r="J31">
        <v>1</v>
      </c>
      <c r="K31" s="1"/>
    </row>
    <row r="32" spans="1:11">
      <c r="A32" s="17" t="s">
        <v>52</v>
      </c>
      <c r="B32" s="19" t="s">
        <v>53</v>
      </c>
      <c r="C32" s="19" t="s">
        <v>625</v>
      </c>
      <c r="D32" s="19" t="s">
        <v>626</v>
      </c>
      <c r="E32" s="20" t="s">
        <v>32</v>
      </c>
      <c r="F32" s="19" t="s">
        <v>625</v>
      </c>
      <c r="G32" s="19" t="s">
        <v>627</v>
      </c>
      <c r="H32" s="19" t="s">
        <v>32</v>
      </c>
      <c r="I32" s="26">
        <v>0</v>
      </c>
      <c r="J32">
        <v>1</v>
      </c>
      <c r="K32" s="1"/>
    </row>
    <row r="33" spans="1:11">
      <c r="A33" s="17" t="s">
        <v>52</v>
      </c>
      <c r="B33" s="19" t="s">
        <v>53</v>
      </c>
      <c r="C33" s="19" t="s">
        <v>628</v>
      </c>
      <c r="D33" s="19" t="s">
        <v>629</v>
      </c>
      <c r="E33" s="20" t="s">
        <v>32</v>
      </c>
      <c r="F33" s="19" t="s">
        <v>628</v>
      </c>
      <c r="G33" s="19" t="s">
        <v>630</v>
      </c>
      <c r="H33" s="19" t="s">
        <v>32</v>
      </c>
      <c r="I33" s="26">
        <v>0</v>
      </c>
      <c r="J33">
        <v>2</v>
      </c>
      <c r="K33" s="1"/>
    </row>
    <row r="34" spans="1:11">
      <c r="A34" s="17" t="s">
        <v>52</v>
      </c>
      <c r="B34" s="19" t="s">
        <v>53</v>
      </c>
      <c r="C34" s="19" t="s">
        <v>631</v>
      </c>
      <c r="D34" s="19" t="s">
        <v>632</v>
      </c>
      <c r="E34" s="20" t="s">
        <v>32</v>
      </c>
      <c r="F34" s="19" t="s">
        <v>631</v>
      </c>
      <c r="G34" s="19" t="s">
        <v>633</v>
      </c>
      <c r="H34" s="19" t="s">
        <v>32</v>
      </c>
      <c r="I34" s="26">
        <v>0</v>
      </c>
      <c r="J34">
        <v>6</v>
      </c>
      <c r="K34" s="1"/>
    </row>
    <row r="35" spans="1:11">
      <c r="A35" s="17" t="s">
        <v>52</v>
      </c>
      <c r="B35" s="19" t="s">
        <v>53</v>
      </c>
      <c r="C35" s="19" t="s">
        <v>634</v>
      </c>
      <c r="D35" s="19" t="s">
        <v>635</v>
      </c>
      <c r="E35" s="20" t="s">
        <v>32</v>
      </c>
      <c r="F35" s="19" t="s">
        <v>634</v>
      </c>
      <c r="G35" s="19" t="s">
        <v>636</v>
      </c>
      <c r="H35" s="19" t="s">
        <v>32</v>
      </c>
      <c r="I35" s="26">
        <v>0</v>
      </c>
      <c r="J35">
        <v>2</v>
      </c>
      <c r="K35" s="1"/>
    </row>
    <row r="36" spans="1:11">
      <c r="A36" s="17" t="s">
        <v>52</v>
      </c>
      <c r="B36" s="19" t="s">
        <v>53</v>
      </c>
      <c r="C36" s="19" t="s">
        <v>637</v>
      </c>
      <c r="D36" s="19" t="s">
        <v>638</v>
      </c>
      <c r="E36" s="20" t="s">
        <v>32</v>
      </c>
      <c r="F36" s="19" t="s">
        <v>637</v>
      </c>
      <c r="G36" s="19" t="s">
        <v>639</v>
      </c>
      <c r="H36" s="19" t="s">
        <v>32</v>
      </c>
      <c r="I36" s="26">
        <v>0</v>
      </c>
      <c r="J36">
        <v>1</v>
      </c>
      <c r="K36" s="1"/>
    </row>
    <row r="37" spans="1:11">
      <c r="A37" s="17" t="s">
        <v>52</v>
      </c>
      <c r="B37" s="19" t="s">
        <v>53</v>
      </c>
      <c r="C37" s="19" t="s">
        <v>640</v>
      </c>
      <c r="D37" s="19" t="s">
        <v>641</v>
      </c>
      <c r="E37" s="20" t="s">
        <v>32</v>
      </c>
      <c r="F37" s="19" t="s">
        <v>640</v>
      </c>
      <c r="G37" s="19" t="s">
        <v>642</v>
      </c>
      <c r="H37" s="19" t="s">
        <v>32</v>
      </c>
      <c r="I37" s="26">
        <v>0</v>
      </c>
      <c r="J37">
        <v>1</v>
      </c>
      <c r="K37" s="1"/>
    </row>
    <row r="38" spans="1:11">
      <c r="A38" s="17" t="s">
        <v>52</v>
      </c>
      <c r="B38" s="19" t="s">
        <v>53</v>
      </c>
      <c r="C38" s="19" t="s">
        <v>643</v>
      </c>
      <c r="D38" s="19" t="s">
        <v>644</v>
      </c>
      <c r="E38" s="20" t="s">
        <v>32</v>
      </c>
      <c r="F38" s="19" t="s">
        <v>643</v>
      </c>
      <c r="G38" s="19" t="s">
        <v>645</v>
      </c>
      <c r="H38" s="19" t="s">
        <v>32</v>
      </c>
      <c r="I38" s="26">
        <v>0</v>
      </c>
      <c r="J38">
        <v>1</v>
      </c>
      <c r="K38" s="1"/>
    </row>
    <row r="39" spans="1:11">
      <c r="A39" s="17" t="s">
        <v>52</v>
      </c>
      <c r="B39" s="19" t="s">
        <v>53</v>
      </c>
      <c r="C39" s="19" t="s">
        <v>285</v>
      </c>
      <c r="D39" s="19" t="s">
        <v>286</v>
      </c>
      <c r="E39" s="20" t="s">
        <v>32</v>
      </c>
      <c r="F39" s="19" t="s">
        <v>285</v>
      </c>
      <c r="G39" s="19" t="s">
        <v>287</v>
      </c>
      <c r="H39" s="19" t="s">
        <v>32</v>
      </c>
      <c r="I39" s="26">
        <v>0</v>
      </c>
      <c r="J39">
        <v>37</v>
      </c>
      <c r="K39" s="1"/>
    </row>
    <row r="40" spans="1:11">
      <c r="A40" s="17" t="s">
        <v>52</v>
      </c>
      <c r="B40" s="19" t="s">
        <v>53</v>
      </c>
      <c r="C40" s="19" t="s">
        <v>288</v>
      </c>
      <c r="D40" s="19" t="s">
        <v>289</v>
      </c>
      <c r="E40" s="20" t="s">
        <v>32</v>
      </c>
      <c r="F40" s="19" t="s">
        <v>288</v>
      </c>
      <c r="G40" s="19" t="s">
        <v>290</v>
      </c>
      <c r="H40" s="19" t="s">
        <v>32</v>
      </c>
      <c r="I40" s="26">
        <v>0</v>
      </c>
      <c r="J40">
        <v>93</v>
      </c>
      <c r="K40" s="1"/>
    </row>
    <row r="41" spans="1:11">
      <c r="A41" s="17" t="s">
        <v>52</v>
      </c>
      <c r="B41" s="19" t="s">
        <v>53</v>
      </c>
      <c r="C41" s="19" t="s">
        <v>291</v>
      </c>
      <c r="D41" s="19" t="s">
        <v>292</v>
      </c>
      <c r="E41" s="20" t="s">
        <v>32</v>
      </c>
      <c r="F41" s="19" t="s">
        <v>291</v>
      </c>
      <c r="G41" s="19" t="s">
        <v>293</v>
      </c>
      <c r="H41" s="19" t="s">
        <v>32</v>
      </c>
      <c r="I41" s="26">
        <v>0</v>
      </c>
      <c r="J41">
        <v>941</v>
      </c>
      <c r="K41" s="1"/>
    </row>
    <row r="42" spans="1:11">
      <c r="A42" s="17" t="s">
        <v>52</v>
      </c>
      <c r="B42" s="19" t="s">
        <v>53</v>
      </c>
      <c r="C42" s="19" t="s">
        <v>294</v>
      </c>
      <c r="D42" s="19" t="s">
        <v>295</v>
      </c>
      <c r="E42" s="20" t="s">
        <v>32</v>
      </c>
      <c r="F42" s="19" t="s">
        <v>294</v>
      </c>
      <c r="G42" s="19" t="s">
        <v>296</v>
      </c>
      <c r="H42" s="19" t="s">
        <v>32</v>
      </c>
      <c r="I42" s="26">
        <v>0</v>
      </c>
      <c r="J42">
        <v>782</v>
      </c>
      <c r="K42" s="1"/>
    </row>
    <row r="43" spans="1:11">
      <c r="A43" s="17" t="s">
        <v>52</v>
      </c>
      <c r="B43" s="19" t="s">
        <v>53</v>
      </c>
      <c r="C43" s="19" t="s">
        <v>151</v>
      </c>
      <c r="D43" s="19" t="s">
        <v>152</v>
      </c>
      <c r="E43" s="20" t="s">
        <v>32</v>
      </c>
      <c r="F43" s="19" t="s">
        <v>151</v>
      </c>
      <c r="G43" s="19" t="s">
        <v>153</v>
      </c>
      <c r="H43" s="19" t="s">
        <v>32</v>
      </c>
      <c r="I43" s="26">
        <v>0</v>
      </c>
      <c r="J43">
        <v>2055</v>
      </c>
      <c r="K43" s="1"/>
    </row>
    <row r="44" spans="1:11">
      <c r="A44" s="17" t="s">
        <v>52</v>
      </c>
      <c r="B44" s="19" t="s">
        <v>53</v>
      </c>
      <c r="C44" s="19" t="s">
        <v>646</v>
      </c>
      <c r="D44" s="19" t="s">
        <v>647</v>
      </c>
      <c r="E44" s="20" t="s">
        <v>32</v>
      </c>
      <c r="F44" s="19" t="s">
        <v>646</v>
      </c>
      <c r="G44" s="19" t="s">
        <v>648</v>
      </c>
      <c r="H44" s="19" t="s">
        <v>32</v>
      </c>
      <c r="I44" s="26">
        <v>0</v>
      </c>
      <c r="J44">
        <v>17</v>
      </c>
      <c r="K44" s="1"/>
    </row>
    <row r="45" spans="1:11">
      <c r="A45" s="17" t="s">
        <v>52</v>
      </c>
      <c r="B45" s="19" t="s">
        <v>53</v>
      </c>
      <c r="C45" s="19" t="s">
        <v>649</v>
      </c>
      <c r="D45" s="19" t="s">
        <v>650</v>
      </c>
      <c r="E45" s="20" t="s">
        <v>32</v>
      </c>
      <c r="F45" s="19" t="s">
        <v>649</v>
      </c>
      <c r="G45" s="19" t="s">
        <v>651</v>
      </c>
      <c r="H45" s="19" t="s">
        <v>32</v>
      </c>
      <c r="I45" s="26">
        <v>0</v>
      </c>
      <c r="J45">
        <v>187</v>
      </c>
      <c r="K45" s="1"/>
    </row>
    <row r="46" spans="1:11">
      <c r="A46" s="17" t="s">
        <v>52</v>
      </c>
      <c r="B46" s="19" t="s">
        <v>53</v>
      </c>
      <c r="C46" s="19" t="s">
        <v>154</v>
      </c>
      <c r="D46" s="19" t="s">
        <v>155</v>
      </c>
      <c r="E46" s="20" t="s">
        <v>32</v>
      </c>
      <c r="F46" s="19" t="s">
        <v>154</v>
      </c>
      <c r="G46" s="19" t="s">
        <v>156</v>
      </c>
      <c r="H46" s="19" t="s">
        <v>32</v>
      </c>
      <c r="I46" s="26">
        <v>0</v>
      </c>
      <c r="J46">
        <v>3</v>
      </c>
      <c r="K46" s="1"/>
    </row>
    <row r="47" spans="1:11">
      <c r="A47" s="17" t="s">
        <v>52</v>
      </c>
      <c r="B47" s="19" t="s">
        <v>53</v>
      </c>
      <c r="C47" s="19" t="s">
        <v>652</v>
      </c>
      <c r="D47" s="19" t="s">
        <v>653</v>
      </c>
      <c r="E47" s="20" t="s">
        <v>32</v>
      </c>
      <c r="F47" s="19" t="s">
        <v>652</v>
      </c>
      <c r="G47" s="19" t="s">
        <v>654</v>
      </c>
      <c r="H47" s="19" t="s">
        <v>32</v>
      </c>
      <c r="I47" s="26">
        <v>0</v>
      </c>
      <c r="J47">
        <v>1</v>
      </c>
      <c r="K47" s="1"/>
    </row>
    <row r="48" spans="1:11">
      <c r="A48" s="17" t="s">
        <v>52</v>
      </c>
      <c r="B48" s="19" t="s">
        <v>53</v>
      </c>
      <c r="C48" s="19" t="s">
        <v>157</v>
      </c>
      <c r="D48" s="19" t="s">
        <v>158</v>
      </c>
      <c r="E48" s="20" t="s">
        <v>32</v>
      </c>
      <c r="F48" s="19" t="s">
        <v>157</v>
      </c>
      <c r="G48" s="19" t="s">
        <v>159</v>
      </c>
      <c r="H48" s="19" t="s">
        <v>32</v>
      </c>
      <c r="I48" s="26">
        <v>0</v>
      </c>
      <c r="J48">
        <v>3</v>
      </c>
      <c r="K48" s="1"/>
    </row>
    <row r="49" spans="1:11">
      <c r="A49" s="17" t="s">
        <v>52</v>
      </c>
      <c r="B49" s="19" t="s">
        <v>53</v>
      </c>
      <c r="C49" s="19" t="s">
        <v>655</v>
      </c>
      <c r="D49" s="19" t="s">
        <v>656</v>
      </c>
      <c r="E49" s="20" t="s">
        <v>32</v>
      </c>
      <c r="F49" s="19" t="s">
        <v>655</v>
      </c>
      <c r="G49" s="19" t="s">
        <v>657</v>
      </c>
      <c r="H49" s="19" t="s">
        <v>32</v>
      </c>
      <c r="I49" s="26">
        <v>0</v>
      </c>
      <c r="J49">
        <v>1</v>
      </c>
      <c r="K49" s="1"/>
    </row>
    <row r="50" spans="1:11">
      <c r="A50" s="17" t="s">
        <v>52</v>
      </c>
      <c r="B50" s="19" t="s">
        <v>53</v>
      </c>
      <c r="C50" s="19" t="s">
        <v>160</v>
      </c>
      <c r="D50" s="19" t="s">
        <v>161</v>
      </c>
      <c r="E50" s="20" t="s">
        <v>32</v>
      </c>
      <c r="F50" s="19" t="s">
        <v>160</v>
      </c>
      <c r="G50" s="19" t="s">
        <v>162</v>
      </c>
      <c r="H50" s="19" t="s">
        <v>32</v>
      </c>
      <c r="I50" s="26">
        <v>0</v>
      </c>
      <c r="J50">
        <v>2</v>
      </c>
      <c r="K50" s="1"/>
    </row>
    <row r="51" spans="1:11">
      <c r="A51" s="17" t="s">
        <v>52</v>
      </c>
      <c r="B51" s="19" t="s">
        <v>53</v>
      </c>
      <c r="C51" s="19" t="s">
        <v>163</v>
      </c>
      <c r="D51" s="19" t="s">
        <v>164</v>
      </c>
      <c r="E51" s="20" t="s">
        <v>32</v>
      </c>
      <c r="F51" s="19" t="s">
        <v>163</v>
      </c>
      <c r="G51" s="19" t="s">
        <v>165</v>
      </c>
      <c r="H51" s="19" t="s">
        <v>32</v>
      </c>
      <c r="I51" s="26">
        <v>0</v>
      </c>
      <c r="J51">
        <v>25</v>
      </c>
      <c r="K51" s="1"/>
    </row>
    <row r="52" spans="1:11">
      <c r="A52" s="17" t="s">
        <v>52</v>
      </c>
      <c r="B52" s="19" t="s">
        <v>53</v>
      </c>
      <c r="C52" s="19" t="s">
        <v>658</v>
      </c>
      <c r="D52" s="19" t="s">
        <v>659</v>
      </c>
      <c r="E52" s="20" t="s">
        <v>32</v>
      </c>
      <c r="F52" s="19" t="s">
        <v>658</v>
      </c>
      <c r="G52" s="19" t="s">
        <v>660</v>
      </c>
      <c r="H52" s="19" t="s">
        <v>32</v>
      </c>
      <c r="I52" s="26">
        <v>0</v>
      </c>
      <c r="J52">
        <v>22</v>
      </c>
      <c r="K52" s="1"/>
    </row>
    <row r="53" spans="1:11">
      <c r="A53" s="17" t="s">
        <v>52</v>
      </c>
      <c r="B53" s="19" t="s">
        <v>53</v>
      </c>
      <c r="C53" s="19" t="s">
        <v>166</v>
      </c>
      <c r="D53" s="19" t="s">
        <v>167</v>
      </c>
      <c r="E53" s="20" t="s">
        <v>32</v>
      </c>
      <c r="F53" s="19" t="s">
        <v>166</v>
      </c>
      <c r="G53" s="19" t="s">
        <v>168</v>
      </c>
      <c r="H53" s="19" t="s">
        <v>32</v>
      </c>
      <c r="I53" s="26">
        <v>0</v>
      </c>
      <c r="J53">
        <v>2</v>
      </c>
      <c r="K53" s="1"/>
    </row>
    <row r="54" spans="1:11">
      <c r="A54" s="17" t="s">
        <v>52</v>
      </c>
      <c r="B54" s="19" t="s">
        <v>53</v>
      </c>
      <c r="C54" s="19" t="s">
        <v>297</v>
      </c>
      <c r="D54" s="19" t="s">
        <v>298</v>
      </c>
      <c r="E54" s="20" t="s">
        <v>32</v>
      </c>
      <c r="F54" s="19" t="s">
        <v>297</v>
      </c>
      <c r="G54" s="19" t="s">
        <v>299</v>
      </c>
      <c r="H54" s="19" t="s">
        <v>32</v>
      </c>
      <c r="I54" s="26">
        <v>0</v>
      </c>
      <c r="J54">
        <v>123</v>
      </c>
      <c r="K54" s="1"/>
    </row>
    <row r="55" spans="1:11">
      <c r="A55" s="17" t="s">
        <v>52</v>
      </c>
      <c r="B55" s="19" t="s">
        <v>53</v>
      </c>
      <c r="C55" s="19" t="s">
        <v>300</v>
      </c>
      <c r="D55" s="19" t="s">
        <v>301</v>
      </c>
      <c r="E55" s="20" t="s">
        <v>32</v>
      </c>
      <c r="F55" s="19" t="s">
        <v>300</v>
      </c>
      <c r="G55" s="19" t="s">
        <v>302</v>
      </c>
      <c r="H55" s="19" t="s">
        <v>32</v>
      </c>
      <c r="I55" s="26">
        <v>0</v>
      </c>
      <c r="J55">
        <v>2752</v>
      </c>
      <c r="K55" s="1"/>
    </row>
    <row r="56" spans="1:11">
      <c r="A56" s="17" t="s">
        <v>52</v>
      </c>
      <c r="B56" s="19" t="s">
        <v>53</v>
      </c>
      <c r="C56" s="19" t="s">
        <v>303</v>
      </c>
      <c r="D56" s="19" t="s">
        <v>304</v>
      </c>
      <c r="E56" s="20" t="s">
        <v>32</v>
      </c>
      <c r="F56" s="19" t="s">
        <v>303</v>
      </c>
      <c r="G56" s="19" t="s">
        <v>305</v>
      </c>
      <c r="H56" s="19" t="s">
        <v>32</v>
      </c>
      <c r="I56" s="26">
        <v>0</v>
      </c>
      <c r="J56">
        <v>2</v>
      </c>
      <c r="K56" s="1"/>
    </row>
    <row r="57" spans="1:11">
      <c r="A57" s="17" t="s">
        <v>52</v>
      </c>
      <c r="B57" s="19" t="s">
        <v>53</v>
      </c>
      <c r="C57" s="19" t="s">
        <v>306</v>
      </c>
      <c r="D57" s="19" t="s">
        <v>307</v>
      </c>
      <c r="E57" s="20" t="s">
        <v>32</v>
      </c>
      <c r="F57" s="19" t="s">
        <v>306</v>
      </c>
      <c r="G57" s="19" t="s">
        <v>308</v>
      </c>
      <c r="H57" s="19" t="s">
        <v>32</v>
      </c>
      <c r="I57" s="26">
        <v>0</v>
      </c>
      <c r="J57">
        <v>1</v>
      </c>
      <c r="K57" s="1"/>
    </row>
    <row r="58" spans="1:11">
      <c r="A58" s="17" t="s">
        <v>52</v>
      </c>
      <c r="B58" s="19" t="s">
        <v>53</v>
      </c>
      <c r="C58" s="19" t="s">
        <v>309</v>
      </c>
      <c r="D58" s="19" t="s">
        <v>310</v>
      </c>
      <c r="E58" s="20" t="s">
        <v>32</v>
      </c>
      <c r="F58" s="19" t="s">
        <v>309</v>
      </c>
      <c r="G58" s="19" t="s">
        <v>311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312</v>
      </c>
      <c r="D59" s="19" t="s">
        <v>313</v>
      </c>
      <c r="E59" s="20" t="s">
        <v>32</v>
      </c>
      <c r="F59" s="19" t="s">
        <v>312</v>
      </c>
      <c r="G59" s="19" t="s">
        <v>314</v>
      </c>
      <c r="H59" s="19" t="s">
        <v>32</v>
      </c>
      <c r="I59" s="26">
        <v>0</v>
      </c>
      <c r="J59">
        <v>14</v>
      </c>
      <c r="K59" s="1"/>
    </row>
    <row r="60" spans="1:11">
      <c r="A60" s="17" t="s">
        <v>52</v>
      </c>
      <c r="B60" s="19" t="s">
        <v>53</v>
      </c>
      <c r="C60" s="19" t="s">
        <v>315</v>
      </c>
      <c r="D60" s="19" t="s">
        <v>316</v>
      </c>
      <c r="E60" s="20" t="s">
        <v>32</v>
      </c>
      <c r="F60" s="19" t="s">
        <v>315</v>
      </c>
      <c r="G60" s="19" t="s">
        <v>317</v>
      </c>
      <c r="H60" s="19" t="s">
        <v>32</v>
      </c>
      <c r="I60" s="26">
        <v>0</v>
      </c>
      <c r="J60">
        <v>6</v>
      </c>
      <c r="K60" s="1"/>
    </row>
    <row r="61" spans="1:11">
      <c r="A61" s="17" t="s">
        <v>52</v>
      </c>
      <c r="B61" s="19" t="s">
        <v>53</v>
      </c>
      <c r="C61" s="19" t="s">
        <v>661</v>
      </c>
      <c r="D61" s="19" t="s">
        <v>662</v>
      </c>
      <c r="E61" s="20" t="s">
        <v>32</v>
      </c>
      <c r="F61" s="19" t="s">
        <v>661</v>
      </c>
      <c r="G61" s="19" t="s">
        <v>663</v>
      </c>
      <c r="H61" s="19" t="s">
        <v>32</v>
      </c>
      <c r="I61" s="26">
        <v>0</v>
      </c>
      <c r="J61">
        <v>1</v>
      </c>
      <c r="K61" s="1"/>
    </row>
    <row r="62" spans="1:11">
      <c r="A62" s="17" t="s">
        <v>52</v>
      </c>
      <c r="B62" s="19" t="s">
        <v>53</v>
      </c>
      <c r="C62" s="19" t="s">
        <v>664</v>
      </c>
      <c r="D62" s="19" t="s">
        <v>665</v>
      </c>
      <c r="E62" s="20" t="s">
        <v>32</v>
      </c>
      <c r="F62" s="19" t="s">
        <v>664</v>
      </c>
      <c r="G62" s="19" t="s">
        <v>666</v>
      </c>
      <c r="H62" s="19" t="s">
        <v>32</v>
      </c>
      <c r="I62" s="26">
        <v>0</v>
      </c>
      <c r="J62">
        <v>1</v>
      </c>
      <c r="K62" s="1"/>
    </row>
    <row r="63" spans="1:11">
      <c r="A63" s="17" t="s">
        <v>52</v>
      </c>
      <c r="B63" s="19" t="s">
        <v>53</v>
      </c>
      <c r="C63" s="19" t="s">
        <v>667</v>
      </c>
      <c r="D63" s="19" t="s">
        <v>668</v>
      </c>
      <c r="E63" s="20" t="s">
        <v>32</v>
      </c>
      <c r="F63" s="19" t="s">
        <v>667</v>
      </c>
      <c r="G63" s="19" t="s">
        <v>669</v>
      </c>
      <c r="H63" s="19" t="s">
        <v>32</v>
      </c>
      <c r="I63" s="26">
        <v>0</v>
      </c>
      <c r="J63">
        <v>1</v>
      </c>
      <c r="K63" s="1"/>
    </row>
    <row r="64" spans="1:11">
      <c r="A64" s="17" t="s">
        <v>52</v>
      </c>
      <c r="B64" s="19" t="s">
        <v>53</v>
      </c>
      <c r="C64" s="19" t="s">
        <v>670</v>
      </c>
      <c r="D64" s="19" t="s">
        <v>671</v>
      </c>
      <c r="E64" s="20" t="s">
        <v>32</v>
      </c>
      <c r="F64" s="19" t="s">
        <v>670</v>
      </c>
      <c r="G64" s="19" t="s">
        <v>672</v>
      </c>
      <c r="H64" s="19" t="s">
        <v>32</v>
      </c>
      <c r="I64" s="26">
        <v>0</v>
      </c>
      <c r="J64">
        <v>65</v>
      </c>
      <c r="K64" s="1"/>
    </row>
    <row r="65" spans="1:11">
      <c r="A65" s="17" t="s">
        <v>52</v>
      </c>
      <c r="B65" s="19" t="s">
        <v>53</v>
      </c>
      <c r="C65" s="19" t="s">
        <v>673</v>
      </c>
      <c r="D65" s="19" t="s">
        <v>674</v>
      </c>
      <c r="E65" s="20" t="s">
        <v>32</v>
      </c>
      <c r="F65" s="19" t="s">
        <v>673</v>
      </c>
      <c r="G65" s="19" t="s">
        <v>675</v>
      </c>
      <c r="H65" s="19" t="s">
        <v>32</v>
      </c>
      <c r="I65" s="26">
        <v>0</v>
      </c>
      <c r="J65">
        <v>2</v>
      </c>
      <c r="K65" s="1"/>
    </row>
    <row r="66" spans="1:11">
      <c r="A66" s="17" t="s">
        <v>52</v>
      </c>
      <c r="B66" s="19" t="s">
        <v>53</v>
      </c>
      <c r="C66" s="19" t="s">
        <v>676</v>
      </c>
      <c r="D66" s="19" t="s">
        <v>677</v>
      </c>
      <c r="E66" s="20" t="s">
        <v>32</v>
      </c>
      <c r="F66" s="19" t="s">
        <v>676</v>
      </c>
      <c r="G66" s="19" t="s">
        <v>678</v>
      </c>
      <c r="H66" s="19" t="s">
        <v>32</v>
      </c>
      <c r="I66" s="26">
        <v>0</v>
      </c>
      <c r="J66">
        <v>96</v>
      </c>
      <c r="K66" s="1"/>
    </row>
    <row r="67" spans="1:11">
      <c r="A67" s="17" t="s">
        <v>52</v>
      </c>
      <c r="B67" s="19" t="s">
        <v>53</v>
      </c>
      <c r="C67" s="19" t="s">
        <v>679</v>
      </c>
      <c r="D67" s="19" t="s">
        <v>680</v>
      </c>
      <c r="E67" s="20" t="s">
        <v>32</v>
      </c>
      <c r="F67" s="19" t="s">
        <v>679</v>
      </c>
      <c r="G67" s="19" t="s">
        <v>681</v>
      </c>
      <c r="H67" s="19" t="s">
        <v>32</v>
      </c>
      <c r="I67" s="26">
        <v>0</v>
      </c>
      <c r="J67">
        <v>2679</v>
      </c>
      <c r="K67" s="1"/>
    </row>
    <row r="68" spans="1:11">
      <c r="A68" s="17" t="s">
        <v>52</v>
      </c>
      <c r="B68" s="19" t="s">
        <v>53</v>
      </c>
      <c r="C68" s="19" t="s">
        <v>682</v>
      </c>
      <c r="D68" s="19" t="s">
        <v>683</v>
      </c>
      <c r="E68" s="20" t="s">
        <v>32</v>
      </c>
      <c r="F68" s="19" t="s">
        <v>682</v>
      </c>
      <c r="G68" s="19" t="s">
        <v>684</v>
      </c>
      <c r="H68" s="19" t="s">
        <v>32</v>
      </c>
      <c r="I68" s="26">
        <v>0</v>
      </c>
      <c r="J68">
        <v>16288</v>
      </c>
      <c r="K68" s="1"/>
    </row>
    <row r="69" spans="1:11">
      <c r="A69" s="17" t="s">
        <v>52</v>
      </c>
      <c r="B69" s="19" t="s">
        <v>53</v>
      </c>
      <c r="C69" s="19" t="s">
        <v>685</v>
      </c>
      <c r="D69" s="19" t="s">
        <v>686</v>
      </c>
      <c r="E69" s="20" t="s">
        <v>32</v>
      </c>
      <c r="F69" s="19" t="s">
        <v>685</v>
      </c>
      <c r="G69" s="19" t="s">
        <v>687</v>
      </c>
      <c r="H69" s="19" t="s">
        <v>32</v>
      </c>
      <c r="I69" s="26">
        <v>0</v>
      </c>
      <c r="J69">
        <v>142</v>
      </c>
      <c r="K69" s="1"/>
    </row>
    <row r="70" spans="1:11">
      <c r="A70" s="17" t="s">
        <v>52</v>
      </c>
      <c r="B70" s="19" t="s">
        <v>53</v>
      </c>
      <c r="C70" s="19" t="s">
        <v>688</v>
      </c>
      <c r="D70" s="19" t="s">
        <v>689</v>
      </c>
      <c r="E70" s="20" t="s">
        <v>32</v>
      </c>
      <c r="F70" s="19" t="s">
        <v>688</v>
      </c>
      <c r="G70" s="19" t="s">
        <v>690</v>
      </c>
      <c r="H70" s="19" t="s">
        <v>32</v>
      </c>
      <c r="I70" s="26">
        <v>0</v>
      </c>
      <c r="J70">
        <v>10</v>
      </c>
      <c r="K70" s="1"/>
    </row>
    <row r="71" spans="1:11">
      <c r="A71" s="17" t="s">
        <v>52</v>
      </c>
      <c r="B71" s="19" t="s">
        <v>53</v>
      </c>
      <c r="C71" s="19" t="s">
        <v>691</v>
      </c>
      <c r="D71" s="19" t="s">
        <v>692</v>
      </c>
      <c r="E71" s="20" t="s">
        <v>32</v>
      </c>
      <c r="F71" s="19" t="s">
        <v>691</v>
      </c>
      <c r="G71" s="19" t="s">
        <v>693</v>
      </c>
      <c r="H71" s="19" t="s">
        <v>32</v>
      </c>
      <c r="I71" s="26">
        <v>0</v>
      </c>
      <c r="J71">
        <v>2274</v>
      </c>
      <c r="K71" s="1"/>
    </row>
    <row r="72" spans="1:11">
      <c r="A72" s="17" t="s">
        <v>52</v>
      </c>
      <c r="B72" s="19" t="s">
        <v>53</v>
      </c>
      <c r="C72" s="19" t="s">
        <v>694</v>
      </c>
      <c r="D72" s="19" t="s">
        <v>695</v>
      </c>
      <c r="E72" s="20" t="s">
        <v>32</v>
      </c>
      <c r="F72" s="19" t="s">
        <v>694</v>
      </c>
      <c r="G72" s="19" t="s">
        <v>696</v>
      </c>
      <c r="H72" s="19" t="s">
        <v>32</v>
      </c>
      <c r="I72" s="26">
        <v>0</v>
      </c>
      <c r="J72">
        <v>504</v>
      </c>
      <c r="K72" s="1"/>
    </row>
    <row r="73" spans="1:11">
      <c r="A73" s="17" t="s">
        <v>52</v>
      </c>
      <c r="B73" s="19" t="s">
        <v>53</v>
      </c>
      <c r="C73" s="19" t="s">
        <v>697</v>
      </c>
      <c r="D73" s="19" t="s">
        <v>698</v>
      </c>
      <c r="E73" s="20" t="s">
        <v>32</v>
      </c>
      <c r="F73" s="19" t="s">
        <v>697</v>
      </c>
      <c r="G73" s="19" t="s">
        <v>699</v>
      </c>
      <c r="H73" s="19" t="s">
        <v>32</v>
      </c>
      <c r="I73" s="26">
        <v>0</v>
      </c>
      <c r="J73">
        <v>16124</v>
      </c>
      <c r="K73" s="1"/>
    </row>
    <row r="74" spans="1:11">
      <c r="A74" s="17" t="s">
        <v>52</v>
      </c>
      <c r="B74" s="19" t="s">
        <v>53</v>
      </c>
      <c r="C74" s="19" t="s">
        <v>700</v>
      </c>
      <c r="D74" s="19" t="s">
        <v>701</v>
      </c>
      <c r="E74" s="20" t="s">
        <v>32</v>
      </c>
      <c r="F74" s="19" t="s">
        <v>700</v>
      </c>
      <c r="G74" s="19" t="s">
        <v>702</v>
      </c>
      <c r="H74" s="19" t="s">
        <v>32</v>
      </c>
      <c r="I74" s="26">
        <v>0</v>
      </c>
      <c r="J74">
        <v>9</v>
      </c>
      <c r="K74" s="1"/>
    </row>
    <row r="75" spans="1:11">
      <c r="A75" s="17" t="s">
        <v>52</v>
      </c>
      <c r="B75" s="19" t="s">
        <v>53</v>
      </c>
      <c r="C75" s="19" t="s">
        <v>703</v>
      </c>
      <c r="D75" s="19" t="s">
        <v>704</v>
      </c>
      <c r="E75" s="20" t="s">
        <v>32</v>
      </c>
      <c r="F75" s="19" t="s">
        <v>703</v>
      </c>
      <c r="G75" s="19" t="s">
        <v>705</v>
      </c>
      <c r="H75" s="19" t="s">
        <v>32</v>
      </c>
      <c r="I75" s="26">
        <v>0</v>
      </c>
      <c r="J75">
        <v>137</v>
      </c>
      <c r="K75" s="1"/>
    </row>
    <row r="76" spans="1:11">
      <c r="A76" s="17" t="s">
        <v>52</v>
      </c>
      <c r="B76" s="19" t="s">
        <v>53</v>
      </c>
      <c r="C76" s="19" t="s">
        <v>706</v>
      </c>
      <c r="D76" s="19" t="s">
        <v>707</v>
      </c>
      <c r="E76" s="20" t="s">
        <v>32</v>
      </c>
      <c r="F76" s="19" t="s">
        <v>706</v>
      </c>
      <c r="G76" s="19" t="s">
        <v>708</v>
      </c>
      <c r="H76" s="19" t="s">
        <v>32</v>
      </c>
      <c r="I76" s="26">
        <v>0</v>
      </c>
      <c r="J76">
        <v>1</v>
      </c>
      <c r="K76" s="1"/>
    </row>
    <row r="77" spans="1:11">
      <c r="A77" s="17" t="s">
        <v>52</v>
      </c>
      <c r="B77" s="19" t="s">
        <v>53</v>
      </c>
      <c r="C77" s="19" t="s">
        <v>86</v>
      </c>
      <c r="D77" s="19" t="s">
        <v>87</v>
      </c>
      <c r="E77" s="20" t="s">
        <v>32</v>
      </c>
      <c r="F77" s="19" t="s">
        <v>86</v>
      </c>
      <c r="G77" s="19" t="s">
        <v>88</v>
      </c>
      <c r="H77" s="19" t="s">
        <v>32</v>
      </c>
      <c r="I77" s="26">
        <v>0</v>
      </c>
      <c r="J77">
        <v>2</v>
      </c>
      <c r="K77" s="1"/>
    </row>
    <row r="78" spans="1:11">
      <c r="A78" s="17" t="s">
        <v>52</v>
      </c>
      <c r="B78" s="19" t="s">
        <v>53</v>
      </c>
      <c r="C78" s="19" t="s">
        <v>709</v>
      </c>
      <c r="D78" s="19" t="s">
        <v>710</v>
      </c>
      <c r="E78" s="20" t="s">
        <v>32</v>
      </c>
      <c r="F78" s="19" t="s">
        <v>709</v>
      </c>
      <c r="G78" s="19" t="s">
        <v>711</v>
      </c>
      <c r="H78" s="19" t="s">
        <v>32</v>
      </c>
      <c r="I78" s="26">
        <v>0</v>
      </c>
      <c r="J78">
        <v>1</v>
      </c>
      <c r="K78" s="1"/>
    </row>
    <row r="79" spans="1:11">
      <c r="A79" s="17" t="s">
        <v>52</v>
      </c>
      <c r="B79" s="19" t="s">
        <v>53</v>
      </c>
      <c r="C79" s="19" t="s">
        <v>712</v>
      </c>
      <c r="D79" s="19" t="s">
        <v>713</v>
      </c>
      <c r="E79" s="20" t="s">
        <v>32</v>
      </c>
      <c r="F79" s="19" t="s">
        <v>712</v>
      </c>
      <c r="G79" s="19" t="s">
        <v>714</v>
      </c>
      <c r="H79" s="19" t="s">
        <v>32</v>
      </c>
      <c r="I79" s="26">
        <v>0</v>
      </c>
      <c r="J79">
        <v>1</v>
      </c>
      <c r="K79" s="1"/>
    </row>
    <row r="80" spans="1:11">
      <c r="A80" s="17" t="s">
        <v>52</v>
      </c>
      <c r="B80" s="19" t="s">
        <v>53</v>
      </c>
      <c r="C80" s="19" t="s">
        <v>715</v>
      </c>
      <c r="D80" s="19" t="s">
        <v>716</v>
      </c>
      <c r="E80" s="20" t="s">
        <v>32</v>
      </c>
      <c r="F80" s="19" t="s">
        <v>715</v>
      </c>
      <c r="G80" s="19" t="s">
        <v>717</v>
      </c>
      <c r="H80" s="19" t="s">
        <v>32</v>
      </c>
      <c r="I80" s="26">
        <v>0</v>
      </c>
      <c r="J80">
        <v>1</v>
      </c>
      <c r="K80" s="1"/>
    </row>
    <row r="81" spans="1:11">
      <c r="A81" s="17" t="s">
        <v>52</v>
      </c>
      <c r="B81" s="19" t="s">
        <v>53</v>
      </c>
      <c r="C81" s="19" t="s">
        <v>718</v>
      </c>
      <c r="D81" s="19" t="s">
        <v>719</v>
      </c>
      <c r="E81" s="20" t="s">
        <v>32</v>
      </c>
      <c r="F81" s="19" t="s">
        <v>718</v>
      </c>
      <c r="G81" s="19" t="s">
        <v>720</v>
      </c>
      <c r="H81" s="19" t="s">
        <v>32</v>
      </c>
      <c r="I81" s="26">
        <v>0</v>
      </c>
      <c r="J81">
        <v>25094</v>
      </c>
      <c r="K81" s="1"/>
    </row>
    <row r="82" spans="1:11">
      <c r="A82" s="17" t="s">
        <v>52</v>
      </c>
      <c r="B82" s="19" t="s">
        <v>53</v>
      </c>
      <c r="C82" s="19" t="s">
        <v>169</v>
      </c>
      <c r="D82" s="19" t="s">
        <v>170</v>
      </c>
      <c r="E82" s="20" t="s">
        <v>32</v>
      </c>
      <c r="F82" s="19" t="s">
        <v>169</v>
      </c>
      <c r="G82" s="19" t="s">
        <v>171</v>
      </c>
      <c r="H82" s="19" t="s">
        <v>32</v>
      </c>
      <c r="I82" s="26">
        <v>0</v>
      </c>
      <c r="J82">
        <v>11</v>
      </c>
      <c r="K82" s="1"/>
    </row>
    <row r="83" spans="1:11">
      <c r="A83" s="17" t="s">
        <v>52</v>
      </c>
      <c r="B83" s="19" t="s">
        <v>53</v>
      </c>
      <c r="C83" s="19" t="s">
        <v>172</v>
      </c>
      <c r="D83" s="19" t="s">
        <v>173</v>
      </c>
      <c r="E83" s="20" t="s">
        <v>32</v>
      </c>
      <c r="F83" s="19" t="s">
        <v>172</v>
      </c>
      <c r="G83" s="19" t="s">
        <v>174</v>
      </c>
      <c r="H83" s="19" t="s">
        <v>32</v>
      </c>
      <c r="I83" s="26">
        <v>0</v>
      </c>
      <c r="J83">
        <v>2228</v>
      </c>
      <c r="K83" s="1"/>
    </row>
    <row r="84" spans="1:11">
      <c r="A84" s="17" t="s">
        <v>52</v>
      </c>
      <c r="B84" s="19" t="s">
        <v>53</v>
      </c>
      <c r="C84" s="19" t="s">
        <v>175</v>
      </c>
      <c r="D84" s="19" t="s">
        <v>176</v>
      </c>
      <c r="E84" s="20" t="s">
        <v>32</v>
      </c>
      <c r="F84" s="19" t="s">
        <v>175</v>
      </c>
      <c r="G84" s="19" t="s">
        <v>177</v>
      </c>
      <c r="H84" s="19" t="s">
        <v>32</v>
      </c>
      <c r="I84" s="26">
        <v>0</v>
      </c>
      <c r="J84">
        <v>10</v>
      </c>
      <c r="K84" s="1"/>
    </row>
    <row r="85" spans="1:11">
      <c r="A85" s="17" t="s">
        <v>52</v>
      </c>
      <c r="B85" s="19" t="s">
        <v>53</v>
      </c>
      <c r="C85" s="19" t="s">
        <v>721</v>
      </c>
      <c r="D85" s="19" t="s">
        <v>722</v>
      </c>
      <c r="E85" s="20" t="s">
        <v>32</v>
      </c>
      <c r="F85" s="19" t="s">
        <v>721</v>
      </c>
      <c r="G85" s="19" t="s">
        <v>723</v>
      </c>
      <c r="H85" s="19" t="s">
        <v>32</v>
      </c>
      <c r="I85" s="26">
        <v>0</v>
      </c>
      <c r="J85">
        <v>15</v>
      </c>
      <c r="K85" s="1"/>
    </row>
    <row r="86" spans="1:11">
      <c r="A86" s="17" t="s">
        <v>52</v>
      </c>
      <c r="B86" s="19" t="s">
        <v>53</v>
      </c>
      <c r="C86" s="19" t="s">
        <v>724</v>
      </c>
      <c r="D86" s="19" t="s">
        <v>725</v>
      </c>
      <c r="E86" s="20" t="s">
        <v>32</v>
      </c>
      <c r="F86" s="19" t="s">
        <v>724</v>
      </c>
      <c r="G86" s="19" t="s">
        <v>726</v>
      </c>
      <c r="H86" s="19" t="s">
        <v>32</v>
      </c>
      <c r="I86" s="26">
        <v>0</v>
      </c>
      <c r="J86">
        <v>1</v>
      </c>
      <c r="K86" s="1"/>
    </row>
    <row r="87" spans="1:11">
      <c r="A87" s="17" t="s">
        <v>52</v>
      </c>
      <c r="B87" s="19" t="s">
        <v>53</v>
      </c>
      <c r="C87" s="19" t="s">
        <v>727</v>
      </c>
      <c r="D87" s="19" t="s">
        <v>728</v>
      </c>
      <c r="E87" s="20" t="s">
        <v>32</v>
      </c>
      <c r="F87" s="19" t="s">
        <v>727</v>
      </c>
      <c r="G87" s="19" t="s">
        <v>729</v>
      </c>
      <c r="H87" s="19" t="s">
        <v>32</v>
      </c>
      <c r="I87" s="26">
        <v>0</v>
      </c>
      <c r="J87">
        <v>8</v>
      </c>
      <c r="K87" s="1"/>
    </row>
    <row r="88" spans="1:11">
      <c r="A88" s="17" t="s">
        <v>52</v>
      </c>
      <c r="B88" s="19" t="s">
        <v>53</v>
      </c>
      <c r="C88" s="19" t="s">
        <v>730</v>
      </c>
      <c r="D88" s="19" t="s">
        <v>731</v>
      </c>
      <c r="E88" s="20" t="s">
        <v>32</v>
      </c>
      <c r="F88" s="19" t="s">
        <v>730</v>
      </c>
      <c r="G88" s="19" t="s">
        <v>732</v>
      </c>
      <c r="H88" s="19" t="s">
        <v>32</v>
      </c>
      <c r="I88" s="26">
        <v>0</v>
      </c>
      <c r="J88">
        <v>2</v>
      </c>
      <c r="K88" s="1"/>
    </row>
    <row r="89" spans="1:11">
      <c r="A89" s="17" t="s">
        <v>52</v>
      </c>
      <c r="B89" s="19" t="s">
        <v>53</v>
      </c>
      <c r="C89" s="19" t="s">
        <v>733</v>
      </c>
      <c r="D89" s="19" t="s">
        <v>734</v>
      </c>
      <c r="E89" s="20" t="s">
        <v>32</v>
      </c>
      <c r="F89" s="19" t="s">
        <v>733</v>
      </c>
      <c r="G89" s="19" t="s">
        <v>735</v>
      </c>
      <c r="H89" s="19" t="s">
        <v>32</v>
      </c>
      <c r="I89" s="26">
        <v>0</v>
      </c>
      <c r="J89">
        <v>1</v>
      </c>
      <c r="K89" s="1"/>
    </row>
    <row r="90" spans="1:11">
      <c r="A90" s="17" t="s">
        <v>52</v>
      </c>
      <c r="B90" s="19" t="s">
        <v>53</v>
      </c>
      <c r="C90" s="19" t="s">
        <v>736</v>
      </c>
      <c r="D90" s="19" t="s">
        <v>737</v>
      </c>
      <c r="E90" s="20" t="s">
        <v>32</v>
      </c>
      <c r="F90" s="19" t="s">
        <v>736</v>
      </c>
      <c r="G90" s="19" t="s">
        <v>738</v>
      </c>
      <c r="H90" s="19" t="s">
        <v>32</v>
      </c>
      <c r="I90" s="26">
        <v>0</v>
      </c>
      <c r="J90">
        <v>1</v>
      </c>
      <c r="K90" s="1"/>
    </row>
    <row r="91" spans="1:11">
      <c r="A91" s="17" t="s">
        <v>52</v>
      </c>
      <c r="B91" s="19" t="s">
        <v>53</v>
      </c>
      <c r="C91" s="19" t="s">
        <v>739</v>
      </c>
      <c r="D91" s="19" t="s">
        <v>740</v>
      </c>
      <c r="E91" s="20" t="s">
        <v>32</v>
      </c>
      <c r="F91" s="19" t="s">
        <v>739</v>
      </c>
      <c r="G91" s="19" t="s">
        <v>741</v>
      </c>
      <c r="H91" s="19" t="s">
        <v>32</v>
      </c>
      <c r="I91" s="26">
        <v>0</v>
      </c>
      <c r="J91">
        <v>1</v>
      </c>
      <c r="K91" s="1"/>
    </row>
    <row r="92" spans="1:11">
      <c r="A92" s="17" t="s">
        <v>52</v>
      </c>
      <c r="B92" s="19" t="s">
        <v>53</v>
      </c>
      <c r="C92" s="19" t="s">
        <v>742</v>
      </c>
      <c r="D92" s="19" t="s">
        <v>743</v>
      </c>
      <c r="E92" s="20" t="s">
        <v>32</v>
      </c>
      <c r="F92" s="19" t="s">
        <v>742</v>
      </c>
      <c r="G92" s="19" t="s">
        <v>744</v>
      </c>
      <c r="H92" s="19" t="s">
        <v>32</v>
      </c>
      <c r="I92" s="26">
        <v>0</v>
      </c>
      <c r="J92">
        <v>625</v>
      </c>
      <c r="K92" s="1"/>
    </row>
    <row r="93" spans="1:11">
      <c r="A93" s="17" t="s">
        <v>52</v>
      </c>
      <c r="B93" s="19" t="s">
        <v>53</v>
      </c>
      <c r="C93" s="19" t="s">
        <v>745</v>
      </c>
      <c r="D93" s="19" t="s">
        <v>746</v>
      </c>
      <c r="E93" s="20" t="s">
        <v>32</v>
      </c>
      <c r="F93" s="19" t="s">
        <v>745</v>
      </c>
      <c r="G93" s="19" t="s">
        <v>747</v>
      </c>
      <c r="H93" s="19" t="s">
        <v>32</v>
      </c>
      <c r="I93" s="26">
        <v>0</v>
      </c>
      <c r="J93">
        <v>1</v>
      </c>
      <c r="K93" s="1"/>
    </row>
    <row r="94" spans="1:11">
      <c r="A94" s="17" t="s">
        <v>52</v>
      </c>
      <c r="B94" s="19" t="s">
        <v>53</v>
      </c>
      <c r="C94" s="19" t="s">
        <v>748</v>
      </c>
      <c r="D94" s="19" t="s">
        <v>749</v>
      </c>
      <c r="E94" s="20" t="s">
        <v>32</v>
      </c>
      <c r="F94" s="19" t="s">
        <v>748</v>
      </c>
      <c r="G94" s="19" t="s">
        <v>750</v>
      </c>
      <c r="H94" s="19" t="s">
        <v>32</v>
      </c>
      <c r="I94" s="26">
        <v>0</v>
      </c>
      <c r="J94">
        <v>1</v>
      </c>
      <c r="K94" s="1"/>
    </row>
    <row r="95" spans="1:11">
      <c r="A95" s="17" t="s">
        <v>52</v>
      </c>
      <c r="B95" s="19" t="s">
        <v>53</v>
      </c>
      <c r="C95" s="19" t="s">
        <v>751</v>
      </c>
      <c r="D95" s="19" t="s">
        <v>752</v>
      </c>
      <c r="E95" s="20" t="s">
        <v>32</v>
      </c>
      <c r="F95" s="19" t="s">
        <v>751</v>
      </c>
      <c r="G95" s="19" t="s">
        <v>753</v>
      </c>
      <c r="H95" s="19" t="s">
        <v>32</v>
      </c>
      <c r="I95" s="26">
        <v>0</v>
      </c>
      <c r="J95">
        <v>1</v>
      </c>
      <c r="K95" s="1"/>
    </row>
    <row r="96" spans="1:11">
      <c r="A96" s="17" t="s">
        <v>52</v>
      </c>
      <c r="B96" s="19" t="s">
        <v>53</v>
      </c>
      <c r="C96" s="19" t="s">
        <v>754</v>
      </c>
      <c r="D96" s="19" t="s">
        <v>755</v>
      </c>
      <c r="E96" s="20" t="s">
        <v>32</v>
      </c>
      <c r="F96" s="19" t="s">
        <v>754</v>
      </c>
      <c r="G96" s="19" t="s">
        <v>756</v>
      </c>
      <c r="H96" s="19" t="s">
        <v>32</v>
      </c>
      <c r="I96" s="26">
        <v>0</v>
      </c>
      <c r="J96">
        <v>1</v>
      </c>
      <c r="K96" s="1"/>
    </row>
    <row r="97" spans="1:11">
      <c r="A97" s="17" t="s">
        <v>52</v>
      </c>
      <c r="B97" s="19" t="s">
        <v>53</v>
      </c>
      <c r="C97" s="19" t="s">
        <v>178</v>
      </c>
      <c r="D97" s="19" t="s">
        <v>179</v>
      </c>
      <c r="E97" s="20" t="s">
        <v>32</v>
      </c>
      <c r="F97" s="19" t="s">
        <v>178</v>
      </c>
      <c r="G97" s="19" t="s">
        <v>180</v>
      </c>
      <c r="H97" s="19" t="s">
        <v>32</v>
      </c>
      <c r="I97" s="26">
        <v>0</v>
      </c>
      <c r="J97">
        <v>93</v>
      </c>
      <c r="K97" s="1"/>
    </row>
    <row r="98" spans="1:11">
      <c r="A98" s="17" t="s">
        <v>52</v>
      </c>
      <c r="B98" s="19" t="s">
        <v>53</v>
      </c>
      <c r="C98" s="19" t="s">
        <v>757</v>
      </c>
      <c r="D98" s="19" t="s">
        <v>758</v>
      </c>
      <c r="E98" s="20" t="s">
        <v>32</v>
      </c>
      <c r="F98" s="19" t="s">
        <v>757</v>
      </c>
      <c r="G98" s="19" t="s">
        <v>759</v>
      </c>
      <c r="H98" s="19" t="s">
        <v>32</v>
      </c>
      <c r="I98" s="26">
        <v>0</v>
      </c>
      <c r="J98">
        <v>2070</v>
      </c>
      <c r="K98" s="1"/>
    </row>
    <row r="99" spans="1:11">
      <c r="A99" s="17" t="s">
        <v>52</v>
      </c>
      <c r="B99" s="19" t="s">
        <v>53</v>
      </c>
      <c r="C99" s="19" t="s">
        <v>181</v>
      </c>
      <c r="D99" s="19" t="s">
        <v>182</v>
      </c>
      <c r="E99" s="20" t="s">
        <v>32</v>
      </c>
      <c r="F99" s="19" t="s">
        <v>181</v>
      </c>
      <c r="G99" s="19" t="s">
        <v>183</v>
      </c>
      <c r="H99" s="19" t="s">
        <v>32</v>
      </c>
      <c r="I99" s="26">
        <v>0</v>
      </c>
      <c r="J99">
        <v>1756</v>
      </c>
      <c r="K99" s="1"/>
    </row>
    <row r="100" spans="1:11">
      <c r="A100" s="17" t="s">
        <v>52</v>
      </c>
      <c r="B100" s="19" t="s">
        <v>53</v>
      </c>
      <c r="C100" s="19" t="s">
        <v>760</v>
      </c>
      <c r="D100" s="19" t="s">
        <v>761</v>
      </c>
      <c r="E100" s="20" t="s">
        <v>32</v>
      </c>
      <c r="F100" s="19" t="s">
        <v>760</v>
      </c>
      <c r="G100" s="19" t="s">
        <v>762</v>
      </c>
      <c r="H100" s="19" t="s">
        <v>32</v>
      </c>
      <c r="I100" s="26">
        <v>0</v>
      </c>
      <c r="J100">
        <v>21352</v>
      </c>
      <c r="K100" s="1"/>
    </row>
    <row r="101" spans="1:11">
      <c r="A101" s="17" t="s">
        <v>52</v>
      </c>
      <c r="B101" s="19" t="s">
        <v>53</v>
      </c>
      <c r="C101" s="19" t="s">
        <v>763</v>
      </c>
      <c r="D101" s="19" t="s">
        <v>764</v>
      </c>
      <c r="E101" s="20" t="s">
        <v>32</v>
      </c>
      <c r="F101" s="19" t="s">
        <v>763</v>
      </c>
      <c r="G101" s="19" t="s">
        <v>765</v>
      </c>
      <c r="H101" s="19" t="s">
        <v>32</v>
      </c>
      <c r="I101" s="26">
        <v>0</v>
      </c>
      <c r="J101">
        <v>6</v>
      </c>
      <c r="K101" s="1"/>
    </row>
    <row r="102" spans="1:11">
      <c r="A102" s="17" t="s">
        <v>52</v>
      </c>
      <c r="B102" s="19" t="s">
        <v>53</v>
      </c>
      <c r="C102" s="19" t="s">
        <v>766</v>
      </c>
      <c r="D102" s="19" t="s">
        <v>767</v>
      </c>
      <c r="E102" s="20" t="s">
        <v>32</v>
      </c>
      <c r="F102" s="19" t="s">
        <v>766</v>
      </c>
      <c r="G102" s="19" t="s">
        <v>768</v>
      </c>
      <c r="H102" s="19" t="s">
        <v>32</v>
      </c>
      <c r="I102" s="26">
        <v>0</v>
      </c>
      <c r="J102">
        <v>93</v>
      </c>
      <c r="K102" s="1"/>
    </row>
    <row r="103" spans="1:11">
      <c r="A103" s="17" t="s">
        <v>52</v>
      </c>
      <c r="B103" s="19" t="s">
        <v>53</v>
      </c>
      <c r="C103" s="19" t="s">
        <v>769</v>
      </c>
      <c r="D103" s="19" t="s">
        <v>770</v>
      </c>
      <c r="E103" s="20" t="s">
        <v>32</v>
      </c>
      <c r="F103" s="19" t="s">
        <v>769</v>
      </c>
      <c r="G103" s="19" t="s">
        <v>771</v>
      </c>
      <c r="H103" s="19" t="s">
        <v>32</v>
      </c>
      <c r="I103" s="26">
        <v>0</v>
      </c>
      <c r="J103">
        <v>1</v>
      </c>
      <c r="K103" s="1"/>
    </row>
    <row r="104" spans="1:11">
      <c r="A104" s="17" t="s">
        <v>52</v>
      </c>
      <c r="B104" s="19" t="s">
        <v>53</v>
      </c>
      <c r="C104" s="19" t="s">
        <v>772</v>
      </c>
      <c r="D104" s="19" t="s">
        <v>773</v>
      </c>
      <c r="E104" s="20" t="s">
        <v>32</v>
      </c>
      <c r="F104" s="19" t="s">
        <v>772</v>
      </c>
      <c r="G104" s="19" t="s">
        <v>774</v>
      </c>
      <c r="H104" s="19" t="s">
        <v>32</v>
      </c>
      <c r="I104" s="26">
        <v>0</v>
      </c>
      <c r="J104">
        <v>70</v>
      </c>
      <c r="K104" s="1"/>
    </row>
    <row r="105" spans="1:11">
      <c r="A105" s="17" t="s">
        <v>52</v>
      </c>
      <c r="B105" s="19" t="s">
        <v>53</v>
      </c>
      <c r="C105" s="19" t="s">
        <v>184</v>
      </c>
      <c r="D105" s="19" t="s">
        <v>185</v>
      </c>
      <c r="E105" s="20" t="s">
        <v>32</v>
      </c>
      <c r="F105" s="19" t="s">
        <v>184</v>
      </c>
      <c r="G105" s="19" t="s">
        <v>186</v>
      </c>
      <c r="H105" s="19" t="s">
        <v>32</v>
      </c>
      <c r="I105" s="26">
        <v>0</v>
      </c>
      <c r="J105">
        <v>4</v>
      </c>
      <c r="K105" s="1"/>
    </row>
    <row r="106" spans="1:11">
      <c r="A106" s="17" t="s">
        <v>52</v>
      </c>
      <c r="B106" s="19" t="s">
        <v>53</v>
      </c>
      <c r="C106" s="19" t="s">
        <v>775</v>
      </c>
      <c r="D106" s="19" t="s">
        <v>776</v>
      </c>
      <c r="E106" s="20" t="s">
        <v>32</v>
      </c>
      <c r="F106" s="19" t="s">
        <v>775</v>
      </c>
      <c r="G106" s="19" t="s">
        <v>777</v>
      </c>
      <c r="H106" s="19" t="s">
        <v>32</v>
      </c>
      <c r="I106" s="26">
        <v>0</v>
      </c>
      <c r="J106">
        <v>440</v>
      </c>
      <c r="K106" s="1"/>
    </row>
    <row r="107" spans="1:11">
      <c r="A107" s="17" t="s">
        <v>52</v>
      </c>
      <c r="B107" s="19" t="s">
        <v>53</v>
      </c>
      <c r="C107" s="19" t="s">
        <v>318</v>
      </c>
      <c r="D107" s="19" t="s">
        <v>319</v>
      </c>
      <c r="E107" s="20" t="s">
        <v>32</v>
      </c>
      <c r="F107" s="19" t="s">
        <v>318</v>
      </c>
      <c r="G107" s="19" t="s">
        <v>320</v>
      </c>
      <c r="H107" s="19" t="s">
        <v>32</v>
      </c>
      <c r="I107" s="26">
        <v>0</v>
      </c>
      <c r="J107">
        <v>1</v>
      </c>
      <c r="K107" s="1"/>
    </row>
    <row r="108" spans="1:11">
      <c r="A108" s="17" t="s">
        <v>52</v>
      </c>
      <c r="B108" s="19" t="s">
        <v>53</v>
      </c>
      <c r="C108" s="19" t="s">
        <v>778</v>
      </c>
      <c r="D108" s="19" t="s">
        <v>779</v>
      </c>
      <c r="E108" s="20" t="s">
        <v>32</v>
      </c>
      <c r="F108" s="19" t="s">
        <v>778</v>
      </c>
      <c r="G108" s="19" t="s">
        <v>780</v>
      </c>
      <c r="H108" s="19" t="s">
        <v>32</v>
      </c>
      <c r="I108" s="26">
        <v>0</v>
      </c>
      <c r="J108">
        <v>17</v>
      </c>
      <c r="K108" s="1"/>
    </row>
    <row r="109" spans="1:11">
      <c r="A109" s="17" t="s">
        <v>52</v>
      </c>
      <c r="B109" s="19" t="s">
        <v>53</v>
      </c>
      <c r="C109" s="19" t="s">
        <v>187</v>
      </c>
      <c r="D109" s="19" t="s">
        <v>188</v>
      </c>
      <c r="E109" s="20" t="s">
        <v>32</v>
      </c>
      <c r="F109" s="19" t="s">
        <v>187</v>
      </c>
      <c r="G109" s="19" t="s">
        <v>189</v>
      </c>
      <c r="H109" s="19" t="s">
        <v>32</v>
      </c>
      <c r="I109" s="26">
        <v>0</v>
      </c>
      <c r="J109">
        <v>118</v>
      </c>
      <c r="K109" s="1"/>
    </row>
    <row r="110" spans="1:11">
      <c r="A110" s="17" t="s">
        <v>52</v>
      </c>
      <c r="B110" s="19" t="s">
        <v>53</v>
      </c>
      <c r="C110" s="19" t="s">
        <v>190</v>
      </c>
      <c r="D110" s="19" t="s">
        <v>191</v>
      </c>
      <c r="E110" s="20" t="s">
        <v>32</v>
      </c>
      <c r="F110" s="19" t="s">
        <v>190</v>
      </c>
      <c r="G110" s="19" t="s">
        <v>192</v>
      </c>
      <c r="H110" s="19" t="s">
        <v>32</v>
      </c>
      <c r="I110" s="26">
        <v>0</v>
      </c>
      <c r="J110">
        <v>74</v>
      </c>
      <c r="K110" s="1"/>
    </row>
    <row r="111" spans="1:11">
      <c r="A111" s="17" t="s">
        <v>52</v>
      </c>
      <c r="B111" s="19" t="s">
        <v>53</v>
      </c>
      <c r="C111" s="19" t="s">
        <v>321</v>
      </c>
      <c r="D111" s="19" t="s">
        <v>322</v>
      </c>
      <c r="E111" s="20" t="s">
        <v>32</v>
      </c>
      <c r="F111" s="19" t="s">
        <v>321</v>
      </c>
      <c r="G111" s="19" t="s">
        <v>323</v>
      </c>
      <c r="H111" s="19" t="s">
        <v>32</v>
      </c>
      <c r="I111" s="26">
        <v>0</v>
      </c>
      <c r="J111">
        <v>4</v>
      </c>
      <c r="K111" s="1"/>
    </row>
    <row r="112" spans="1:11">
      <c r="A112" s="17" t="s">
        <v>52</v>
      </c>
      <c r="B112" s="19" t="s">
        <v>53</v>
      </c>
      <c r="C112" s="19" t="s">
        <v>324</v>
      </c>
      <c r="D112" s="19" t="s">
        <v>325</v>
      </c>
      <c r="E112" s="20" t="s">
        <v>32</v>
      </c>
      <c r="F112" s="19" t="s">
        <v>324</v>
      </c>
      <c r="G112" s="19" t="s">
        <v>326</v>
      </c>
      <c r="H112" s="19" t="s">
        <v>32</v>
      </c>
      <c r="I112" s="26">
        <v>0</v>
      </c>
      <c r="J112">
        <v>37</v>
      </c>
      <c r="K112" s="1"/>
    </row>
    <row r="113" spans="1:11">
      <c r="A113" s="17" t="s">
        <v>52</v>
      </c>
      <c r="B113" s="19" t="s">
        <v>53</v>
      </c>
      <c r="C113" s="19" t="s">
        <v>327</v>
      </c>
      <c r="D113" s="19" t="s">
        <v>328</v>
      </c>
      <c r="E113" s="20" t="s">
        <v>32</v>
      </c>
      <c r="F113" s="19" t="s">
        <v>327</v>
      </c>
      <c r="G113" s="19" t="s">
        <v>329</v>
      </c>
      <c r="H113" s="19" t="s">
        <v>32</v>
      </c>
      <c r="I113" s="26">
        <v>0</v>
      </c>
      <c r="J113">
        <v>1</v>
      </c>
      <c r="K113" s="1"/>
    </row>
    <row r="114" spans="1:11">
      <c r="A114" s="17" t="s">
        <v>52</v>
      </c>
      <c r="B114" s="19" t="s">
        <v>53</v>
      </c>
      <c r="C114" s="19" t="s">
        <v>781</v>
      </c>
      <c r="D114" s="19" t="s">
        <v>782</v>
      </c>
      <c r="E114" s="20" t="s">
        <v>32</v>
      </c>
      <c r="F114" s="19" t="s">
        <v>781</v>
      </c>
      <c r="G114" s="19" t="s">
        <v>783</v>
      </c>
      <c r="H114" s="19" t="s">
        <v>32</v>
      </c>
      <c r="I114" s="26">
        <v>0</v>
      </c>
      <c r="J114">
        <v>1</v>
      </c>
      <c r="K114" s="1"/>
    </row>
    <row r="115" spans="1:11">
      <c r="A115" s="17" t="s">
        <v>52</v>
      </c>
      <c r="B115" s="19" t="s">
        <v>53</v>
      </c>
      <c r="C115" s="19" t="s">
        <v>54</v>
      </c>
      <c r="D115" s="19" t="s">
        <v>55</v>
      </c>
      <c r="E115" s="20" t="s">
        <v>32</v>
      </c>
      <c r="F115" s="19" t="s">
        <v>54</v>
      </c>
      <c r="G115" s="19" t="s">
        <v>56</v>
      </c>
      <c r="H115" s="19" t="s">
        <v>32</v>
      </c>
      <c r="I115" s="26">
        <v>0</v>
      </c>
      <c r="J115">
        <v>83</v>
      </c>
      <c r="K115" s="1"/>
    </row>
    <row r="116" spans="1:11">
      <c r="A116" s="17" t="s">
        <v>52</v>
      </c>
      <c r="B116" s="19" t="s">
        <v>53</v>
      </c>
      <c r="C116" s="19" t="s">
        <v>784</v>
      </c>
      <c r="D116" s="19" t="s">
        <v>785</v>
      </c>
      <c r="E116" s="20" t="s">
        <v>32</v>
      </c>
      <c r="F116" s="19" t="s">
        <v>784</v>
      </c>
      <c r="G116" s="19" t="s">
        <v>786</v>
      </c>
      <c r="H116" s="19" t="s">
        <v>32</v>
      </c>
      <c r="I116" s="26">
        <v>0</v>
      </c>
      <c r="J116">
        <v>24</v>
      </c>
      <c r="K116" s="1"/>
    </row>
    <row r="117" spans="1:11">
      <c r="A117" s="17" t="s">
        <v>52</v>
      </c>
      <c r="B117" s="19" t="s">
        <v>53</v>
      </c>
      <c r="C117" s="19" t="s">
        <v>787</v>
      </c>
      <c r="D117" s="19" t="s">
        <v>788</v>
      </c>
      <c r="E117" s="20" t="s">
        <v>32</v>
      </c>
      <c r="F117" s="19" t="s">
        <v>787</v>
      </c>
      <c r="G117" s="19" t="s">
        <v>789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52</v>
      </c>
      <c r="B118" s="19" t="s">
        <v>53</v>
      </c>
      <c r="C118" s="19" t="s">
        <v>57</v>
      </c>
      <c r="D118" s="19" t="s">
        <v>58</v>
      </c>
      <c r="E118" s="20" t="s">
        <v>32</v>
      </c>
      <c r="F118" s="19" t="s">
        <v>57</v>
      </c>
      <c r="G118" s="19" t="s">
        <v>59</v>
      </c>
      <c r="H118" s="19" t="s">
        <v>32</v>
      </c>
      <c r="I118" s="26">
        <v>0</v>
      </c>
      <c r="J118">
        <v>9</v>
      </c>
      <c r="K118" s="1"/>
    </row>
    <row r="119" spans="1:11">
      <c r="A119" s="17" t="s">
        <v>52</v>
      </c>
      <c r="B119" s="19" t="s">
        <v>53</v>
      </c>
      <c r="C119" s="19" t="s">
        <v>60</v>
      </c>
      <c r="D119" s="19" t="s">
        <v>61</v>
      </c>
      <c r="E119" s="20" t="s">
        <v>32</v>
      </c>
      <c r="F119" s="19" t="s">
        <v>60</v>
      </c>
      <c r="G119" s="19" t="s">
        <v>62</v>
      </c>
      <c r="H119" s="19" t="s">
        <v>32</v>
      </c>
      <c r="I119" s="26">
        <v>0</v>
      </c>
      <c r="J119">
        <v>2</v>
      </c>
      <c r="K119" s="1"/>
    </row>
    <row r="120" spans="1:11">
      <c r="A120" s="17" t="s">
        <v>52</v>
      </c>
      <c r="B120" s="19" t="s">
        <v>53</v>
      </c>
      <c r="C120" s="19" t="s">
        <v>790</v>
      </c>
      <c r="D120" s="19" t="s">
        <v>791</v>
      </c>
      <c r="E120" s="20" t="s">
        <v>32</v>
      </c>
      <c r="F120" s="19" t="s">
        <v>790</v>
      </c>
      <c r="G120" s="19" t="s">
        <v>792</v>
      </c>
      <c r="H120" s="19" t="s">
        <v>32</v>
      </c>
      <c r="I120" s="26">
        <v>0</v>
      </c>
      <c r="J120">
        <v>1</v>
      </c>
      <c r="K120" s="1"/>
    </row>
    <row r="121" spans="1:11">
      <c r="A121" s="17" t="s">
        <v>52</v>
      </c>
      <c r="B121" s="19" t="s">
        <v>53</v>
      </c>
      <c r="C121" s="19" t="s">
        <v>193</v>
      </c>
      <c r="D121" s="19" t="s">
        <v>194</v>
      </c>
      <c r="E121" s="20" t="s">
        <v>32</v>
      </c>
      <c r="F121" s="19" t="s">
        <v>193</v>
      </c>
      <c r="G121" s="19" t="s">
        <v>195</v>
      </c>
      <c r="H121" s="19" t="s">
        <v>32</v>
      </c>
      <c r="I121" s="26">
        <v>0</v>
      </c>
      <c r="J121">
        <v>649</v>
      </c>
      <c r="K121" s="1"/>
    </row>
    <row r="122" spans="1:11">
      <c r="A122" s="17" t="s">
        <v>52</v>
      </c>
      <c r="B122" s="19" t="s">
        <v>53</v>
      </c>
      <c r="C122" s="19" t="s">
        <v>793</v>
      </c>
      <c r="D122" s="19" t="s">
        <v>794</v>
      </c>
      <c r="E122" s="20" t="s">
        <v>32</v>
      </c>
      <c r="F122" s="19" t="s">
        <v>793</v>
      </c>
      <c r="G122" s="19" t="s">
        <v>795</v>
      </c>
      <c r="H122" s="19" t="s">
        <v>32</v>
      </c>
      <c r="I122" s="26">
        <v>0</v>
      </c>
      <c r="J122">
        <v>75</v>
      </c>
      <c r="K122" s="1"/>
    </row>
    <row r="123" spans="1:11">
      <c r="A123" s="17" t="s">
        <v>52</v>
      </c>
      <c r="B123" s="19" t="s">
        <v>53</v>
      </c>
      <c r="C123" s="19" t="s">
        <v>796</v>
      </c>
      <c r="D123" s="19" t="s">
        <v>797</v>
      </c>
      <c r="E123" s="20" t="s">
        <v>32</v>
      </c>
      <c r="F123" s="19" t="s">
        <v>796</v>
      </c>
      <c r="G123" s="19" t="s">
        <v>798</v>
      </c>
      <c r="H123" s="19" t="s">
        <v>32</v>
      </c>
      <c r="I123" s="26">
        <v>0</v>
      </c>
      <c r="J123">
        <v>331</v>
      </c>
      <c r="K123" s="1"/>
    </row>
    <row r="124" spans="1:11">
      <c r="A124" s="17" t="s">
        <v>52</v>
      </c>
      <c r="B124" s="19" t="s">
        <v>53</v>
      </c>
      <c r="C124" s="19" t="s">
        <v>196</v>
      </c>
      <c r="D124" s="19" t="s">
        <v>197</v>
      </c>
      <c r="E124" s="20" t="s">
        <v>32</v>
      </c>
      <c r="F124" s="19" t="s">
        <v>196</v>
      </c>
      <c r="G124" s="19" t="s">
        <v>198</v>
      </c>
      <c r="H124" s="19" t="s">
        <v>32</v>
      </c>
      <c r="I124" s="26">
        <v>0</v>
      </c>
      <c r="J124">
        <v>18</v>
      </c>
      <c r="K124" s="1"/>
    </row>
    <row r="125" spans="1:11">
      <c r="A125" s="17" t="s">
        <v>52</v>
      </c>
      <c r="B125" s="19" t="s">
        <v>53</v>
      </c>
      <c r="C125" s="19" t="s">
        <v>799</v>
      </c>
      <c r="D125" s="19" t="s">
        <v>800</v>
      </c>
      <c r="E125" s="20" t="s">
        <v>32</v>
      </c>
      <c r="F125" s="19" t="s">
        <v>799</v>
      </c>
      <c r="G125" s="19" t="s">
        <v>801</v>
      </c>
      <c r="H125" s="19" t="s">
        <v>32</v>
      </c>
      <c r="I125" s="26">
        <v>0</v>
      </c>
      <c r="J125">
        <v>2</v>
      </c>
      <c r="K125" s="1"/>
    </row>
    <row r="126" spans="1:11">
      <c r="A126" s="17" t="s">
        <v>52</v>
      </c>
      <c r="B126" s="19" t="s">
        <v>53</v>
      </c>
      <c r="C126" s="19" t="s">
        <v>199</v>
      </c>
      <c r="D126" s="19" t="s">
        <v>200</v>
      </c>
      <c r="E126" s="20" t="s">
        <v>32</v>
      </c>
      <c r="F126" s="19" t="s">
        <v>199</v>
      </c>
      <c r="G126" s="19" t="s">
        <v>201</v>
      </c>
      <c r="H126" s="19" t="s">
        <v>32</v>
      </c>
      <c r="I126" s="26">
        <v>0</v>
      </c>
      <c r="J126">
        <v>140</v>
      </c>
      <c r="K126" s="1"/>
    </row>
    <row r="127" spans="1:11">
      <c r="A127" s="17" t="s">
        <v>52</v>
      </c>
      <c r="B127" s="19" t="s">
        <v>53</v>
      </c>
      <c r="C127" s="19" t="s">
        <v>802</v>
      </c>
      <c r="D127" s="19" t="s">
        <v>803</v>
      </c>
      <c r="E127" s="20" t="s">
        <v>32</v>
      </c>
      <c r="F127" s="19" t="s">
        <v>802</v>
      </c>
      <c r="G127" s="19" t="s">
        <v>804</v>
      </c>
      <c r="H127" s="19" t="s">
        <v>32</v>
      </c>
      <c r="I127" s="26">
        <v>0</v>
      </c>
      <c r="J127">
        <v>7</v>
      </c>
      <c r="K127" s="1"/>
    </row>
    <row r="128" spans="1:11">
      <c r="A128" s="17" t="s">
        <v>52</v>
      </c>
      <c r="B128" s="19" t="s">
        <v>53</v>
      </c>
      <c r="C128" s="19" t="s">
        <v>202</v>
      </c>
      <c r="D128" s="19" t="s">
        <v>203</v>
      </c>
      <c r="E128" s="20" t="s">
        <v>32</v>
      </c>
      <c r="F128" s="19" t="s">
        <v>202</v>
      </c>
      <c r="G128" s="19" t="s">
        <v>204</v>
      </c>
      <c r="H128" s="19" t="s">
        <v>32</v>
      </c>
      <c r="I128" s="26">
        <v>0</v>
      </c>
      <c r="J128">
        <v>106</v>
      </c>
      <c r="K128" s="1"/>
    </row>
    <row r="129" spans="1:11">
      <c r="A129" s="17" t="s">
        <v>52</v>
      </c>
      <c r="B129" s="19" t="s">
        <v>53</v>
      </c>
      <c r="C129" s="19" t="s">
        <v>805</v>
      </c>
      <c r="D129" s="19" t="s">
        <v>806</v>
      </c>
      <c r="E129" s="20" t="s">
        <v>32</v>
      </c>
      <c r="F129" s="19" t="s">
        <v>805</v>
      </c>
      <c r="G129" s="19" t="s">
        <v>807</v>
      </c>
      <c r="H129" s="19" t="s">
        <v>32</v>
      </c>
      <c r="I129" s="26">
        <v>0</v>
      </c>
      <c r="J129">
        <v>4</v>
      </c>
      <c r="K129" s="1"/>
    </row>
    <row r="130" spans="1:11">
      <c r="A130" s="17" t="s">
        <v>52</v>
      </c>
      <c r="B130" s="19" t="s">
        <v>53</v>
      </c>
      <c r="C130" s="19" t="s">
        <v>205</v>
      </c>
      <c r="D130" s="19" t="s">
        <v>206</v>
      </c>
      <c r="E130" s="20" t="s">
        <v>32</v>
      </c>
      <c r="F130" s="19" t="s">
        <v>205</v>
      </c>
      <c r="G130" s="19" t="s">
        <v>207</v>
      </c>
      <c r="H130" s="19" t="s">
        <v>32</v>
      </c>
      <c r="I130" s="26">
        <v>0</v>
      </c>
      <c r="J130">
        <v>277</v>
      </c>
      <c r="K130" s="1"/>
    </row>
    <row r="131" spans="1:11">
      <c r="A131" s="17" t="s">
        <v>52</v>
      </c>
      <c r="B131" s="19" t="s">
        <v>53</v>
      </c>
      <c r="C131" s="19" t="s">
        <v>808</v>
      </c>
      <c r="D131" s="19" t="s">
        <v>809</v>
      </c>
      <c r="E131" s="20" t="s">
        <v>32</v>
      </c>
      <c r="F131" s="19" t="s">
        <v>808</v>
      </c>
      <c r="G131" s="19" t="s">
        <v>810</v>
      </c>
      <c r="H131" s="19" t="s">
        <v>32</v>
      </c>
      <c r="I131" s="26">
        <v>0</v>
      </c>
      <c r="J131">
        <v>10</v>
      </c>
      <c r="K131" s="1"/>
    </row>
    <row r="132" spans="1:11">
      <c r="A132" s="17" t="s">
        <v>52</v>
      </c>
      <c r="B132" s="19" t="s">
        <v>53</v>
      </c>
      <c r="C132" s="19" t="s">
        <v>208</v>
      </c>
      <c r="D132" s="19" t="s">
        <v>209</v>
      </c>
      <c r="E132" s="20" t="s">
        <v>32</v>
      </c>
      <c r="F132" s="19" t="s">
        <v>208</v>
      </c>
      <c r="G132" s="19" t="s">
        <v>210</v>
      </c>
      <c r="H132" s="19" t="s">
        <v>32</v>
      </c>
      <c r="I132" s="26">
        <v>0</v>
      </c>
      <c r="J132">
        <v>9</v>
      </c>
      <c r="K132" s="1"/>
    </row>
    <row r="133" spans="1:11">
      <c r="A133" s="17" t="s">
        <v>52</v>
      </c>
      <c r="B133" s="19" t="s">
        <v>53</v>
      </c>
      <c r="C133" s="19" t="s">
        <v>330</v>
      </c>
      <c r="D133" s="19" t="s">
        <v>331</v>
      </c>
      <c r="E133" s="20" t="s">
        <v>32</v>
      </c>
      <c r="F133" s="19" t="s">
        <v>330</v>
      </c>
      <c r="G133" s="19" t="s">
        <v>332</v>
      </c>
      <c r="H133" s="19" t="s">
        <v>32</v>
      </c>
      <c r="I133" s="26">
        <v>0</v>
      </c>
      <c r="J133">
        <v>7</v>
      </c>
      <c r="K133" s="1"/>
    </row>
    <row r="134" spans="1:11">
      <c r="A134" s="17" t="s">
        <v>52</v>
      </c>
      <c r="B134" s="19" t="s">
        <v>53</v>
      </c>
      <c r="C134" s="19" t="s">
        <v>333</v>
      </c>
      <c r="D134" s="19" t="s">
        <v>334</v>
      </c>
      <c r="E134" s="20" t="s">
        <v>32</v>
      </c>
      <c r="F134" s="19" t="s">
        <v>333</v>
      </c>
      <c r="G134" s="19" t="s">
        <v>335</v>
      </c>
      <c r="H134" s="19" t="s">
        <v>32</v>
      </c>
      <c r="I134" s="26">
        <v>0</v>
      </c>
      <c r="J134">
        <v>4</v>
      </c>
      <c r="K134" s="1"/>
    </row>
    <row r="135" spans="1:11">
      <c r="A135" s="17" t="s">
        <v>52</v>
      </c>
      <c r="B135" s="19" t="s">
        <v>53</v>
      </c>
      <c r="C135" s="19" t="s">
        <v>63</v>
      </c>
      <c r="D135" s="19" t="s">
        <v>64</v>
      </c>
      <c r="E135" s="20" t="s">
        <v>32</v>
      </c>
      <c r="F135" s="19" t="s">
        <v>63</v>
      </c>
      <c r="G135" s="19" t="s">
        <v>65</v>
      </c>
      <c r="H135" s="19" t="s">
        <v>32</v>
      </c>
      <c r="I135" s="26">
        <v>0</v>
      </c>
      <c r="J135">
        <v>1</v>
      </c>
      <c r="K135" s="1"/>
    </row>
    <row r="136" spans="1:11">
      <c r="A136" s="17" t="s">
        <v>52</v>
      </c>
      <c r="B136" s="19" t="s">
        <v>53</v>
      </c>
      <c r="C136" s="19" t="s">
        <v>211</v>
      </c>
      <c r="D136" s="19" t="s">
        <v>212</v>
      </c>
      <c r="E136" s="20" t="s">
        <v>32</v>
      </c>
      <c r="F136" s="19" t="s">
        <v>211</v>
      </c>
      <c r="G136" s="19" t="s">
        <v>213</v>
      </c>
      <c r="H136" s="19" t="s">
        <v>32</v>
      </c>
      <c r="I136">
        <v>0</v>
      </c>
      <c r="J136">
        <v>6636</v>
      </c>
      <c r="K136" s="1"/>
    </row>
    <row r="137" spans="1:11">
      <c r="A137" s="17" t="s">
        <v>52</v>
      </c>
      <c r="B137" s="19" t="s">
        <v>53</v>
      </c>
      <c r="C137" s="19" t="s">
        <v>214</v>
      </c>
      <c r="D137" s="19" t="s">
        <v>215</v>
      </c>
      <c r="E137" s="20" t="s">
        <v>32</v>
      </c>
      <c r="F137" s="19" t="s">
        <v>214</v>
      </c>
      <c r="G137" s="19" t="s">
        <v>216</v>
      </c>
      <c r="H137" s="19" t="s">
        <v>32</v>
      </c>
      <c r="I137">
        <v>0</v>
      </c>
      <c r="J137">
        <v>14</v>
      </c>
      <c r="K137" s="1"/>
    </row>
    <row r="138" spans="1:11">
      <c r="A138" s="17" t="s">
        <v>52</v>
      </c>
      <c r="B138" s="19" t="s">
        <v>53</v>
      </c>
      <c r="C138" s="19" t="s">
        <v>217</v>
      </c>
      <c r="D138" s="19" t="s">
        <v>218</v>
      </c>
      <c r="E138" s="20" t="s">
        <v>32</v>
      </c>
      <c r="F138" s="19" t="s">
        <v>217</v>
      </c>
      <c r="G138" s="19" t="s">
        <v>219</v>
      </c>
      <c r="H138" s="19" t="s">
        <v>32</v>
      </c>
      <c r="I138" s="26">
        <v>0</v>
      </c>
      <c r="J138">
        <v>129</v>
      </c>
      <c r="K138" s="1"/>
    </row>
    <row r="139" spans="1:11">
      <c r="A139" s="17" t="s">
        <v>52</v>
      </c>
      <c r="B139" s="19" t="s">
        <v>53</v>
      </c>
      <c r="C139" s="19" t="s">
        <v>220</v>
      </c>
      <c r="D139" s="19" t="s">
        <v>221</v>
      </c>
      <c r="E139" s="20" t="s">
        <v>32</v>
      </c>
      <c r="F139" s="19" t="s">
        <v>220</v>
      </c>
      <c r="G139" s="19" t="s">
        <v>222</v>
      </c>
      <c r="H139" s="19" t="s">
        <v>32</v>
      </c>
      <c r="I139" s="26">
        <v>0</v>
      </c>
      <c r="J139">
        <v>3</v>
      </c>
      <c r="K139" s="1"/>
    </row>
    <row r="140" spans="1:11">
      <c r="A140" s="17" t="s">
        <v>52</v>
      </c>
      <c r="B140" s="19" t="s">
        <v>53</v>
      </c>
      <c r="C140" s="19" t="s">
        <v>223</v>
      </c>
      <c r="D140" s="19" t="s">
        <v>224</v>
      </c>
      <c r="E140" s="20" t="s">
        <v>32</v>
      </c>
      <c r="F140" s="19" t="s">
        <v>223</v>
      </c>
      <c r="G140" s="19" t="s">
        <v>225</v>
      </c>
      <c r="H140" s="19" t="s">
        <v>32</v>
      </c>
      <c r="I140">
        <v>0</v>
      </c>
      <c r="J140">
        <v>227</v>
      </c>
      <c r="K140" s="1"/>
    </row>
    <row r="141" spans="1:11">
      <c r="A141" s="17" t="s">
        <v>52</v>
      </c>
      <c r="B141" s="19" t="s">
        <v>53</v>
      </c>
      <c r="C141" s="19" t="s">
        <v>226</v>
      </c>
      <c r="D141" s="19" t="s">
        <v>227</v>
      </c>
      <c r="E141" s="20" t="s">
        <v>32</v>
      </c>
      <c r="F141" s="19" t="s">
        <v>226</v>
      </c>
      <c r="G141" s="19" t="s">
        <v>228</v>
      </c>
      <c r="H141" s="19" t="s">
        <v>32</v>
      </c>
      <c r="I141">
        <v>0</v>
      </c>
      <c r="J141">
        <v>59</v>
      </c>
      <c r="K141" s="1"/>
    </row>
    <row r="142" spans="1:11">
      <c r="A142" s="17" t="s">
        <v>52</v>
      </c>
      <c r="B142" s="19" t="s">
        <v>53</v>
      </c>
      <c r="C142" s="19" t="s">
        <v>229</v>
      </c>
      <c r="D142" s="19" t="s">
        <v>230</v>
      </c>
      <c r="E142" s="20" t="s">
        <v>32</v>
      </c>
      <c r="F142" s="19" t="s">
        <v>229</v>
      </c>
      <c r="G142" s="19" t="s">
        <v>231</v>
      </c>
      <c r="H142" s="19" t="s">
        <v>32</v>
      </c>
      <c r="I142" s="26">
        <v>0</v>
      </c>
      <c r="J142">
        <v>12</v>
      </c>
      <c r="K142" s="1"/>
    </row>
    <row r="143" spans="1:11">
      <c r="A143" s="17" t="s">
        <v>52</v>
      </c>
      <c r="B143" s="19" t="s">
        <v>53</v>
      </c>
      <c r="C143" s="19" t="s">
        <v>336</v>
      </c>
      <c r="D143" s="19" t="s">
        <v>337</v>
      </c>
      <c r="E143" s="20" t="s">
        <v>32</v>
      </c>
      <c r="F143" s="19" t="s">
        <v>336</v>
      </c>
      <c r="G143" s="19" t="s">
        <v>338</v>
      </c>
      <c r="H143" s="19" t="s">
        <v>32</v>
      </c>
      <c r="I143" s="26">
        <v>0</v>
      </c>
      <c r="J143">
        <v>148</v>
      </c>
      <c r="K143" s="1"/>
    </row>
    <row r="144" spans="1:11">
      <c r="A144" s="17" t="s">
        <v>52</v>
      </c>
      <c r="B144" s="19" t="s">
        <v>53</v>
      </c>
      <c r="C144" s="19" t="s">
        <v>339</v>
      </c>
      <c r="D144" s="19" t="s">
        <v>340</v>
      </c>
      <c r="E144" s="20" t="s">
        <v>32</v>
      </c>
      <c r="F144" s="19" t="s">
        <v>339</v>
      </c>
      <c r="G144" s="19" t="s">
        <v>341</v>
      </c>
      <c r="H144" s="19" t="s">
        <v>32</v>
      </c>
      <c r="I144" s="26">
        <v>0</v>
      </c>
      <c r="J144">
        <v>66</v>
      </c>
      <c r="K144" s="1"/>
    </row>
    <row r="145" spans="1:11">
      <c r="A145" s="17" t="s">
        <v>52</v>
      </c>
      <c r="B145" s="19" t="s">
        <v>53</v>
      </c>
      <c r="C145" s="19" t="s">
        <v>811</v>
      </c>
      <c r="D145" s="19" t="s">
        <v>812</v>
      </c>
      <c r="E145" s="20" t="s">
        <v>32</v>
      </c>
      <c r="F145" s="19" t="s">
        <v>811</v>
      </c>
      <c r="G145" s="19" t="s">
        <v>813</v>
      </c>
      <c r="H145" s="19" t="s">
        <v>32</v>
      </c>
      <c r="I145" s="26">
        <v>0</v>
      </c>
      <c r="J145">
        <v>1</v>
      </c>
      <c r="K145" s="1"/>
    </row>
    <row r="146" spans="1:11">
      <c r="A146" s="17" t="s">
        <v>52</v>
      </c>
      <c r="B146" s="19" t="s">
        <v>53</v>
      </c>
      <c r="C146" s="19" t="s">
        <v>814</v>
      </c>
      <c r="D146" s="19" t="s">
        <v>815</v>
      </c>
      <c r="E146" s="20" t="s">
        <v>32</v>
      </c>
      <c r="F146" s="19" t="s">
        <v>814</v>
      </c>
      <c r="G146" s="19" t="s">
        <v>816</v>
      </c>
      <c r="H146" s="19" t="s">
        <v>32</v>
      </c>
      <c r="I146" s="26">
        <v>0</v>
      </c>
      <c r="J146">
        <v>27</v>
      </c>
      <c r="K146" s="1"/>
    </row>
    <row r="147" spans="1:11">
      <c r="A147" s="17" t="s">
        <v>52</v>
      </c>
      <c r="B147" s="19" t="s">
        <v>53</v>
      </c>
      <c r="C147" s="19" t="s">
        <v>342</v>
      </c>
      <c r="D147" s="19" t="s">
        <v>343</v>
      </c>
      <c r="E147" s="20" t="s">
        <v>32</v>
      </c>
      <c r="F147" s="19" t="s">
        <v>342</v>
      </c>
      <c r="G147" s="19" t="s">
        <v>344</v>
      </c>
      <c r="H147" s="19" t="s">
        <v>32</v>
      </c>
      <c r="I147" s="26">
        <v>0</v>
      </c>
      <c r="J147">
        <v>31</v>
      </c>
      <c r="K147" s="1"/>
    </row>
    <row r="148" spans="1:11">
      <c r="A148" s="17" t="s">
        <v>52</v>
      </c>
      <c r="B148" s="19" t="s">
        <v>53</v>
      </c>
      <c r="C148" s="19" t="s">
        <v>817</v>
      </c>
      <c r="D148" s="19" t="s">
        <v>818</v>
      </c>
      <c r="E148" s="20" t="s">
        <v>32</v>
      </c>
      <c r="F148" s="19" t="s">
        <v>817</v>
      </c>
      <c r="G148" s="19" t="s">
        <v>819</v>
      </c>
      <c r="H148" s="19" t="s">
        <v>32</v>
      </c>
      <c r="I148" s="26">
        <v>0</v>
      </c>
      <c r="J148">
        <v>2</v>
      </c>
      <c r="K148" s="1"/>
    </row>
    <row r="149" spans="1:11">
      <c r="A149" s="17" t="s">
        <v>52</v>
      </c>
      <c r="B149" s="19" t="s">
        <v>53</v>
      </c>
      <c r="C149" s="19" t="s">
        <v>345</v>
      </c>
      <c r="D149" s="19" t="s">
        <v>346</v>
      </c>
      <c r="E149" s="20" t="s">
        <v>32</v>
      </c>
      <c r="F149" s="19" t="s">
        <v>345</v>
      </c>
      <c r="G149" s="19" t="s">
        <v>347</v>
      </c>
      <c r="H149" s="19" t="s">
        <v>32</v>
      </c>
      <c r="I149" s="26">
        <v>0</v>
      </c>
      <c r="J149">
        <v>227</v>
      </c>
      <c r="K149" s="1"/>
    </row>
    <row r="150" spans="1:11">
      <c r="A150" s="17" t="s">
        <v>52</v>
      </c>
      <c r="B150" s="19" t="s">
        <v>53</v>
      </c>
      <c r="C150" s="19" t="s">
        <v>348</v>
      </c>
      <c r="D150" s="19" t="s">
        <v>349</v>
      </c>
      <c r="E150" s="20" t="s">
        <v>32</v>
      </c>
      <c r="F150" s="19" t="s">
        <v>348</v>
      </c>
      <c r="G150" s="19" t="s">
        <v>350</v>
      </c>
      <c r="H150" s="19" t="s">
        <v>32</v>
      </c>
      <c r="I150">
        <v>0</v>
      </c>
      <c r="J150">
        <v>882</v>
      </c>
      <c r="K150" s="1"/>
    </row>
    <row r="151" spans="1:11">
      <c r="A151" s="17" t="s">
        <v>52</v>
      </c>
      <c r="B151" s="19" t="s">
        <v>53</v>
      </c>
      <c r="C151" s="19" t="s">
        <v>351</v>
      </c>
      <c r="D151" s="19" t="s">
        <v>352</v>
      </c>
      <c r="E151" s="20" t="s">
        <v>32</v>
      </c>
      <c r="F151" s="19" t="s">
        <v>351</v>
      </c>
      <c r="G151" s="19" t="s">
        <v>353</v>
      </c>
      <c r="H151" s="19" t="s">
        <v>32</v>
      </c>
      <c r="I151">
        <v>0</v>
      </c>
      <c r="J151">
        <v>3</v>
      </c>
      <c r="K151" s="1"/>
    </row>
    <row r="152" spans="1:11">
      <c r="A152" s="17" t="s">
        <v>52</v>
      </c>
      <c r="B152" s="19" t="s">
        <v>53</v>
      </c>
      <c r="C152" s="19" t="s">
        <v>354</v>
      </c>
      <c r="D152" s="19" t="s">
        <v>355</v>
      </c>
      <c r="E152" s="20" t="s">
        <v>32</v>
      </c>
      <c r="F152" s="19" t="s">
        <v>354</v>
      </c>
      <c r="G152" s="19" t="s">
        <v>356</v>
      </c>
      <c r="H152" s="19" t="s">
        <v>32</v>
      </c>
      <c r="I152" s="26">
        <v>0</v>
      </c>
      <c r="J152">
        <v>1</v>
      </c>
      <c r="K152" s="1"/>
    </row>
    <row r="153" spans="1:11">
      <c r="A153" s="17" t="s">
        <v>52</v>
      </c>
      <c r="B153" s="19" t="s">
        <v>53</v>
      </c>
      <c r="C153" s="19" t="s">
        <v>357</v>
      </c>
      <c r="D153" s="19" t="s">
        <v>358</v>
      </c>
      <c r="E153" s="20" t="s">
        <v>32</v>
      </c>
      <c r="F153" s="19" t="s">
        <v>357</v>
      </c>
      <c r="G153" s="19" t="s">
        <v>359</v>
      </c>
      <c r="H153" s="19" t="s">
        <v>32</v>
      </c>
      <c r="I153">
        <v>0</v>
      </c>
      <c r="J153">
        <v>6</v>
      </c>
      <c r="K153" s="1"/>
    </row>
    <row r="154" spans="1:11">
      <c r="A154" s="17" t="s">
        <v>52</v>
      </c>
      <c r="B154" s="19" t="s">
        <v>53</v>
      </c>
      <c r="C154" s="19" t="s">
        <v>360</v>
      </c>
      <c r="D154" s="19" t="s">
        <v>361</v>
      </c>
      <c r="E154" s="20" t="s">
        <v>32</v>
      </c>
      <c r="F154" s="19" t="s">
        <v>360</v>
      </c>
      <c r="G154" s="19" t="s">
        <v>362</v>
      </c>
      <c r="H154" s="19" t="s">
        <v>32</v>
      </c>
      <c r="I154">
        <v>0</v>
      </c>
      <c r="J154">
        <v>7</v>
      </c>
      <c r="K154" s="1"/>
    </row>
    <row r="155" spans="1:11">
      <c r="A155" s="17" t="s">
        <v>52</v>
      </c>
      <c r="B155" s="19" t="s">
        <v>53</v>
      </c>
      <c r="C155" s="19" t="s">
        <v>363</v>
      </c>
      <c r="D155" s="19" t="s">
        <v>364</v>
      </c>
      <c r="E155" s="20" t="s">
        <v>32</v>
      </c>
      <c r="F155" s="19" t="s">
        <v>363</v>
      </c>
      <c r="G155" s="19" t="s">
        <v>365</v>
      </c>
      <c r="H155" s="19" t="s">
        <v>32</v>
      </c>
      <c r="I155">
        <v>0</v>
      </c>
      <c r="J155">
        <v>2</v>
      </c>
      <c r="K155" s="1"/>
    </row>
    <row r="156" spans="1:11">
      <c r="A156" s="17" t="s">
        <v>52</v>
      </c>
      <c r="B156" s="19" t="s">
        <v>53</v>
      </c>
      <c r="C156" s="19" t="s">
        <v>89</v>
      </c>
      <c r="D156" s="19" t="s">
        <v>90</v>
      </c>
      <c r="E156" s="20" t="s">
        <v>32</v>
      </c>
      <c r="F156" s="19" t="s">
        <v>89</v>
      </c>
      <c r="G156" s="19" t="s">
        <v>91</v>
      </c>
      <c r="H156" s="19" t="s">
        <v>32</v>
      </c>
      <c r="I156">
        <v>0</v>
      </c>
      <c r="J156">
        <v>31</v>
      </c>
      <c r="K156" s="1"/>
    </row>
    <row r="157" spans="1:11">
      <c r="A157" s="17" t="s">
        <v>52</v>
      </c>
      <c r="B157" s="19" t="s">
        <v>53</v>
      </c>
      <c r="C157" s="19" t="s">
        <v>92</v>
      </c>
      <c r="D157" s="19" t="s">
        <v>93</v>
      </c>
      <c r="E157" s="20" t="s">
        <v>32</v>
      </c>
      <c r="F157" s="19" t="s">
        <v>92</v>
      </c>
      <c r="G157" s="19" t="s">
        <v>94</v>
      </c>
      <c r="H157" s="19" t="s">
        <v>32</v>
      </c>
      <c r="I157">
        <v>0</v>
      </c>
      <c r="J157">
        <v>52</v>
      </c>
      <c r="K157" s="1"/>
    </row>
    <row r="158" spans="1:11">
      <c r="A158" s="17" t="s">
        <v>52</v>
      </c>
      <c r="B158" s="19" t="s">
        <v>53</v>
      </c>
      <c r="C158" s="19" t="s">
        <v>95</v>
      </c>
      <c r="D158" s="19" t="s">
        <v>96</v>
      </c>
      <c r="E158" s="20" t="s">
        <v>32</v>
      </c>
      <c r="F158" s="19" t="s">
        <v>95</v>
      </c>
      <c r="G158" s="19" t="s">
        <v>97</v>
      </c>
      <c r="H158" s="19" t="s">
        <v>32</v>
      </c>
      <c r="I158">
        <v>0</v>
      </c>
      <c r="J158">
        <v>98</v>
      </c>
      <c r="K158" s="1"/>
    </row>
    <row r="159" spans="1:11">
      <c r="A159" s="17" t="s">
        <v>52</v>
      </c>
      <c r="B159" s="19" t="s">
        <v>53</v>
      </c>
      <c r="C159" s="19" t="s">
        <v>820</v>
      </c>
      <c r="D159" s="19" t="s">
        <v>821</v>
      </c>
      <c r="E159" s="20" t="s">
        <v>32</v>
      </c>
      <c r="F159" s="19" t="s">
        <v>820</v>
      </c>
      <c r="G159" s="19" t="s">
        <v>822</v>
      </c>
      <c r="H159" s="19" t="s">
        <v>32</v>
      </c>
      <c r="I159">
        <v>0</v>
      </c>
      <c r="J159">
        <v>1</v>
      </c>
      <c r="K159" s="1"/>
    </row>
    <row r="160" spans="1:11">
      <c r="A160" s="17" t="s">
        <v>52</v>
      </c>
      <c r="B160" s="19" t="s">
        <v>53</v>
      </c>
      <c r="C160" s="19" t="s">
        <v>823</v>
      </c>
      <c r="D160" s="19" t="s">
        <v>824</v>
      </c>
      <c r="E160" s="20" t="s">
        <v>32</v>
      </c>
      <c r="F160" s="19" t="s">
        <v>823</v>
      </c>
      <c r="G160" s="19" t="s">
        <v>825</v>
      </c>
      <c r="H160" s="19" t="s">
        <v>32</v>
      </c>
      <c r="I160">
        <v>0</v>
      </c>
      <c r="J160">
        <v>1</v>
      </c>
      <c r="K160" s="1"/>
    </row>
    <row r="161" spans="1:11">
      <c r="A161" s="17" t="s">
        <v>52</v>
      </c>
      <c r="B161" s="19" t="s">
        <v>53</v>
      </c>
      <c r="C161" s="19" t="s">
        <v>366</v>
      </c>
      <c r="D161" s="19" t="s">
        <v>367</v>
      </c>
      <c r="E161" s="20" t="s">
        <v>32</v>
      </c>
      <c r="F161" s="19" t="s">
        <v>366</v>
      </c>
      <c r="G161" s="19" t="s">
        <v>368</v>
      </c>
      <c r="H161" s="19" t="s">
        <v>32</v>
      </c>
      <c r="I161">
        <v>0</v>
      </c>
      <c r="J161">
        <v>2</v>
      </c>
      <c r="K161" s="1"/>
    </row>
    <row r="162" spans="1:11">
      <c r="A162" s="17" t="s">
        <v>52</v>
      </c>
      <c r="B162" s="19" t="s">
        <v>53</v>
      </c>
      <c r="C162" s="19" t="s">
        <v>826</v>
      </c>
      <c r="D162" s="19" t="s">
        <v>827</v>
      </c>
      <c r="E162" s="20" t="s">
        <v>32</v>
      </c>
      <c r="F162" s="19" t="s">
        <v>826</v>
      </c>
      <c r="G162" s="19" t="s">
        <v>828</v>
      </c>
      <c r="H162" s="19" t="s">
        <v>32</v>
      </c>
      <c r="I162" s="26">
        <v>0</v>
      </c>
      <c r="J162">
        <v>2032</v>
      </c>
      <c r="K162" s="1"/>
    </row>
    <row r="163" spans="1:11">
      <c r="A163" s="17" t="s">
        <v>52</v>
      </c>
      <c r="B163" s="19" t="s">
        <v>53</v>
      </c>
      <c r="C163" s="19" t="s">
        <v>232</v>
      </c>
      <c r="D163" s="19" t="s">
        <v>233</v>
      </c>
      <c r="E163" s="20" t="s">
        <v>32</v>
      </c>
      <c r="F163" s="19" t="s">
        <v>232</v>
      </c>
      <c r="G163" s="19" t="s">
        <v>234</v>
      </c>
      <c r="H163" s="19" t="s">
        <v>32</v>
      </c>
      <c r="I163" s="26">
        <v>0</v>
      </c>
      <c r="J163">
        <v>2759</v>
      </c>
      <c r="K163" s="1"/>
    </row>
    <row r="164" spans="1:11">
      <c r="A164" s="17" t="s">
        <v>52</v>
      </c>
      <c r="B164" s="19" t="s">
        <v>53</v>
      </c>
      <c r="C164" s="19" t="s">
        <v>369</v>
      </c>
      <c r="D164" s="19" t="s">
        <v>370</v>
      </c>
      <c r="E164" s="20" t="s">
        <v>32</v>
      </c>
      <c r="F164" s="19" t="s">
        <v>369</v>
      </c>
      <c r="G164" s="19" t="s">
        <v>371</v>
      </c>
      <c r="H164" s="19" t="s">
        <v>32</v>
      </c>
      <c r="I164" s="26">
        <v>0</v>
      </c>
      <c r="J164">
        <v>11</v>
      </c>
      <c r="K164" s="1"/>
    </row>
    <row r="165" spans="1:11">
      <c r="A165" s="17" t="s">
        <v>52</v>
      </c>
      <c r="B165" s="19" t="s">
        <v>53</v>
      </c>
      <c r="C165" s="19" t="s">
        <v>372</v>
      </c>
      <c r="D165" s="19" t="s">
        <v>373</v>
      </c>
      <c r="E165" s="20" t="s">
        <v>32</v>
      </c>
      <c r="F165" s="19" t="s">
        <v>372</v>
      </c>
      <c r="G165" s="19" t="s">
        <v>374</v>
      </c>
      <c r="H165" s="19" t="s">
        <v>32</v>
      </c>
      <c r="I165" s="26">
        <v>0</v>
      </c>
      <c r="J165">
        <v>15</v>
      </c>
      <c r="K165" s="1"/>
    </row>
    <row r="166" spans="1:11">
      <c r="A166" s="17" t="s">
        <v>52</v>
      </c>
      <c r="B166" s="19" t="s">
        <v>53</v>
      </c>
      <c r="C166" s="19" t="s">
        <v>829</v>
      </c>
      <c r="D166" s="19" t="s">
        <v>830</v>
      </c>
      <c r="E166" s="20" t="s">
        <v>32</v>
      </c>
      <c r="F166" s="19" t="s">
        <v>829</v>
      </c>
      <c r="G166" s="19" t="s">
        <v>831</v>
      </c>
      <c r="H166" s="19" t="s">
        <v>32</v>
      </c>
      <c r="I166" s="26">
        <v>0</v>
      </c>
      <c r="J166">
        <v>24</v>
      </c>
      <c r="K166" s="1"/>
    </row>
    <row r="167" spans="1:11">
      <c r="A167" s="17" t="s">
        <v>52</v>
      </c>
      <c r="B167" s="19" t="s">
        <v>53</v>
      </c>
      <c r="C167" s="19" t="s">
        <v>375</v>
      </c>
      <c r="D167" s="19" t="s">
        <v>376</v>
      </c>
      <c r="E167" s="20" t="s">
        <v>32</v>
      </c>
      <c r="F167" s="19" t="s">
        <v>375</v>
      </c>
      <c r="G167" s="19" t="s">
        <v>377</v>
      </c>
      <c r="H167" s="19" t="s">
        <v>32</v>
      </c>
      <c r="I167">
        <v>0</v>
      </c>
      <c r="J167">
        <v>24</v>
      </c>
      <c r="K167" s="1"/>
    </row>
    <row r="168" spans="1:11">
      <c r="A168" s="17" t="s">
        <v>52</v>
      </c>
      <c r="B168" s="19" t="s">
        <v>53</v>
      </c>
      <c r="C168" s="19" t="s">
        <v>378</v>
      </c>
      <c r="D168" s="19" t="s">
        <v>379</v>
      </c>
      <c r="E168" s="20" t="s">
        <v>32</v>
      </c>
      <c r="F168" s="19" t="s">
        <v>378</v>
      </c>
      <c r="G168" s="19" t="s">
        <v>380</v>
      </c>
      <c r="H168" s="19" t="s">
        <v>32</v>
      </c>
      <c r="I168">
        <v>0</v>
      </c>
      <c r="J168">
        <v>18</v>
      </c>
      <c r="K168" s="1"/>
    </row>
    <row r="169" spans="1:11">
      <c r="A169" s="17" t="s">
        <v>52</v>
      </c>
      <c r="B169" s="19" t="s">
        <v>53</v>
      </c>
      <c r="C169" s="19" t="s">
        <v>832</v>
      </c>
      <c r="D169" s="19" t="s">
        <v>833</v>
      </c>
      <c r="E169" s="20" t="s">
        <v>32</v>
      </c>
      <c r="F169" s="19" t="s">
        <v>832</v>
      </c>
      <c r="G169" s="19" t="s">
        <v>834</v>
      </c>
      <c r="H169" s="19" t="s">
        <v>32</v>
      </c>
      <c r="I169" s="26">
        <v>0</v>
      </c>
      <c r="J169">
        <v>1</v>
      </c>
      <c r="K169" s="1"/>
    </row>
    <row r="170" spans="1:11">
      <c r="A170" s="17" t="s">
        <v>52</v>
      </c>
      <c r="B170" s="19" t="s">
        <v>53</v>
      </c>
      <c r="C170" s="19" t="s">
        <v>835</v>
      </c>
      <c r="D170" s="19" t="s">
        <v>836</v>
      </c>
      <c r="E170" s="20" t="s">
        <v>32</v>
      </c>
      <c r="F170" s="19" t="s">
        <v>835</v>
      </c>
      <c r="G170" s="19" t="s">
        <v>837</v>
      </c>
      <c r="H170" s="19" t="s">
        <v>32</v>
      </c>
      <c r="I170">
        <v>0</v>
      </c>
      <c r="J170">
        <v>1</v>
      </c>
      <c r="K170" s="1"/>
    </row>
    <row r="171" spans="1:11">
      <c r="A171" s="17" t="s">
        <v>52</v>
      </c>
      <c r="B171" s="19" t="s">
        <v>53</v>
      </c>
      <c r="C171" s="19" t="s">
        <v>838</v>
      </c>
      <c r="D171" s="19" t="s">
        <v>839</v>
      </c>
      <c r="E171" s="20" t="s">
        <v>32</v>
      </c>
      <c r="F171" s="19" t="s">
        <v>838</v>
      </c>
      <c r="G171" s="19" t="s">
        <v>840</v>
      </c>
      <c r="H171" s="19" t="s">
        <v>32</v>
      </c>
      <c r="I171">
        <v>0</v>
      </c>
      <c r="J171">
        <v>1</v>
      </c>
      <c r="K171" s="1"/>
    </row>
    <row r="172" spans="1:11">
      <c r="A172" s="17" t="s">
        <v>52</v>
      </c>
      <c r="B172" s="19" t="s">
        <v>53</v>
      </c>
      <c r="C172" s="19" t="s">
        <v>381</v>
      </c>
      <c r="D172" s="19" t="s">
        <v>382</v>
      </c>
      <c r="E172" s="20" t="s">
        <v>32</v>
      </c>
      <c r="F172" s="19" t="s">
        <v>381</v>
      </c>
      <c r="G172" s="19" t="s">
        <v>383</v>
      </c>
      <c r="H172" s="19" t="s">
        <v>32</v>
      </c>
      <c r="I172">
        <v>0</v>
      </c>
      <c r="J172">
        <v>20</v>
      </c>
      <c r="K172" s="1"/>
    </row>
    <row r="173" spans="1:11">
      <c r="A173" s="17" t="s">
        <v>52</v>
      </c>
      <c r="B173" s="19" t="s">
        <v>53</v>
      </c>
      <c r="C173" s="19" t="s">
        <v>841</v>
      </c>
      <c r="D173" s="19" t="s">
        <v>842</v>
      </c>
      <c r="E173" s="20" t="s">
        <v>32</v>
      </c>
      <c r="F173" s="19" t="s">
        <v>841</v>
      </c>
      <c r="G173" s="19" t="s">
        <v>843</v>
      </c>
      <c r="H173" s="19" t="s">
        <v>32</v>
      </c>
      <c r="I173" s="26">
        <v>0</v>
      </c>
      <c r="J173">
        <v>1</v>
      </c>
      <c r="K173" s="1"/>
    </row>
    <row r="174" spans="1:11">
      <c r="A174" s="17" t="s">
        <v>52</v>
      </c>
      <c r="B174" s="19" t="s">
        <v>53</v>
      </c>
      <c r="C174" s="19" t="s">
        <v>844</v>
      </c>
      <c r="D174" s="19" t="s">
        <v>845</v>
      </c>
      <c r="E174" s="20" t="s">
        <v>32</v>
      </c>
      <c r="F174" s="19" t="s">
        <v>844</v>
      </c>
      <c r="G174" s="19" t="s">
        <v>846</v>
      </c>
      <c r="H174" s="19" t="s">
        <v>32</v>
      </c>
      <c r="I174">
        <v>0</v>
      </c>
      <c r="J174">
        <v>1</v>
      </c>
      <c r="K174" s="1"/>
    </row>
    <row r="175" spans="1:11">
      <c r="A175" s="17" t="s">
        <v>52</v>
      </c>
      <c r="B175" s="19" t="s">
        <v>53</v>
      </c>
      <c r="C175" s="19" t="s">
        <v>847</v>
      </c>
      <c r="D175" s="19" t="s">
        <v>848</v>
      </c>
      <c r="E175" s="20" t="s">
        <v>32</v>
      </c>
      <c r="F175" s="19" t="s">
        <v>847</v>
      </c>
      <c r="G175" s="19" t="s">
        <v>849</v>
      </c>
      <c r="H175" s="19" t="s">
        <v>32</v>
      </c>
      <c r="I175">
        <v>0</v>
      </c>
      <c r="J175">
        <v>1</v>
      </c>
      <c r="K175" s="1"/>
    </row>
    <row r="176" spans="1:11">
      <c r="A176" s="17" t="s">
        <v>52</v>
      </c>
      <c r="B176" s="19" t="s">
        <v>53</v>
      </c>
      <c r="C176" s="19" t="s">
        <v>850</v>
      </c>
      <c r="D176" s="19" t="s">
        <v>851</v>
      </c>
      <c r="E176" s="20" t="s">
        <v>32</v>
      </c>
      <c r="F176" s="19" t="s">
        <v>850</v>
      </c>
      <c r="G176" s="19" t="s">
        <v>852</v>
      </c>
      <c r="H176" s="19" t="s">
        <v>32</v>
      </c>
      <c r="I176" s="26">
        <v>0</v>
      </c>
      <c r="J176">
        <v>1</v>
      </c>
      <c r="K176" s="1"/>
    </row>
    <row r="177" spans="1:11">
      <c r="A177" s="17" t="s">
        <v>52</v>
      </c>
      <c r="B177" s="19" t="s">
        <v>53</v>
      </c>
      <c r="C177" s="19" t="s">
        <v>384</v>
      </c>
      <c r="D177" s="19" t="s">
        <v>385</v>
      </c>
      <c r="E177" s="20" t="s">
        <v>32</v>
      </c>
      <c r="F177" s="19" t="s">
        <v>384</v>
      </c>
      <c r="G177" s="19" t="s">
        <v>386</v>
      </c>
      <c r="H177" s="19" t="s">
        <v>32</v>
      </c>
      <c r="I177">
        <v>0</v>
      </c>
      <c r="J177">
        <v>17</v>
      </c>
      <c r="K177" s="1"/>
    </row>
    <row r="178" spans="1:11">
      <c r="A178" s="17" t="s">
        <v>52</v>
      </c>
      <c r="B178" s="19" t="s">
        <v>53</v>
      </c>
      <c r="C178" s="19" t="s">
        <v>387</v>
      </c>
      <c r="D178" s="19" t="s">
        <v>388</v>
      </c>
      <c r="E178" s="20" t="s">
        <v>32</v>
      </c>
      <c r="F178" s="19" t="s">
        <v>387</v>
      </c>
      <c r="G178" s="19" t="s">
        <v>389</v>
      </c>
      <c r="H178" s="19" t="s">
        <v>32</v>
      </c>
      <c r="I178">
        <v>0</v>
      </c>
      <c r="J178">
        <v>15</v>
      </c>
      <c r="K178" s="1"/>
    </row>
    <row r="179" spans="1:11">
      <c r="A179" s="17" t="s">
        <v>52</v>
      </c>
      <c r="B179" s="19" t="s">
        <v>53</v>
      </c>
      <c r="C179" s="19" t="s">
        <v>853</v>
      </c>
      <c r="D179" s="19" t="s">
        <v>854</v>
      </c>
      <c r="E179" s="20" t="s">
        <v>32</v>
      </c>
      <c r="F179" s="19" t="s">
        <v>853</v>
      </c>
      <c r="G179" s="19" t="s">
        <v>855</v>
      </c>
      <c r="H179" s="19" t="s">
        <v>32</v>
      </c>
      <c r="I179">
        <v>0</v>
      </c>
      <c r="J179">
        <v>1</v>
      </c>
      <c r="K179" s="1"/>
    </row>
    <row r="180" spans="1:11">
      <c r="A180" s="17" t="s">
        <v>52</v>
      </c>
      <c r="B180" s="19" t="s">
        <v>53</v>
      </c>
      <c r="C180" s="19" t="s">
        <v>856</v>
      </c>
      <c r="D180" s="19" t="s">
        <v>857</v>
      </c>
      <c r="E180" s="20" t="s">
        <v>32</v>
      </c>
      <c r="F180" s="19" t="s">
        <v>856</v>
      </c>
      <c r="G180" s="19" t="s">
        <v>858</v>
      </c>
      <c r="H180" s="19" t="s">
        <v>32</v>
      </c>
      <c r="I180">
        <v>0</v>
      </c>
      <c r="J180">
        <v>1</v>
      </c>
      <c r="K180" s="1"/>
    </row>
    <row r="181" spans="1:11">
      <c r="A181" s="17" t="s">
        <v>66</v>
      </c>
      <c r="B181" s="19" t="s">
        <v>859</v>
      </c>
      <c r="C181" s="19" t="s">
        <v>860</v>
      </c>
      <c r="D181" s="19" t="s">
        <v>861</v>
      </c>
      <c r="E181" s="20" t="s">
        <v>32</v>
      </c>
      <c r="F181" s="19" t="s">
        <v>860</v>
      </c>
      <c r="G181" s="19" t="s">
        <v>862</v>
      </c>
      <c r="H181" s="19" t="s">
        <v>32</v>
      </c>
      <c r="I181" s="26">
        <v>45014</v>
      </c>
      <c r="J181">
        <v>16</v>
      </c>
      <c r="K181" s="1"/>
    </row>
    <row r="182" spans="1:11">
      <c r="A182" s="17" t="s">
        <v>66</v>
      </c>
      <c r="B182" s="19" t="s">
        <v>859</v>
      </c>
      <c r="C182" s="19" t="s">
        <v>863</v>
      </c>
      <c r="D182" s="19" t="s">
        <v>864</v>
      </c>
      <c r="E182" s="20" t="s">
        <v>32</v>
      </c>
      <c r="F182" s="19" t="s">
        <v>863</v>
      </c>
      <c r="G182" s="19" t="s">
        <v>865</v>
      </c>
      <c r="H182" s="19" t="s">
        <v>32</v>
      </c>
      <c r="I182">
        <v>192108</v>
      </c>
      <c r="J182">
        <v>109</v>
      </c>
      <c r="K182" s="1"/>
    </row>
    <row r="183" spans="1:11">
      <c r="A183" s="17" t="s">
        <v>66</v>
      </c>
      <c r="B183" s="19" t="s">
        <v>859</v>
      </c>
      <c r="C183" s="19" t="s">
        <v>866</v>
      </c>
      <c r="D183" s="19" t="s">
        <v>867</v>
      </c>
      <c r="E183" s="20" t="s">
        <v>32</v>
      </c>
      <c r="F183" s="19" t="s">
        <v>866</v>
      </c>
      <c r="G183" s="19" t="s">
        <v>868</v>
      </c>
      <c r="H183" s="19" t="s">
        <v>32</v>
      </c>
      <c r="I183">
        <v>45118</v>
      </c>
      <c r="J183">
        <v>12</v>
      </c>
      <c r="K183" s="1"/>
    </row>
    <row r="184" spans="1:11">
      <c r="A184" s="17" t="s">
        <v>66</v>
      </c>
      <c r="B184" s="19" t="s">
        <v>859</v>
      </c>
      <c r="C184" s="19" t="s">
        <v>869</v>
      </c>
      <c r="D184" s="19" t="s">
        <v>870</v>
      </c>
      <c r="E184" s="20" t="s">
        <v>32</v>
      </c>
      <c r="F184" s="19" t="s">
        <v>869</v>
      </c>
      <c r="G184" s="19" t="s">
        <v>871</v>
      </c>
      <c r="H184" s="19" t="s">
        <v>32</v>
      </c>
      <c r="I184">
        <v>43527</v>
      </c>
      <c r="J184">
        <v>12</v>
      </c>
      <c r="K184" s="1"/>
    </row>
    <row r="185" spans="1:11">
      <c r="A185" s="17" t="s">
        <v>66</v>
      </c>
      <c r="B185" s="19" t="s">
        <v>67</v>
      </c>
      <c r="C185" s="19" t="s">
        <v>390</v>
      </c>
      <c r="D185" s="19" t="s">
        <v>391</v>
      </c>
      <c r="E185" s="20" t="s">
        <v>32</v>
      </c>
      <c r="F185" s="19" t="s">
        <v>390</v>
      </c>
      <c r="G185" s="19" t="s">
        <v>392</v>
      </c>
      <c r="H185" s="19" t="s">
        <v>32</v>
      </c>
      <c r="I185" s="26">
        <v>0</v>
      </c>
      <c r="J185">
        <v>1</v>
      </c>
      <c r="K185" s="1"/>
    </row>
    <row r="186" spans="1:11">
      <c r="A186" s="17" t="s">
        <v>66</v>
      </c>
      <c r="B186" s="19" t="s">
        <v>67</v>
      </c>
      <c r="C186" s="19" t="s">
        <v>98</v>
      </c>
      <c r="D186" s="19" t="s">
        <v>99</v>
      </c>
      <c r="E186" s="20" t="s">
        <v>32</v>
      </c>
      <c r="F186" s="19" t="s">
        <v>98</v>
      </c>
      <c r="G186" s="19" t="s">
        <v>100</v>
      </c>
      <c r="H186" s="19" t="s">
        <v>32</v>
      </c>
      <c r="I186" s="26">
        <v>2</v>
      </c>
      <c r="J186">
        <v>0</v>
      </c>
      <c r="K186" s="1"/>
    </row>
    <row r="187" spans="1:11">
      <c r="A187" s="17" t="s">
        <v>66</v>
      </c>
      <c r="B187" s="19" t="s">
        <v>67</v>
      </c>
      <c r="C187" s="19" t="s">
        <v>393</v>
      </c>
      <c r="D187" s="19" t="s">
        <v>394</v>
      </c>
      <c r="E187" s="20" t="s">
        <v>32</v>
      </c>
      <c r="F187" s="19" t="s">
        <v>393</v>
      </c>
      <c r="G187" s="19" t="s">
        <v>395</v>
      </c>
      <c r="H187" s="19" t="s">
        <v>32</v>
      </c>
      <c r="I187">
        <v>0</v>
      </c>
      <c r="J187">
        <v>1</v>
      </c>
      <c r="K187" s="1"/>
    </row>
    <row r="188" spans="1:11">
      <c r="A188" s="17" t="s">
        <v>66</v>
      </c>
      <c r="B188" s="19" t="s">
        <v>67</v>
      </c>
      <c r="C188" s="19" t="s">
        <v>396</v>
      </c>
      <c r="D188" s="19" t="s">
        <v>397</v>
      </c>
      <c r="E188" s="20" t="s">
        <v>11</v>
      </c>
      <c r="F188" s="19" t="s">
        <v>109</v>
      </c>
      <c r="G188" s="19" t="s">
        <v>110</v>
      </c>
      <c r="H188" s="19" t="s">
        <v>31</v>
      </c>
      <c r="I188" s="26">
        <v>2</v>
      </c>
      <c r="J188">
        <v>0</v>
      </c>
      <c r="K188" s="1"/>
    </row>
    <row r="189" spans="1:11">
      <c r="A189" s="17" t="s">
        <v>66</v>
      </c>
      <c r="B189" s="19" t="s">
        <v>398</v>
      </c>
      <c r="C189" s="19" t="s">
        <v>872</v>
      </c>
      <c r="D189" s="19" t="s">
        <v>873</v>
      </c>
      <c r="E189" s="20" t="s">
        <v>32</v>
      </c>
      <c r="F189" s="19" t="s">
        <v>872</v>
      </c>
      <c r="G189" s="19" t="s">
        <v>874</v>
      </c>
      <c r="H189" s="19" t="s">
        <v>32</v>
      </c>
      <c r="I189" s="26">
        <v>23875</v>
      </c>
      <c r="J189">
        <v>1</v>
      </c>
      <c r="K189" s="1"/>
    </row>
    <row r="190" spans="1:11">
      <c r="A190" s="17" t="s">
        <v>66</v>
      </c>
      <c r="B190" s="19" t="s">
        <v>398</v>
      </c>
      <c r="C190" s="19" t="s">
        <v>875</v>
      </c>
      <c r="D190" s="19" t="s">
        <v>876</v>
      </c>
      <c r="E190" s="20" t="s">
        <v>32</v>
      </c>
      <c r="F190" s="19" t="s">
        <v>875</v>
      </c>
      <c r="G190" s="19" t="s">
        <v>877</v>
      </c>
      <c r="H190" s="19" t="s">
        <v>32</v>
      </c>
      <c r="I190" s="26">
        <v>570169</v>
      </c>
      <c r="J190">
        <v>861</v>
      </c>
      <c r="K190" s="1"/>
    </row>
    <row r="191" spans="1:11">
      <c r="A191" s="17" t="s">
        <v>66</v>
      </c>
      <c r="B191" s="19" t="s">
        <v>398</v>
      </c>
      <c r="C191" s="19" t="s">
        <v>399</v>
      </c>
      <c r="D191" s="19" t="s">
        <v>400</v>
      </c>
      <c r="E191" s="20" t="s">
        <v>32</v>
      </c>
      <c r="F191" s="19" t="s">
        <v>399</v>
      </c>
      <c r="G191" s="19" t="s">
        <v>401</v>
      </c>
      <c r="H191" s="19" t="s">
        <v>32</v>
      </c>
      <c r="I191" s="26">
        <v>0</v>
      </c>
      <c r="J191">
        <v>1</v>
      </c>
      <c r="K191" s="1"/>
    </row>
    <row r="192" spans="1:11">
      <c r="A192" s="17" t="s">
        <v>66</v>
      </c>
      <c r="B192" s="19" t="s">
        <v>398</v>
      </c>
      <c r="C192" s="19" t="s">
        <v>878</v>
      </c>
      <c r="D192" s="19" t="s">
        <v>879</v>
      </c>
      <c r="E192" s="20" t="s">
        <v>32</v>
      </c>
      <c r="F192" s="19" t="s">
        <v>878</v>
      </c>
      <c r="G192" s="19" t="s">
        <v>880</v>
      </c>
      <c r="H192" s="19" t="s">
        <v>32</v>
      </c>
      <c r="I192" s="26">
        <v>212876</v>
      </c>
      <c r="J192">
        <v>621</v>
      </c>
      <c r="K192" s="1"/>
    </row>
    <row r="193" spans="1:11">
      <c r="A193" s="17" t="s">
        <v>66</v>
      </c>
      <c r="B193" s="19" t="s">
        <v>398</v>
      </c>
      <c r="C193" s="19" t="s">
        <v>881</v>
      </c>
      <c r="D193" s="19" t="s">
        <v>882</v>
      </c>
      <c r="E193" s="20" t="s">
        <v>32</v>
      </c>
      <c r="F193" s="19" t="s">
        <v>881</v>
      </c>
      <c r="G193" s="19" t="s">
        <v>883</v>
      </c>
      <c r="H193" s="19" t="s">
        <v>32</v>
      </c>
      <c r="I193">
        <v>37731</v>
      </c>
      <c r="J193">
        <v>61</v>
      </c>
      <c r="K193" s="1"/>
    </row>
    <row r="194" spans="1:11">
      <c r="A194" s="17" t="s">
        <v>66</v>
      </c>
      <c r="B194" s="19" t="s">
        <v>398</v>
      </c>
      <c r="C194" s="19" t="s">
        <v>884</v>
      </c>
      <c r="D194" s="19" t="s">
        <v>885</v>
      </c>
      <c r="E194" s="20" t="s">
        <v>32</v>
      </c>
      <c r="F194" s="19" t="s">
        <v>884</v>
      </c>
      <c r="G194" s="19" t="s">
        <v>886</v>
      </c>
      <c r="H194" s="19" t="s">
        <v>32</v>
      </c>
      <c r="I194">
        <v>408825</v>
      </c>
      <c r="J194">
        <v>737</v>
      </c>
      <c r="K194" s="1"/>
    </row>
    <row r="195" spans="1:11">
      <c r="A195" s="17" t="s">
        <v>66</v>
      </c>
      <c r="B195" s="19" t="s">
        <v>398</v>
      </c>
      <c r="C195" s="19" t="s">
        <v>402</v>
      </c>
      <c r="D195" s="19" t="s">
        <v>403</v>
      </c>
      <c r="E195" s="20" t="s">
        <v>32</v>
      </c>
      <c r="F195" s="19" t="s">
        <v>402</v>
      </c>
      <c r="G195" s="19" t="s">
        <v>404</v>
      </c>
      <c r="H195" s="19" t="s">
        <v>32</v>
      </c>
      <c r="I195">
        <v>0</v>
      </c>
      <c r="J195">
        <v>1</v>
      </c>
      <c r="K195" s="1"/>
    </row>
    <row r="196" spans="1:11">
      <c r="A196" s="17" t="s">
        <v>66</v>
      </c>
      <c r="B196" s="19" t="s">
        <v>398</v>
      </c>
      <c r="C196" s="19" t="s">
        <v>887</v>
      </c>
      <c r="D196" s="19" t="s">
        <v>888</v>
      </c>
      <c r="E196" s="20" t="s">
        <v>32</v>
      </c>
      <c r="F196" s="19" t="s">
        <v>887</v>
      </c>
      <c r="G196" s="19" t="s">
        <v>889</v>
      </c>
      <c r="H196" s="19" t="s">
        <v>32</v>
      </c>
      <c r="I196">
        <v>62737</v>
      </c>
      <c r="J196">
        <v>47</v>
      </c>
      <c r="K196" s="1"/>
    </row>
    <row r="197" spans="1:11">
      <c r="A197" s="17" t="s">
        <v>66</v>
      </c>
      <c r="B197" s="19" t="s">
        <v>398</v>
      </c>
      <c r="C197" s="19" t="s">
        <v>890</v>
      </c>
      <c r="D197" s="19" t="s">
        <v>891</v>
      </c>
      <c r="E197" s="20" t="s">
        <v>32</v>
      </c>
      <c r="F197" s="19" t="s">
        <v>890</v>
      </c>
      <c r="G197" s="19" t="s">
        <v>892</v>
      </c>
      <c r="H197" s="19" t="s">
        <v>32</v>
      </c>
      <c r="I197">
        <v>199997</v>
      </c>
      <c r="J197">
        <v>692</v>
      </c>
      <c r="K197" s="1"/>
    </row>
    <row r="198" spans="1:11">
      <c r="A198" s="17" t="s">
        <v>66</v>
      </c>
      <c r="B198" s="19" t="s">
        <v>398</v>
      </c>
      <c r="C198" s="19" t="s">
        <v>893</v>
      </c>
      <c r="D198" s="19" t="s">
        <v>894</v>
      </c>
      <c r="E198" s="20" t="s">
        <v>32</v>
      </c>
      <c r="F198" s="19" t="s">
        <v>893</v>
      </c>
      <c r="G198" s="19" t="s">
        <v>895</v>
      </c>
      <c r="H198" s="19" t="s">
        <v>32</v>
      </c>
      <c r="I198">
        <v>73721</v>
      </c>
      <c r="J198">
        <v>376</v>
      </c>
      <c r="K198" s="1"/>
    </row>
    <row r="199" spans="1:11">
      <c r="A199" s="17" t="s">
        <v>66</v>
      </c>
      <c r="B199" s="19" t="s">
        <v>398</v>
      </c>
      <c r="C199" s="19" t="s">
        <v>896</v>
      </c>
      <c r="D199" s="19" t="s">
        <v>897</v>
      </c>
      <c r="E199" s="20" t="s">
        <v>32</v>
      </c>
      <c r="F199" s="19" t="s">
        <v>896</v>
      </c>
      <c r="G199" s="19" t="s">
        <v>898</v>
      </c>
      <c r="H199" s="19" t="s">
        <v>32</v>
      </c>
      <c r="I199">
        <v>22713</v>
      </c>
      <c r="J199">
        <v>105</v>
      </c>
      <c r="K199" s="1"/>
    </row>
    <row r="200" spans="1:11">
      <c r="A200" s="17" t="s">
        <v>66</v>
      </c>
      <c r="B200" s="19" t="s">
        <v>398</v>
      </c>
      <c r="C200" s="19" t="s">
        <v>899</v>
      </c>
      <c r="D200" s="19" t="s">
        <v>900</v>
      </c>
      <c r="E200" s="20" t="s">
        <v>32</v>
      </c>
      <c r="F200" s="19" t="s">
        <v>899</v>
      </c>
      <c r="G200" s="19" t="s">
        <v>901</v>
      </c>
      <c r="H200" s="19" t="s">
        <v>32</v>
      </c>
      <c r="I200">
        <v>246590</v>
      </c>
      <c r="J200">
        <v>483</v>
      </c>
      <c r="K200" s="1"/>
    </row>
    <row r="201" spans="1:11">
      <c r="A201" s="17" t="s">
        <v>66</v>
      </c>
      <c r="B201" s="19" t="s">
        <v>398</v>
      </c>
      <c r="C201" s="19" t="s">
        <v>902</v>
      </c>
      <c r="D201" s="19" t="s">
        <v>903</v>
      </c>
      <c r="E201" s="20" t="s">
        <v>32</v>
      </c>
      <c r="F201" s="19" t="s">
        <v>902</v>
      </c>
      <c r="G201" s="19" t="s">
        <v>904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66</v>
      </c>
      <c r="B202" s="19" t="s">
        <v>79</v>
      </c>
      <c r="C202" s="19" t="s">
        <v>405</v>
      </c>
      <c r="D202" s="19" t="s">
        <v>406</v>
      </c>
      <c r="E202" s="20" t="s">
        <v>32</v>
      </c>
      <c r="F202" s="19" t="s">
        <v>405</v>
      </c>
      <c r="G202" s="19" t="s">
        <v>407</v>
      </c>
      <c r="H202" s="19" t="s">
        <v>32</v>
      </c>
      <c r="I202">
        <v>324</v>
      </c>
      <c r="J202">
        <v>431</v>
      </c>
      <c r="K202" s="1"/>
    </row>
    <row r="203" spans="1:11">
      <c r="A203" s="17" t="s">
        <v>66</v>
      </c>
      <c r="B203" s="19" t="s">
        <v>79</v>
      </c>
      <c r="C203" s="19" t="s">
        <v>408</v>
      </c>
      <c r="D203" s="19" t="s">
        <v>409</v>
      </c>
      <c r="E203" s="20" t="s">
        <v>32</v>
      </c>
      <c r="F203" s="19" t="s">
        <v>408</v>
      </c>
      <c r="G203" s="19" t="s">
        <v>410</v>
      </c>
      <c r="H203" s="19" t="s">
        <v>32</v>
      </c>
      <c r="I203">
        <v>227</v>
      </c>
      <c r="J203">
        <v>340</v>
      </c>
      <c r="K203" s="1"/>
    </row>
    <row r="204" spans="1:11">
      <c r="A204" s="17" t="s">
        <v>66</v>
      </c>
      <c r="B204" s="19" t="s">
        <v>79</v>
      </c>
      <c r="C204" s="19" t="s">
        <v>411</v>
      </c>
      <c r="D204" s="19" t="s">
        <v>412</v>
      </c>
      <c r="E204" s="20" t="s">
        <v>32</v>
      </c>
      <c r="F204" s="19" t="s">
        <v>411</v>
      </c>
      <c r="G204" s="19" t="s">
        <v>413</v>
      </c>
      <c r="H204" s="19" t="s">
        <v>32</v>
      </c>
      <c r="I204">
        <v>312</v>
      </c>
      <c r="J204">
        <v>1027</v>
      </c>
      <c r="K204" s="1"/>
    </row>
    <row r="205" spans="1:11">
      <c r="A205" s="17" t="s">
        <v>66</v>
      </c>
      <c r="B205" s="19" t="s">
        <v>79</v>
      </c>
      <c r="C205" s="19" t="s">
        <v>905</v>
      </c>
      <c r="D205" s="19" t="s">
        <v>906</v>
      </c>
      <c r="E205" s="20" t="s">
        <v>32</v>
      </c>
      <c r="F205" s="19" t="s">
        <v>905</v>
      </c>
      <c r="G205" s="19" t="s">
        <v>907</v>
      </c>
      <c r="H205" s="19" t="s">
        <v>32</v>
      </c>
      <c r="I205">
        <v>3552</v>
      </c>
      <c r="J205">
        <v>12182</v>
      </c>
      <c r="K205" s="1"/>
    </row>
    <row r="206" spans="1:11">
      <c r="A206" s="17" t="s">
        <v>66</v>
      </c>
      <c r="B206" s="19" t="s">
        <v>79</v>
      </c>
      <c r="C206" s="19" t="s">
        <v>908</v>
      </c>
      <c r="D206" s="19" t="s">
        <v>909</v>
      </c>
      <c r="E206" s="20" t="s">
        <v>32</v>
      </c>
      <c r="F206" s="19" t="s">
        <v>908</v>
      </c>
      <c r="G206" s="19" t="s">
        <v>910</v>
      </c>
      <c r="H206" s="19" t="s">
        <v>32</v>
      </c>
      <c r="I206">
        <v>2711</v>
      </c>
      <c r="J206">
        <v>6566</v>
      </c>
      <c r="K206" s="1"/>
    </row>
    <row r="207" spans="1:11">
      <c r="A207" s="17" t="s">
        <v>66</v>
      </c>
      <c r="B207" s="19" t="s">
        <v>79</v>
      </c>
      <c r="C207" s="19" t="s">
        <v>911</v>
      </c>
      <c r="D207" s="19" t="s">
        <v>912</v>
      </c>
      <c r="E207" s="20" t="s">
        <v>32</v>
      </c>
      <c r="F207" s="19" t="s">
        <v>911</v>
      </c>
      <c r="G207" s="19" t="s">
        <v>913</v>
      </c>
      <c r="H207" s="19" t="s">
        <v>32</v>
      </c>
      <c r="I207">
        <v>0</v>
      </c>
      <c r="J207">
        <v>1</v>
      </c>
      <c r="K207" s="1"/>
    </row>
    <row r="208" spans="1:11">
      <c r="A208" s="17" t="s">
        <v>66</v>
      </c>
      <c r="B208" s="19" t="s">
        <v>79</v>
      </c>
      <c r="C208" s="19" t="s">
        <v>914</v>
      </c>
      <c r="D208" s="19" t="s">
        <v>915</v>
      </c>
      <c r="E208" s="20" t="s">
        <v>32</v>
      </c>
      <c r="F208" s="19" t="s">
        <v>914</v>
      </c>
      <c r="G208" s="19" t="s">
        <v>916</v>
      </c>
      <c r="H208" s="19" t="s">
        <v>32</v>
      </c>
      <c r="I208">
        <v>1090</v>
      </c>
      <c r="J208">
        <v>5952</v>
      </c>
      <c r="K208" s="1"/>
    </row>
    <row r="209" spans="1:11">
      <c r="A209" s="17" t="s">
        <v>66</v>
      </c>
      <c r="B209" s="19" t="s">
        <v>79</v>
      </c>
      <c r="C209" s="19" t="s">
        <v>414</v>
      </c>
      <c r="D209" s="19" t="s">
        <v>415</v>
      </c>
      <c r="E209" s="20" t="s">
        <v>32</v>
      </c>
      <c r="F209" s="19" t="s">
        <v>414</v>
      </c>
      <c r="G209" s="19" t="s">
        <v>416</v>
      </c>
      <c r="H209" s="19" t="s">
        <v>32</v>
      </c>
      <c r="I209">
        <v>5733197</v>
      </c>
      <c r="J209">
        <v>29775</v>
      </c>
      <c r="K209" s="1"/>
    </row>
    <row r="210" spans="1:11">
      <c r="A210" s="17" t="s">
        <v>66</v>
      </c>
      <c r="B210" s="19" t="s">
        <v>79</v>
      </c>
      <c r="C210" s="19" t="s">
        <v>417</v>
      </c>
      <c r="D210" s="19" t="s">
        <v>418</v>
      </c>
      <c r="E210" s="20" t="s">
        <v>32</v>
      </c>
      <c r="F210" s="19" t="s">
        <v>417</v>
      </c>
      <c r="G210" s="19" t="s">
        <v>419</v>
      </c>
      <c r="H210" s="19" t="s">
        <v>32</v>
      </c>
      <c r="I210">
        <v>0</v>
      </c>
      <c r="J210">
        <v>16</v>
      </c>
      <c r="K210" s="1"/>
    </row>
    <row r="211" spans="1:11">
      <c r="A211" s="17" t="s">
        <v>66</v>
      </c>
      <c r="B211" s="19" t="s">
        <v>79</v>
      </c>
      <c r="C211" s="19" t="s">
        <v>420</v>
      </c>
      <c r="D211" s="19" t="s">
        <v>421</v>
      </c>
      <c r="E211" s="20" t="s">
        <v>32</v>
      </c>
      <c r="F211" s="19" t="s">
        <v>420</v>
      </c>
      <c r="G211" s="19" t="s">
        <v>422</v>
      </c>
      <c r="H211" s="19" t="s">
        <v>32</v>
      </c>
      <c r="I211">
        <v>1950</v>
      </c>
      <c r="J211">
        <v>9831</v>
      </c>
      <c r="K211" s="1"/>
    </row>
    <row r="212" spans="1:11">
      <c r="A212" s="17" t="s">
        <v>66</v>
      </c>
      <c r="B212" s="19" t="s">
        <v>79</v>
      </c>
      <c r="C212" s="19" t="s">
        <v>423</v>
      </c>
      <c r="D212" s="19" t="s">
        <v>424</v>
      </c>
      <c r="E212" s="20" t="s">
        <v>32</v>
      </c>
      <c r="F212" s="19" t="s">
        <v>423</v>
      </c>
      <c r="G212" s="19" t="s">
        <v>425</v>
      </c>
      <c r="H212" s="19" t="s">
        <v>32</v>
      </c>
      <c r="I212">
        <v>0</v>
      </c>
      <c r="J212">
        <v>1</v>
      </c>
      <c r="K212" s="1"/>
    </row>
    <row r="213" spans="1:11">
      <c r="A213" s="17" t="s">
        <v>66</v>
      </c>
      <c r="B213" s="19" t="s">
        <v>426</v>
      </c>
      <c r="C213" s="19" t="s">
        <v>427</v>
      </c>
      <c r="D213" s="19" t="s">
        <v>428</v>
      </c>
      <c r="E213" s="20" t="s">
        <v>32</v>
      </c>
      <c r="F213" s="19" t="s">
        <v>427</v>
      </c>
      <c r="G213" s="19" t="s">
        <v>429</v>
      </c>
      <c r="H213" s="19" t="s">
        <v>32</v>
      </c>
      <c r="I213">
        <v>9</v>
      </c>
      <c r="J213">
        <v>1</v>
      </c>
      <c r="K213" s="1"/>
    </row>
    <row r="214" spans="1:11">
      <c r="A214" s="17" t="s">
        <v>66</v>
      </c>
      <c r="B214" s="19" t="s">
        <v>101</v>
      </c>
      <c r="C214" s="19" t="s">
        <v>917</v>
      </c>
      <c r="D214" s="19" t="s">
        <v>918</v>
      </c>
      <c r="E214" s="20" t="s">
        <v>12</v>
      </c>
      <c r="F214" s="19" t="s">
        <v>917</v>
      </c>
      <c r="G214" s="19" t="s">
        <v>919</v>
      </c>
      <c r="H214" s="19" t="s">
        <v>31</v>
      </c>
      <c r="I214">
        <v>304</v>
      </c>
      <c r="J214">
        <v>0</v>
      </c>
      <c r="K214" s="1"/>
    </row>
    <row r="215" spans="1:11">
      <c r="A215" s="17" t="s">
        <v>66</v>
      </c>
      <c r="B215" s="19" t="s">
        <v>101</v>
      </c>
      <c r="C215" s="19" t="s">
        <v>430</v>
      </c>
      <c r="D215" s="19" t="s">
        <v>431</v>
      </c>
      <c r="E215" s="20" t="s">
        <v>12</v>
      </c>
      <c r="F215" s="19" t="s">
        <v>430</v>
      </c>
      <c r="G215" s="19" t="s">
        <v>432</v>
      </c>
      <c r="H215" s="19" t="s">
        <v>31</v>
      </c>
      <c r="I215">
        <v>126130</v>
      </c>
      <c r="J215">
        <v>70</v>
      </c>
      <c r="K215" s="1"/>
    </row>
    <row r="216" spans="1:11">
      <c r="A216" s="17" t="s">
        <v>66</v>
      </c>
      <c r="B216" s="19" t="s">
        <v>101</v>
      </c>
      <c r="C216" s="19" t="s">
        <v>920</v>
      </c>
      <c r="D216" s="19" t="s">
        <v>921</v>
      </c>
      <c r="E216" s="20" t="s">
        <v>32</v>
      </c>
      <c r="F216" s="19" t="s">
        <v>920</v>
      </c>
      <c r="G216" s="19" t="s">
        <v>922</v>
      </c>
      <c r="H216" s="19" t="s">
        <v>32</v>
      </c>
      <c r="I216">
        <v>0</v>
      </c>
      <c r="J216">
        <v>1</v>
      </c>
      <c r="K216" s="1"/>
    </row>
    <row r="217" spans="1:11">
      <c r="A217" s="17" t="s">
        <v>66</v>
      </c>
      <c r="B217" s="19" t="s">
        <v>101</v>
      </c>
      <c r="C217" s="19" t="s">
        <v>102</v>
      </c>
      <c r="D217" s="19" t="s">
        <v>103</v>
      </c>
      <c r="E217" s="20" t="s">
        <v>32</v>
      </c>
      <c r="F217" s="19" t="s">
        <v>102</v>
      </c>
      <c r="G217" s="19" t="s">
        <v>104</v>
      </c>
      <c r="H217" s="19" t="s">
        <v>32</v>
      </c>
      <c r="I217">
        <v>162146</v>
      </c>
      <c r="J217">
        <v>1666</v>
      </c>
      <c r="K217" s="1"/>
    </row>
    <row r="218" spans="1:11">
      <c r="A218" s="17" t="s">
        <v>66</v>
      </c>
      <c r="B218" s="19" t="s">
        <v>101</v>
      </c>
      <c r="C218" s="19" t="s">
        <v>923</v>
      </c>
      <c r="D218" s="19" t="s">
        <v>924</v>
      </c>
      <c r="E218" s="20" t="s">
        <v>12</v>
      </c>
      <c r="F218" s="19" t="s">
        <v>923</v>
      </c>
      <c r="G218" s="19" t="s">
        <v>925</v>
      </c>
      <c r="H218" s="19" t="s">
        <v>31</v>
      </c>
      <c r="I218">
        <v>36</v>
      </c>
      <c r="J218">
        <v>0</v>
      </c>
      <c r="K218" s="1"/>
    </row>
    <row r="219" spans="1:11">
      <c r="A219" s="17" t="s">
        <v>66</v>
      </c>
      <c r="B219" s="19" t="s">
        <v>101</v>
      </c>
      <c r="C219" s="19" t="s">
        <v>433</v>
      </c>
      <c r="D219" s="19" t="s">
        <v>434</v>
      </c>
      <c r="E219" s="20" t="s">
        <v>12</v>
      </c>
      <c r="F219" s="19" t="s">
        <v>433</v>
      </c>
      <c r="G219" s="19" t="s">
        <v>435</v>
      </c>
      <c r="H219" s="19" t="s">
        <v>31</v>
      </c>
      <c r="I219">
        <v>268545</v>
      </c>
      <c r="J219">
        <v>1140</v>
      </c>
      <c r="K219" s="1"/>
    </row>
    <row r="220" spans="1:11">
      <c r="A220" s="17" t="s">
        <v>66</v>
      </c>
      <c r="B220" s="19" t="s">
        <v>101</v>
      </c>
      <c r="C220" s="19" t="s">
        <v>436</v>
      </c>
      <c r="D220" s="19" t="s">
        <v>437</v>
      </c>
      <c r="E220" s="20" t="s">
        <v>12</v>
      </c>
      <c r="F220" s="19" t="s">
        <v>436</v>
      </c>
      <c r="G220" s="19" t="s">
        <v>438</v>
      </c>
      <c r="H220" s="19" t="s">
        <v>31</v>
      </c>
      <c r="I220">
        <v>248</v>
      </c>
      <c r="J220">
        <v>0</v>
      </c>
      <c r="K220" s="1"/>
    </row>
    <row r="221" spans="1:11">
      <c r="A221" s="17" t="s">
        <v>66</v>
      </c>
      <c r="B221" s="19" t="s">
        <v>101</v>
      </c>
      <c r="C221" s="19" t="s">
        <v>439</v>
      </c>
      <c r="D221" s="19" t="s">
        <v>440</v>
      </c>
      <c r="E221" s="20" t="s">
        <v>12</v>
      </c>
      <c r="F221" s="19" t="s">
        <v>439</v>
      </c>
      <c r="G221" s="19" t="s">
        <v>441</v>
      </c>
      <c r="H221" s="19" t="s">
        <v>31</v>
      </c>
      <c r="I221">
        <v>17489</v>
      </c>
      <c r="J221">
        <v>17</v>
      </c>
      <c r="K221" s="1"/>
    </row>
    <row r="222" spans="1:11">
      <c r="A222" s="17" t="s">
        <v>66</v>
      </c>
      <c r="B222" s="19" t="s">
        <v>101</v>
      </c>
      <c r="C222" s="19" t="s">
        <v>926</v>
      </c>
      <c r="D222" s="19" t="s">
        <v>927</v>
      </c>
      <c r="E222" s="20" t="s">
        <v>32</v>
      </c>
      <c r="F222" s="19" t="s">
        <v>926</v>
      </c>
      <c r="G222" s="19" t="s">
        <v>928</v>
      </c>
      <c r="H222" s="19" t="s">
        <v>32</v>
      </c>
      <c r="I222">
        <v>0</v>
      </c>
      <c r="J222">
        <v>7</v>
      </c>
      <c r="K222" s="1"/>
    </row>
    <row r="223" spans="1:11">
      <c r="A223" s="17" t="s">
        <v>66</v>
      </c>
      <c r="B223" s="19" t="s">
        <v>101</v>
      </c>
      <c r="C223" s="19" t="s">
        <v>929</v>
      </c>
      <c r="D223" s="19" t="s">
        <v>930</v>
      </c>
      <c r="E223" s="20" t="s">
        <v>32</v>
      </c>
      <c r="F223" s="19" t="s">
        <v>931</v>
      </c>
      <c r="G223" s="19" t="s">
        <v>932</v>
      </c>
      <c r="H223" s="19" t="s">
        <v>32</v>
      </c>
      <c r="I223">
        <v>0</v>
      </c>
      <c r="J223">
        <v>123</v>
      </c>
      <c r="K223" s="1"/>
    </row>
    <row r="224" spans="1:11">
      <c r="A224" s="17" t="s">
        <v>66</v>
      </c>
      <c r="B224" s="19" t="s">
        <v>101</v>
      </c>
      <c r="C224" s="19" t="s">
        <v>933</v>
      </c>
      <c r="D224" s="19" t="s">
        <v>934</v>
      </c>
      <c r="E224" s="20" t="s">
        <v>32</v>
      </c>
      <c r="F224" s="19" t="s">
        <v>933</v>
      </c>
      <c r="G224" s="19" t="s">
        <v>935</v>
      </c>
      <c r="H224" s="19" t="s">
        <v>32</v>
      </c>
      <c r="I224">
        <v>0</v>
      </c>
      <c r="J224">
        <v>728</v>
      </c>
      <c r="K224" s="1"/>
    </row>
    <row r="225" spans="1:11">
      <c r="A225" s="17" t="s">
        <v>66</v>
      </c>
      <c r="B225" s="19" t="s">
        <v>101</v>
      </c>
      <c r="C225" s="19" t="s">
        <v>936</v>
      </c>
      <c r="D225" s="19" t="s">
        <v>937</v>
      </c>
      <c r="E225" s="20" t="s">
        <v>32</v>
      </c>
      <c r="F225" s="19" t="s">
        <v>936</v>
      </c>
      <c r="G225" s="19" t="s">
        <v>938</v>
      </c>
      <c r="H225" s="19" t="s">
        <v>32</v>
      </c>
      <c r="I225">
        <v>12</v>
      </c>
      <c r="J225">
        <v>12</v>
      </c>
      <c r="K225" s="1"/>
    </row>
    <row r="226" spans="1:11">
      <c r="A226" s="17" t="s">
        <v>66</v>
      </c>
      <c r="B226" s="19" t="s">
        <v>101</v>
      </c>
      <c r="C226" s="19" t="s">
        <v>235</v>
      </c>
      <c r="D226" s="19" t="s">
        <v>236</v>
      </c>
      <c r="E226" s="20" t="s">
        <v>32</v>
      </c>
      <c r="F226" s="19" t="s">
        <v>235</v>
      </c>
      <c r="G226" s="19" t="s">
        <v>237</v>
      </c>
      <c r="H226" s="19" t="s">
        <v>32</v>
      </c>
      <c r="I226">
        <v>3640</v>
      </c>
      <c r="J226">
        <v>220</v>
      </c>
      <c r="K226" s="1"/>
    </row>
    <row r="227" spans="1:11">
      <c r="A227" s="17" t="s">
        <v>66</v>
      </c>
      <c r="B227" s="19" t="s">
        <v>101</v>
      </c>
      <c r="C227" s="19" t="s">
        <v>939</v>
      </c>
      <c r="D227" s="19" t="s">
        <v>940</v>
      </c>
      <c r="E227" s="20" t="s">
        <v>32</v>
      </c>
      <c r="F227" s="19" t="s">
        <v>939</v>
      </c>
      <c r="G227" s="19" t="s">
        <v>941</v>
      </c>
      <c r="H227" s="19" t="s">
        <v>32</v>
      </c>
      <c r="I227">
        <v>0</v>
      </c>
      <c r="J227">
        <v>1</v>
      </c>
      <c r="K227" s="1"/>
    </row>
    <row r="228" spans="1:11">
      <c r="A228" s="17" t="s">
        <v>66</v>
      </c>
      <c r="B228" s="19" t="s">
        <v>101</v>
      </c>
      <c r="C228" s="19" t="s">
        <v>238</v>
      </c>
      <c r="D228" s="19" t="s">
        <v>239</v>
      </c>
      <c r="E228" s="20" t="s">
        <v>32</v>
      </c>
      <c r="F228" s="19" t="s">
        <v>238</v>
      </c>
      <c r="G228" s="19" t="s">
        <v>240</v>
      </c>
      <c r="H228" s="19" t="s">
        <v>32</v>
      </c>
      <c r="I228">
        <v>3555</v>
      </c>
      <c r="J228">
        <v>236</v>
      </c>
      <c r="K228" s="1"/>
    </row>
    <row r="229" spans="1:11">
      <c r="A229" s="17" t="s">
        <v>66</v>
      </c>
      <c r="B229" s="19" t="s">
        <v>442</v>
      </c>
      <c r="C229" s="19" t="s">
        <v>942</v>
      </c>
      <c r="D229" s="19" t="s">
        <v>943</v>
      </c>
      <c r="E229" s="20" t="s">
        <v>32</v>
      </c>
      <c r="F229" s="19" t="s">
        <v>942</v>
      </c>
      <c r="G229" s="19" t="s">
        <v>944</v>
      </c>
      <c r="H229" s="19" t="s">
        <v>32</v>
      </c>
      <c r="I229">
        <v>759473</v>
      </c>
      <c r="J229">
        <v>732</v>
      </c>
      <c r="K229" s="1"/>
    </row>
    <row r="230" spans="1:11">
      <c r="A230" s="17" t="s">
        <v>66</v>
      </c>
      <c r="B230" s="19" t="s">
        <v>442</v>
      </c>
      <c r="C230" s="19" t="s">
        <v>945</v>
      </c>
      <c r="D230" s="19" t="s">
        <v>946</v>
      </c>
      <c r="E230" s="20" t="s">
        <v>32</v>
      </c>
      <c r="F230" s="19" t="s">
        <v>945</v>
      </c>
      <c r="G230" s="19" t="s">
        <v>947</v>
      </c>
      <c r="H230" s="19" t="s">
        <v>32</v>
      </c>
      <c r="I230">
        <v>0</v>
      </c>
      <c r="J230">
        <v>1</v>
      </c>
      <c r="K230" s="1"/>
    </row>
    <row r="231" spans="1:11">
      <c r="A231" s="17" t="s">
        <v>66</v>
      </c>
      <c r="B231" s="19" t="s">
        <v>442</v>
      </c>
      <c r="C231" s="19" t="s">
        <v>948</v>
      </c>
      <c r="D231" s="19" t="s">
        <v>949</v>
      </c>
      <c r="E231" s="20" t="s">
        <v>32</v>
      </c>
      <c r="F231" s="19" t="s">
        <v>948</v>
      </c>
      <c r="G231" s="19" t="s">
        <v>950</v>
      </c>
      <c r="H231" s="19" t="s">
        <v>32</v>
      </c>
      <c r="I231">
        <v>0</v>
      </c>
      <c r="J231">
        <v>1</v>
      </c>
      <c r="K231" s="1"/>
    </row>
    <row r="232" spans="1:11">
      <c r="A232" s="17" t="s">
        <v>66</v>
      </c>
      <c r="B232" s="19" t="s">
        <v>442</v>
      </c>
      <c r="C232" s="19" t="s">
        <v>951</v>
      </c>
      <c r="D232" s="19" t="s">
        <v>952</v>
      </c>
      <c r="E232" s="20" t="s">
        <v>32</v>
      </c>
      <c r="F232" s="19" t="s">
        <v>951</v>
      </c>
      <c r="G232" s="19" t="s">
        <v>953</v>
      </c>
      <c r="H232" s="19" t="s">
        <v>32</v>
      </c>
      <c r="I232">
        <v>0</v>
      </c>
      <c r="J232">
        <v>1</v>
      </c>
      <c r="K232" s="1"/>
    </row>
    <row r="233" spans="1:11">
      <c r="A233" s="17" t="s">
        <v>66</v>
      </c>
      <c r="B233" s="19" t="s">
        <v>442</v>
      </c>
      <c r="C233" s="19" t="s">
        <v>954</v>
      </c>
      <c r="D233" s="19" t="s">
        <v>955</v>
      </c>
      <c r="E233" s="20" t="s">
        <v>32</v>
      </c>
      <c r="F233" s="19" t="s">
        <v>954</v>
      </c>
      <c r="G233" s="19" t="s">
        <v>956</v>
      </c>
      <c r="H233" s="19" t="s">
        <v>32</v>
      </c>
      <c r="I233">
        <v>86718</v>
      </c>
      <c r="J233">
        <v>40</v>
      </c>
      <c r="K233" s="1"/>
    </row>
    <row r="234" spans="1:11">
      <c r="A234" s="17" t="s">
        <v>66</v>
      </c>
      <c r="B234" s="19" t="s">
        <v>442</v>
      </c>
      <c r="C234" s="19" t="s">
        <v>957</v>
      </c>
      <c r="D234" s="19" t="s">
        <v>958</v>
      </c>
      <c r="E234" s="20" t="s">
        <v>32</v>
      </c>
      <c r="F234" s="19" t="s">
        <v>957</v>
      </c>
      <c r="G234" s="19" t="s">
        <v>959</v>
      </c>
      <c r="H234" s="19" t="s">
        <v>32</v>
      </c>
      <c r="I234">
        <v>0</v>
      </c>
      <c r="J234">
        <v>1</v>
      </c>
      <c r="K234" s="1"/>
    </row>
    <row r="235" spans="1:11">
      <c r="A235" s="17" t="s">
        <v>66</v>
      </c>
      <c r="B235" s="19" t="s">
        <v>442</v>
      </c>
      <c r="C235" s="19" t="s">
        <v>960</v>
      </c>
      <c r="D235" s="19" t="s">
        <v>961</v>
      </c>
      <c r="E235" s="20" t="s">
        <v>32</v>
      </c>
      <c r="F235" s="19" t="s">
        <v>960</v>
      </c>
      <c r="G235" s="19" t="s">
        <v>962</v>
      </c>
      <c r="H235" s="19" t="s">
        <v>32</v>
      </c>
      <c r="I235">
        <v>62356</v>
      </c>
      <c r="J235">
        <v>29</v>
      </c>
      <c r="K235" s="1"/>
    </row>
    <row r="236" spans="1:11">
      <c r="A236" s="17" t="s">
        <v>66</v>
      </c>
      <c r="B236" s="19" t="s">
        <v>442</v>
      </c>
      <c r="C236" s="19" t="s">
        <v>963</v>
      </c>
      <c r="D236" s="19" t="s">
        <v>964</v>
      </c>
      <c r="E236" s="20" t="s">
        <v>32</v>
      </c>
      <c r="F236" s="19" t="s">
        <v>963</v>
      </c>
      <c r="G236" s="19" t="s">
        <v>965</v>
      </c>
      <c r="H236" s="19" t="s">
        <v>32</v>
      </c>
      <c r="I236">
        <v>0</v>
      </c>
      <c r="J236">
        <v>1</v>
      </c>
      <c r="K236" s="1"/>
    </row>
    <row r="237" spans="1:11">
      <c r="A237" s="17" t="s">
        <v>66</v>
      </c>
      <c r="B237" s="19" t="s">
        <v>80</v>
      </c>
      <c r="C237" s="19" t="s">
        <v>966</v>
      </c>
      <c r="D237" s="19" t="s">
        <v>967</v>
      </c>
      <c r="E237" s="20" t="s">
        <v>11</v>
      </c>
      <c r="F237" s="19" t="s">
        <v>109</v>
      </c>
      <c r="G237" s="19" t="s">
        <v>110</v>
      </c>
      <c r="H237" s="19" t="s">
        <v>31</v>
      </c>
      <c r="I237">
        <v>6</v>
      </c>
      <c r="J237">
        <v>0</v>
      </c>
      <c r="K237" s="1"/>
    </row>
    <row r="238" spans="1:11">
      <c r="A238" s="17" t="s">
        <v>66</v>
      </c>
      <c r="B238" s="19" t="s">
        <v>80</v>
      </c>
      <c r="C238" s="19" t="s">
        <v>968</v>
      </c>
      <c r="D238" s="19" t="s">
        <v>969</v>
      </c>
      <c r="E238" s="20" t="s">
        <v>11</v>
      </c>
      <c r="F238" s="19" t="s">
        <v>109</v>
      </c>
      <c r="G238" s="19" t="s">
        <v>110</v>
      </c>
      <c r="H238" s="19" t="s">
        <v>31</v>
      </c>
      <c r="I238">
        <v>2</v>
      </c>
      <c r="J238">
        <v>0</v>
      </c>
      <c r="K238" s="1"/>
    </row>
    <row r="239" spans="1:11">
      <c r="A239" s="17" t="s">
        <v>66</v>
      </c>
      <c r="B239" s="19" t="s">
        <v>80</v>
      </c>
      <c r="C239" s="19" t="s">
        <v>968</v>
      </c>
      <c r="D239" s="19" t="s">
        <v>969</v>
      </c>
      <c r="E239" s="20" t="s">
        <v>32</v>
      </c>
      <c r="F239" s="19" t="s">
        <v>968</v>
      </c>
      <c r="G239" s="19" t="s">
        <v>970</v>
      </c>
      <c r="H239" s="19" t="s">
        <v>32</v>
      </c>
      <c r="I239">
        <v>30</v>
      </c>
      <c r="J239">
        <v>0</v>
      </c>
      <c r="K239" s="1"/>
    </row>
    <row r="240" spans="1:11">
      <c r="A240" s="17" t="s">
        <v>66</v>
      </c>
      <c r="B240" s="19" t="s">
        <v>80</v>
      </c>
      <c r="C240" s="19" t="s">
        <v>971</v>
      </c>
      <c r="D240" s="19" t="s">
        <v>972</v>
      </c>
      <c r="E240" s="20" t="s">
        <v>11</v>
      </c>
      <c r="F240" s="19" t="s">
        <v>109</v>
      </c>
      <c r="G240" s="19" t="s">
        <v>110</v>
      </c>
      <c r="H240" s="19" t="s">
        <v>31</v>
      </c>
      <c r="I240">
        <v>3</v>
      </c>
      <c r="J240">
        <v>0</v>
      </c>
      <c r="K240" s="1"/>
    </row>
    <row r="241" spans="1:11">
      <c r="A241" s="17" t="s">
        <v>66</v>
      </c>
      <c r="B241" s="19" t="s">
        <v>80</v>
      </c>
      <c r="C241" s="19" t="s">
        <v>971</v>
      </c>
      <c r="D241" s="19" t="s">
        <v>972</v>
      </c>
      <c r="E241" s="20" t="s">
        <v>32</v>
      </c>
      <c r="F241" s="19" t="s">
        <v>971</v>
      </c>
      <c r="G241" s="19" t="s">
        <v>973</v>
      </c>
      <c r="H241" s="19" t="s">
        <v>32</v>
      </c>
      <c r="I241">
        <v>0</v>
      </c>
      <c r="J241">
        <v>1</v>
      </c>
      <c r="K241" s="1"/>
    </row>
    <row r="242" spans="1:11">
      <c r="A242" s="17" t="s">
        <v>66</v>
      </c>
      <c r="B242" s="19" t="s">
        <v>80</v>
      </c>
      <c r="C242" s="19" t="s">
        <v>974</v>
      </c>
      <c r="D242" s="19" t="s">
        <v>975</v>
      </c>
      <c r="E242" s="20" t="s">
        <v>11</v>
      </c>
      <c r="F242" s="19" t="s">
        <v>109</v>
      </c>
      <c r="G242" s="19" t="s">
        <v>110</v>
      </c>
      <c r="H242" s="19" t="s">
        <v>31</v>
      </c>
      <c r="I242">
        <v>2</v>
      </c>
      <c r="J242">
        <v>0</v>
      </c>
      <c r="K242" s="1"/>
    </row>
    <row r="243" spans="1:11">
      <c r="A243" s="17" t="s">
        <v>66</v>
      </c>
      <c r="B243" s="19" t="s">
        <v>80</v>
      </c>
      <c r="C243" s="19" t="s">
        <v>974</v>
      </c>
      <c r="D243" s="19" t="s">
        <v>975</v>
      </c>
      <c r="E243" s="20" t="s">
        <v>32</v>
      </c>
      <c r="F243" s="19" t="s">
        <v>974</v>
      </c>
      <c r="G243" s="19" t="s">
        <v>976</v>
      </c>
      <c r="H243" s="19" t="s">
        <v>32</v>
      </c>
      <c r="I243">
        <v>8</v>
      </c>
      <c r="J243">
        <v>0</v>
      </c>
      <c r="K243" s="1"/>
    </row>
    <row r="244" spans="1:11">
      <c r="A244" s="17" t="s">
        <v>66</v>
      </c>
      <c r="B244" s="19" t="s">
        <v>80</v>
      </c>
      <c r="C244" s="19" t="s">
        <v>977</v>
      </c>
      <c r="D244" s="19" t="s">
        <v>978</v>
      </c>
      <c r="E244" s="20" t="s">
        <v>11</v>
      </c>
      <c r="F244" s="19" t="s">
        <v>109</v>
      </c>
      <c r="G244" s="19" t="s">
        <v>110</v>
      </c>
      <c r="H244" s="19" t="s">
        <v>31</v>
      </c>
      <c r="I244">
        <v>1</v>
      </c>
      <c r="J244">
        <v>0</v>
      </c>
      <c r="K244" s="1"/>
    </row>
    <row r="245" spans="1:11">
      <c r="A245" s="17" t="s">
        <v>66</v>
      </c>
      <c r="B245" s="19" t="s">
        <v>80</v>
      </c>
      <c r="C245" s="19" t="s">
        <v>977</v>
      </c>
      <c r="D245" s="19" t="s">
        <v>978</v>
      </c>
      <c r="E245" s="20" t="s">
        <v>32</v>
      </c>
      <c r="F245" s="19" t="s">
        <v>977</v>
      </c>
      <c r="G245" s="19" t="s">
        <v>979</v>
      </c>
      <c r="H245" s="19" t="s">
        <v>32</v>
      </c>
      <c r="I245">
        <v>588611</v>
      </c>
      <c r="J245">
        <v>965</v>
      </c>
      <c r="K245" s="1"/>
    </row>
    <row r="246" spans="1:11">
      <c r="A246" s="17" t="s">
        <v>66</v>
      </c>
      <c r="B246" s="19" t="s">
        <v>80</v>
      </c>
      <c r="C246" s="19" t="s">
        <v>980</v>
      </c>
      <c r="D246" s="19" t="s">
        <v>981</v>
      </c>
      <c r="E246" s="20" t="s">
        <v>11</v>
      </c>
      <c r="F246" s="19" t="s">
        <v>109</v>
      </c>
      <c r="G246" s="19" t="s">
        <v>110</v>
      </c>
      <c r="H246" s="19" t="s">
        <v>31</v>
      </c>
      <c r="I246">
        <v>2</v>
      </c>
      <c r="J246">
        <v>0</v>
      </c>
      <c r="K246" s="1"/>
    </row>
    <row r="247" spans="1:11">
      <c r="A247" s="17" t="s">
        <v>66</v>
      </c>
      <c r="B247" s="19" t="s">
        <v>80</v>
      </c>
      <c r="C247" s="19" t="s">
        <v>980</v>
      </c>
      <c r="D247" s="19" t="s">
        <v>981</v>
      </c>
      <c r="E247" s="20" t="s">
        <v>32</v>
      </c>
      <c r="F247" s="19" t="s">
        <v>980</v>
      </c>
      <c r="G247" s="19" t="s">
        <v>982</v>
      </c>
      <c r="H247" s="19" t="s">
        <v>32</v>
      </c>
      <c r="I247">
        <v>395359</v>
      </c>
      <c r="J247">
        <v>774</v>
      </c>
      <c r="K247" s="1"/>
    </row>
    <row r="248" spans="1:11">
      <c r="A248" s="17" t="s">
        <v>66</v>
      </c>
      <c r="B248" s="19" t="s">
        <v>80</v>
      </c>
      <c r="C248" s="19" t="s">
        <v>983</v>
      </c>
      <c r="D248" s="19" t="s">
        <v>984</v>
      </c>
      <c r="E248" s="20" t="s">
        <v>11</v>
      </c>
      <c r="F248" s="19" t="s">
        <v>109</v>
      </c>
      <c r="G248" s="19" t="s">
        <v>110</v>
      </c>
      <c r="H248" s="19" t="s">
        <v>31</v>
      </c>
      <c r="I248">
        <v>2</v>
      </c>
      <c r="J248">
        <v>0</v>
      </c>
      <c r="K248" s="1"/>
    </row>
    <row r="249" spans="1:11">
      <c r="A249" s="17" t="s">
        <v>66</v>
      </c>
      <c r="B249" s="19" t="s">
        <v>80</v>
      </c>
      <c r="C249" s="19" t="s">
        <v>983</v>
      </c>
      <c r="D249" s="19" t="s">
        <v>984</v>
      </c>
      <c r="E249" s="20" t="s">
        <v>32</v>
      </c>
      <c r="F249" s="19" t="s">
        <v>983</v>
      </c>
      <c r="G249" s="19" t="s">
        <v>985</v>
      </c>
      <c r="H249" s="19" t="s">
        <v>32</v>
      </c>
      <c r="I249">
        <v>751936</v>
      </c>
      <c r="J249">
        <v>1144</v>
      </c>
      <c r="K249" s="1"/>
    </row>
    <row r="250" spans="1:11">
      <c r="A250" s="17" t="s">
        <v>66</v>
      </c>
      <c r="B250" s="19" t="s">
        <v>80</v>
      </c>
      <c r="C250" s="19" t="s">
        <v>986</v>
      </c>
      <c r="D250" s="19" t="s">
        <v>987</v>
      </c>
      <c r="E250" s="20" t="s">
        <v>11</v>
      </c>
      <c r="F250" s="19" t="s">
        <v>109</v>
      </c>
      <c r="G250" s="19" t="s">
        <v>110</v>
      </c>
      <c r="H250" s="19" t="s">
        <v>31</v>
      </c>
      <c r="I250">
        <v>4</v>
      </c>
      <c r="J250">
        <v>0</v>
      </c>
      <c r="K250" s="1"/>
    </row>
    <row r="251" spans="1:11">
      <c r="A251" s="17" t="s">
        <v>66</v>
      </c>
      <c r="B251" s="19" t="s">
        <v>80</v>
      </c>
      <c r="C251" s="19" t="s">
        <v>986</v>
      </c>
      <c r="D251" s="19" t="s">
        <v>987</v>
      </c>
      <c r="E251" s="20" t="s">
        <v>32</v>
      </c>
      <c r="F251" s="19" t="s">
        <v>986</v>
      </c>
      <c r="G251" s="19" t="s">
        <v>988</v>
      </c>
      <c r="H251" s="19" t="s">
        <v>32</v>
      </c>
      <c r="I251">
        <v>389066</v>
      </c>
      <c r="J251">
        <v>702</v>
      </c>
      <c r="K251" s="1"/>
    </row>
    <row r="252" spans="1:11">
      <c r="A252" s="17" t="s">
        <v>66</v>
      </c>
      <c r="B252" s="19" t="s">
        <v>80</v>
      </c>
      <c r="C252" s="19" t="s">
        <v>989</v>
      </c>
      <c r="D252" s="19" t="s">
        <v>990</v>
      </c>
      <c r="E252" s="20" t="s">
        <v>11</v>
      </c>
      <c r="F252" s="19" t="s">
        <v>109</v>
      </c>
      <c r="G252" s="19" t="s">
        <v>110</v>
      </c>
      <c r="H252" s="19" t="s">
        <v>31</v>
      </c>
      <c r="I252">
        <v>1</v>
      </c>
      <c r="J252">
        <v>0</v>
      </c>
      <c r="K252" s="1"/>
    </row>
    <row r="253" spans="1:11">
      <c r="A253" s="17" t="s">
        <v>66</v>
      </c>
      <c r="B253" s="19" t="s">
        <v>80</v>
      </c>
      <c r="C253" s="19" t="s">
        <v>989</v>
      </c>
      <c r="D253" s="19" t="s">
        <v>990</v>
      </c>
      <c r="E253" s="20" t="s">
        <v>32</v>
      </c>
      <c r="F253" s="19" t="s">
        <v>989</v>
      </c>
      <c r="G253" s="19" t="s">
        <v>991</v>
      </c>
      <c r="H253" s="19" t="s">
        <v>32</v>
      </c>
      <c r="I253">
        <v>0</v>
      </c>
      <c r="J253">
        <v>1</v>
      </c>
      <c r="K253" s="1"/>
    </row>
    <row r="254" spans="1:11">
      <c r="A254" s="17" t="s">
        <v>66</v>
      </c>
      <c r="B254" s="19" t="s">
        <v>80</v>
      </c>
      <c r="C254" s="19" t="s">
        <v>992</v>
      </c>
      <c r="D254" s="19" t="s">
        <v>993</v>
      </c>
      <c r="E254" s="20" t="s">
        <v>11</v>
      </c>
      <c r="F254" s="19" t="s">
        <v>109</v>
      </c>
      <c r="G254" s="19" t="s">
        <v>110</v>
      </c>
      <c r="H254" s="19" t="s">
        <v>31</v>
      </c>
      <c r="I254">
        <v>2</v>
      </c>
      <c r="J254">
        <v>0</v>
      </c>
      <c r="K254" s="1"/>
    </row>
    <row r="255" spans="1:11">
      <c r="A255" s="17" t="s">
        <v>66</v>
      </c>
      <c r="B255" s="19" t="s">
        <v>80</v>
      </c>
      <c r="C255" s="19" t="s">
        <v>992</v>
      </c>
      <c r="D255" s="19" t="s">
        <v>993</v>
      </c>
      <c r="E255" s="20" t="s">
        <v>32</v>
      </c>
      <c r="F255" s="19" t="s">
        <v>992</v>
      </c>
      <c r="G255" s="19" t="s">
        <v>994</v>
      </c>
      <c r="H255" s="19" t="s">
        <v>32</v>
      </c>
      <c r="I255">
        <v>17</v>
      </c>
      <c r="J255">
        <v>0</v>
      </c>
      <c r="K255" s="1"/>
    </row>
    <row r="256" spans="1:11">
      <c r="A256" s="17" t="s">
        <v>66</v>
      </c>
      <c r="B256" s="19" t="s">
        <v>80</v>
      </c>
      <c r="C256" s="19" t="s">
        <v>995</v>
      </c>
      <c r="D256" s="19" t="s">
        <v>996</v>
      </c>
      <c r="E256" s="20" t="s">
        <v>11</v>
      </c>
      <c r="F256" s="19" t="s">
        <v>109</v>
      </c>
      <c r="G256" s="19" t="s">
        <v>110</v>
      </c>
      <c r="H256" s="19" t="s">
        <v>31</v>
      </c>
      <c r="I256">
        <v>2</v>
      </c>
      <c r="J256">
        <v>0</v>
      </c>
      <c r="K256" s="1"/>
    </row>
    <row r="257" spans="1:11">
      <c r="A257" s="17" t="s">
        <v>66</v>
      </c>
      <c r="B257" s="19" t="s">
        <v>80</v>
      </c>
      <c r="C257" s="19" t="s">
        <v>995</v>
      </c>
      <c r="D257" s="19" t="s">
        <v>996</v>
      </c>
      <c r="E257" s="20" t="s">
        <v>32</v>
      </c>
      <c r="F257" s="19" t="s">
        <v>995</v>
      </c>
      <c r="G257" s="19" t="s">
        <v>997</v>
      </c>
      <c r="H257" s="19" t="s">
        <v>32</v>
      </c>
      <c r="I257">
        <v>0</v>
      </c>
      <c r="J257">
        <v>1</v>
      </c>
      <c r="K257" s="1"/>
    </row>
    <row r="258" spans="1:11">
      <c r="A258" s="17" t="s">
        <v>66</v>
      </c>
      <c r="B258" s="19" t="s">
        <v>80</v>
      </c>
      <c r="C258" s="19" t="s">
        <v>998</v>
      </c>
      <c r="D258" s="19" t="s">
        <v>999</v>
      </c>
      <c r="E258" s="20" t="s">
        <v>11</v>
      </c>
      <c r="F258" s="19" t="s">
        <v>109</v>
      </c>
      <c r="G258" s="19" t="s">
        <v>110</v>
      </c>
      <c r="H258" s="19" t="s">
        <v>31</v>
      </c>
      <c r="I258">
        <v>1</v>
      </c>
      <c r="J258">
        <v>0</v>
      </c>
      <c r="K258" s="1"/>
    </row>
    <row r="259" spans="1:11">
      <c r="A259" s="17" t="s">
        <v>66</v>
      </c>
      <c r="B259" s="19" t="s">
        <v>80</v>
      </c>
      <c r="C259" s="19" t="s">
        <v>998</v>
      </c>
      <c r="D259" s="19" t="s">
        <v>999</v>
      </c>
      <c r="E259" s="20" t="s">
        <v>32</v>
      </c>
      <c r="F259" s="19" t="s">
        <v>998</v>
      </c>
      <c r="G259" s="19" t="s">
        <v>1000</v>
      </c>
      <c r="H259" s="19" t="s">
        <v>32</v>
      </c>
      <c r="I259">
        <v>19</v>
      </c>
      <c r="J259">
        <v>1</v>
      </c>
      <c r="K259" s="1"/>
    </row>
    <row r="260" spans="1:11">
      <c r="A260" s="17" t="s">
        <v>66</v>
      </c>
      <c r="B260" s="19" t="s">
        <v>80</v>
      </c>
      <c r="C260" s="19" t="s">
        <v>1001</v>
      </c>
      <c r="D260" s="19" t="s">
        <v>1002</v>
      </c>
      <c r="E260" s="20" t="s">
        <v>11</v>
      </c>
      <c r="F260" s="19" t="s">
        <v>109</v>
      </c>
      <c r="G260" s="19" t="s">
        <v>110</v>
      </c>
      <c r="H260" s="19" t="s">
        <v>31</v>
      </c>
      <c r="I260">
        <v>1</v>
      </c>
      <c r="J260">
        <v>0</v>
      </c>
      <c r="K260" s="1"/>
    </row>
    <row r="261" spans="1:11">
      <c r="A261" s="17" t="s">
        <v>66</v>
      </c>
      <c r="B261" s="19" t="s">
        <v>80</v>
      </c>
      <c r="C261" s="19" t="s">
        <v>1003</v>
      </c>
      <c r="D261" s="19" t="s">
        <v>1004</v>
      </c>
      <c r="E261" s="20" t="s">
        <v>11</v>
      </c>
      <c r="F261" s="19" t="s">
        <v>109</v>
      </c>
      <c r="G261" s="19" t="s">
        <v>110</v>
      </c>
      <c r="H261" s="19" t="s">
        <v>31</v>
      </c>
      <c r="I261">
        <v>2</v>
      </c>
      <c r="J261">
        <v>0</v>
      </c>
      <c r="K261" s="1"/>
    </row>
    <row r="262" spans="1:11">
      <c r="A262" s="17" t="s">
        <v>66</v>
      </c>
      <c r="B262" s="19" t="s">
        <v>80</v>
      </c>
      <c r="C262" s="19" t="s">
        <v>1003</v>
      </c>
      <c r="D262" s="19" t="s">
        <v>1004</v>
      </c>
      <c r="E262" s="20" t="s">
        <v>32</v>
      </c>
      <c r="F262" s="19" t="s">
        <v>1003</v>
      </c>
      <c r="G262" s="19" t="s">
        <v>1005</v>
      </c>
      <c r="H262" s="19" t="s">
        <v>32</v>
      </c>
      <c r="I262">
        <v>19</v>
      </c>
      <c r="J262">
        <v>0</v>
      </c>
      <c r="K262" s="1"/>
    </row>
    <row r="263" spans="1:11">
      <c r="A263" s="17" t="s">
        <v>66</v>
      </c>
      <c r="B263" s="19" t="s">
        <v>80</v>
      </c>
      <c r="C263" s="19" t="s">
        <v>1006</v>
      </c>
      <c r="D263" s="19" t="s">
        <v>1007</v>
      </c>
      <c r="E263" s="20" t="s">
        <v>11</v>
      </c>
      <c r="F263" s="19" t="s">
        <v>109</v>
      </c>
      <c r="G263" s="19" t="s">
        <v>110</v>
      </c>
      <c r="H263" s="19" t="s">
        <v>31</v>
      </c>
      <c r="I263">
        <v>10</v>
      </c>
      <c r="J263">
        <v>0</v>
      </c>
      <c r="K263" s="1"/>
    </row>
    <row r="264" spans="1:11">
      <c r="A264" s="17" t="s">
        <v>66</v>
      </c>
      <c r="B264" s="19" t="s">
        <v>80</v>
      </c>
      <c r="C264" s="19" t="s">
        <v>1006</v>
      </c>
      <c r="D264" s="19" t="s">
        <v>1007</v>
      </c>
      <c r="E264" s="20" t="s">
        <v>32</v>
      </c>
      <c r="F264" s="19" t="s">
        <v>1006</v>
      </c>
      <c r="G264" s="19" t="s">
        <v>1008</v>
      </c>
      <c r="H264" s="19" t="s">
        <v>32</v>
      </c>
      <c r="I264">
        <v>0</v>
      </c>
      <c r="J264">
        <v>1</v>
      </c>
      <c r="K264" s="1"/>
    </row>
    <row r="265" spans="1:11">
      <c r="A265" s="17" t="s">
        <v>66</v>
      </c>
      <c r="B265" s="19" t="s">
        <v>80</v>
      </c>
      <c r="C265" s="19" t="s">
        <v>1009</v>
      </c>
      <c r="D265" s="19" t="s">
        <v>1010</v>
      </c>
      <c r="E265" s="20" t="s">
        <v>11</v>
      </c>
      <c r="F265" s="19" t="s">
        <v>109</v>
      </c>
      <c r="G265" s="19" t="s">
        <v>110</v>
      </c>
      <c r="H265" s="19" t="s">
        <v>31</v>
      </c>
      <c r="I265">
        <v>4</v>
      </c>
      <c r="J265">
        <v>0</v>
      </c>
      <c r="K265" s="1"/>
    </row>
    <row r="266" spans="1:11">
      <c r="A266" s="17" t="s">
        <v>66</v>
      </c>
      <c r="B266" s="19" t="s">
        <v>80</v>
      </c>
      <c r="C266" s="19" t="s">
        <v>1011</v>
      </c>
      <c r="D266" s="19" t="s">
        <v>1012</v>
      </c>
      <c r="E266" s="20" t="s">
        <v>11</v>
      </c>
      <c r="F266" s="19" t="s">
        <v>109</v>
      </c>
      <c r="G266" s="19" t="s">
        <v>110</v>
      </c>
      <c r="H266" s="19" t="s">
        <v>31</v>
      </c>
      <c r="I266">
        <v>2</v>
      </c>
      <c r="J266">
        <v>0</v>
      </c>
      <c r="K266" s="1"/>
    </row>
    <row r="267" spans="1:11">
      <c r="A267" s="17" t="s">
        <v>66</v>
      </c>
      <c r="B267" s="19" t="s">
        <v>80</v>
      </c>
      <c r="C267" s="19" t="s">
        <v>1011</v>
      </c>
      <c r="D267" s="19" t="s">
        <v>1012</v>
      </c>
      <c r="E267" s="20" t="s">
        <v>32</v>
      </c>
      <c r="F267" s="19" t="s">
        <v>1011</v>
      </c>
      <c r="G267" s="19" t="s">
        <v>1013</v>
      </c>
      <c r="H267" s="19" t="s">
        <v>32</v>
      </c>
      <c r="I267">
        <v>21</v>
      </c>
      <c r="J267">
        <v>2</v>
      </c>
      <c r="K267" s="1"/>
    </row>
    <row r="268" spans="1:11">
      <c r="A268" s="17" t="s">
        <v>66</v>
      </c>
      <c r="B268" s="19" t="s">
        <v>80</v>
      </c>
      <c r="C268" s="19" t="s">
        <v>1014</v>
      </c>
      <c r="D268" s="19" t="s">
        <v>1015</v>
      </c>
      <c r="E268" s="20" t="s">
        <v>11</v>
      </c>
      <c r="F268" s="19" t="s">
        <v>109</v>
      </c>
      <c r="G268" s="19" t="s">
        <v>110</v>
      </c>
      <c r="H268" s="19" t="s">
        <v>31</v>
      </c>
      <c r="I268">
        <v>1</v>
      </c>
      <c r="J268">
        <v>0</v>
      </c>
      <c r="K268" s="1"/>
    </row>
    <row r="269" spans="1:11">
      <c r="A269" s="17" t="s">
        <v>66</v>
      </c>
      <c r="B269" s="19" t="s">
        <v>80</v>
      </c>
      <c r="C269" s="19" t="s">
        <v>1014</v>
      </c>
      <c r="D269" s="19" t="s">
        <v>1015</v>
      </c>
      <c r="E269" s="20" t="s">
        <v>32</v>
      </c>
      <c r="F269" s="19" t="s">
        <v>1014</v>
      </c>
      <c r="G269" s="19" t="s">
        <v>1016</v>
      </c>
      <c r="H269" s="19" t="s">
        <v>32</v>
      </c>
      <c r="I269">
        <v>3550574</v>
      </c>
      <c r="J269">
        <v>21635</v>
      </c>
      <c r="K269" s="1"/>
    </row>
    <row r="270" spans="1:11">
      <c r="A270" s="17" t="s">
        <v>66</v>
      </c>
      <c r="B270" s="19" t="s">
        <v>80</v>
      </c>
      <c r="C270" s="19" t="s">
        <v>1017</v>
      </c>
      <c r="D270" s="19" t="s">
        <v>1018</v>
      </c>
      <c r="E270" s="20" t="s">
        <v>11</v>
      </c>
      <c r="F270" s="19" t="s">
        <v>109</v>
      </c>
      <c r="G270" s="19" t="s">
        <v>110</v>
      </c>
      <c r="H270" s="19" t="s">
        <v>31</v>
      </c>
      <c r="I270">
        <v>3</v>
      </c>
      <c r="J270">
        <v>0</v>
      </c>
      <c r="K270" s="1"/>
    </row>
    <row r="271" spans="1:11">
      <c r="A271" s="17" t="s">
        <v>66</v>
      </c>
      <c r="B271" s="19" t="s">
        <v>80</v>
      </c>
      <c r="C271" s="19" t="s">
        <v>1019</v>
      </c>
      <c r="D271" s="19" t="s">
        <v>1020</v>
      </c>
      <c r="E271" s="20" t="s">
        <v>32</v>
      </c>
      <c r="F271" s="19" t="s">
        <v>1019</v>
      </c>
      <c r="G271" s="19" t="s">
        <v>1021</v>
      </c>
      <c r="H271" s="19" t="s">
        <v>32</v>
      </c>
      <c r="I271">
        <v>21</v>
      </c>
      <c r="J271">
        <v>0</v>
      </c>
      <c r="K271" s="1"/>
    </row>
    <row r="272" spans="1:11">
      <c r="A272" s="17" t="s">
        <v>66</v>
      </c>
      <c r="B272" s="19" t="s">
        <v>80</v>
      </c>
      <c r="C272" s="19" t="s">
        <v>1022</v>
      </c>
      <c r="D272" s="19" t="s">
        <v>1023</v>
      </c>
      <c r="E272" s="20" t="s">
        <v>11</v>
      </c>
      <c r="F272" s="19" t="s">
        <v>109</v>
      </c>
      <c r="G272" s="19" t="s">
        <v>110</v>
      </c>
      <c r="H272" s="19" t="s">
        <v>31</v>
      </c>
      <c r="I272">
        <v>4</v>
      </c>
      <c r="J272">
        <v>0</v>
      </c>
      <c r="K272" s="1"/>
    </row>
    <row r="273" spans="1:11">
      <c r="A273" s="17" t="s">
        <v>66</v>
      </c>
      <c r="B273" s="19" t="s">
        <v>80</v>
      </c>
      <c r="C273" s="19" t="s">
        <v>1022</v>
      </c>
      <c r="D273" s="19" t="s">
        <v>1023</v>
      </c>
      <c r="E273" s="20" t="s">
        <v>32</v>
      </c>
      <c r="F273" s="19" t="s">
        <v>1022</v>
      </c>
      <c r="G273" s="19" t="s">
        <v>1024</v>
      </c>
      <c r="H273" s="19" t="s">
        <v>32</v>
      </c>
      <c r="I273">
        <v>902353</v>
      </c>
      <c r="J273">
        <v>2330</v>
      </c>
      <c r="K273" s="1"/>
    </row>
    <row r="274" spans="1:11">
      <c r="A274" s="17" t="s">
        <v>66</v>
      </c>
      <c r="B274" s="19" t="s">
        <v>80</v>
      </c>
      <c r="C274" s="19" t="s">
        <v>1025</v>
      </c>
      <c r="D274" s="19" t="s">
        <v>1026</v>
      </c>
      <c r="E274" s="20" t="s">
        <v>11</v>
      </c>
      <c r="F274" s="19" t="s">
        <v>109</v>
      </c>
      <c r="G274" s="19" t="s">
        <v>110</v>
      </c>
      <c r="H274" s="19" t="s">
        <v>31</v>
      </c>
      <c r="I274">
        <v>2</v>
      </c>
      <c r="J274">
        <v>0</v>
      </c>
      <c r="K274" s="1"/>
    </row>
    <row r="275" spans="1:11">
      <c r="A275" s="17" t="s">
        <v>66</v>
      </c>
      <c r="B275" s="19" t="s">
        <v>80</v>
      </c>
      <c r="C275" s="19" t="s">
        <v>1025</v>
      </c>
      <c r="D275" s="19" t="s">
        <v>1026</v>
      </c>
      <c r="E275" s="20" t="s">
        <v>32</v>
      </c>
      <c r="F275" s="19" t="s">
        <v>1025</v>
      </c>
      <c r="G275" s="19" t="s">
        <v>1027</v>
      </c>
      <c r="H275" s="19" t="s">
        <v>32</v>
      </c>
      <c r="I275">
        <v>877950</v>
      </c>
      <c r="J275">
        <v>1670</v>
      </c>
      <c r="K275" s="1"/>
    </row>
    <row r="276" spans="1:11">
      <c r="A276" s="17" t="s">
        <v>66</v>
      </c>
      <c r="B276" s="19" t="s">
        <v>80</v>
      </c>
      <c r="C276" s="19" t="s">
        <v>1028</v>
      </c>
      <c r="D276" s="19" t="s">
        <v>1029</v>
      </c>
      <c r="E276" s="20" t="s">
        <v>11</v>
      </c>
      <c r="F276" s="19" t="s">
        <v>109</v>
      </c>
      <c r="G276" s="19" t="s">
        <v>110</v>
      </c>
      <c r="H276" s="19" t="s">
        <v>31</v>
      </c>
      <c r="I276">
        <v>2</v>
      </c>
      <c r="J276">
        <v>0</v>
      </c>
      <c r="K276" s="1"/>
    </row>
    <row r="277" spans="1:11">
      <c r="A277" s="17" t="s">
        <v>66</v>
      </c>
      <c r="B277" s="19" t="s">
        <v>80</v>
      </c>
      <c r="C277" s="19" t="s">
        <v>1030</v>
      </c>
      <c r="D277" s="19" t="s">
        <v>1031</v>
      </c>
      <c r="E277" s="20" t="s">
        <v>32</v>
      </c>
      <c r="F277" s="19" t="s">
        <v>1030</v>
      </c>
      <c r="G277" s="19" t="s">
        <v>1032</v>
      </c>
      <c r="H277" s="19" t="s">
        <v>32</v>
      </c>
      <c r="I277">
        <v>20</v>
      </c>
      <c r="J277">
        <v>0</v>
      </c>
      <c r="K277" s="1"/>
    </row>
    <row r="278" spans="1:11">
      <c r="A278" s="17" t="s">
        <v>66</v>
      </c>
      <c r="B278" s="19" t="s">
        <v>80</v>
      </c>
      <c r="C278" s="19" t="s">
        <v>1033</v>
      </c>
      <c r="D278" s="19" t="s">
        <v>1034</v>
      </c>
      <c r="E278" s="20" t="s">
        <v>32</v>
      </c>
      <c r="F278" s="19" t="s">
        <v>1033</v>
      </c>
      <c r="G278" s="19" t="s">
        <v>1035</v>
      </c>
      <c r="H278" s="19" t="s">
        <v>32</v>
      </c>
      <c r="I278">
        <v>30948795</v>
      </c>
      <c r="J278">
        <v>504684</v>
      </c>
      <c r="K278" s="1"/>
    </row>
    <row r="279" spans="1:11">
      <c r="A279" s="17" t="s">
        <v>66</v>
      </c>
      <c r="B279" s="19" t="s">
        <v>105</v>
      </c>
      <c r="C279" s="19" t="s">
        <v>1036</v>
      </c>
      <c r="D279" s="19" t="s">
        <v>1037</v>
      </c>
      <c r="E279" s="20" t="s">
        <v>32</v>
      </c>
      <c r="F279" s="19" t="s">
        <v>1036</v>
      </c>
      <c r="G279" s="19" t="s">
        <v>1038</v>
      </c>
      <c r="H279" s="19" t="s">
        <v>32</v>
      </c>
      <c r="I279">
        <v>119670</v>
      </c>
      <c r="J279">
        <v>207</v>
      </c>
      <c r="K279" s="1"/>
    </row>
    <row r="280" spans="1:11">
      <c r="A280" s="17" t="s">
        <v>66</v>
      </c>
      <c r="B280" s="19" t="s">
        <v>105</v>
      </c>
      <c r="C280" s="19" t="s">
        <v>1039</v>
      </c>
      <c r="D280" s="19" t="s">
        <v>1040</v>
      </c>
      <c r="E280" s="20" t="s">
        <v>32</v>
      </c>
      <c r="F280" s="19" t="s">
        <v>1039</v>
      </c>
      <c r="G280" s="19" t="s">
        <v>1041</v>
      </c>
      <c r="H280" s="19" t="s">
        <v>32</v>
      </c>
      <c r="I280">
        <v>89280</v>
      </c>
      <c r="J280">
        <v>436</v>
      </c>
      <c r="K280" s="1"/>
    </row>
    <row r="281" spans="1:11">
      <c r="A281" s="17" t="s">
        <v>66</v>
      </c>
      <c r="B281" s="19" t="s">
        <v>105</v>
      </c>
      <c r="C281" s="19" t="s">
        <v>443</v>
      </c>
      <c r="D281" s="19" t="s">
        <v>444</v>
      </c>
      <c r="E281" s="20" t="s">
        <v>32</v>
      </c>
      <c r="F281" s="19" t="s">
        <v>443</v>
      </c>
      <c r="G281" s="19" t="s">
        <v>445</v>
      </c>
      <c r="H281" s="19" t="s">
        <v>32</v>
      </c>
      <c r="I281">
        <v>1650</v>
      </c>
      <c r="J281">
        <v>1865</v>
      </c>
      <c r="K281" s="1"/>
    </row>
    <row r="282" spans="1:11">
      <c r="A282" s="17" t="s">
        <v>66</v>
      </c>
      <c r="B282" s="19" t="s">
        <v>105</v>
      </c>
      <c r="C282" s="19" t="s">
        <v>1042</v>
      </c>
      <c r="D282" s="19" t="s">
        <v>1043</v>
      </c>
      <c r="E282" s="20" t="s">
        <v>32</v>
      </c>
      <c r="F282" s="19" t="s">
        <v>1042</v>
      </c>
      <c r="G282" s="19" t="s">
        <v>1044</v>
      </c>
      <c r="H282" s="19" t="s">
        <v>32</v>
      </c>
      <c r="I282">
        <v>0</v>
      </c>
      <c r="J282">
        <v>1</v>
      </c>
      <c r="K282" s="1"/>
    </row>
    <row r="283" spans="1:11">
      <c r="A283" s="17" t="s">
        <v>66</v>
      </c>
      <c r="B283" s="19" t="s">
        <v>105</v>
      </c>
      <c r="C283" s="19" t="s">
        <v>446</v>
      </c>
      <c r="D283" s="19" t="s">
        <v>447</v>
      </c>
      <c r="E283" s="20" t="s">
        <v>32</v>
      </c>
      <c r="F283" s="19" t="s">
        <v>446</v>
      </c>
      <c r="G283" s="19" t="s">
        <v>448</v>
      </c>
      <c r="H283" s="19" t="s">
        <v>32</v>
      </c>
      <c r="I283">
        <v>36</v>
      </c>
      <c r="J283">
        <v>36</v>
      </c>
      <c r="K283" s="1"/>
    </row>
    <row r="284" spans="1:11">
      <c r="A284" s="17" t="s">
        <v>66</v>
      </c>
      <c r="B284" s="19" t="s">
        <v>84</v>
      </c>
      <c r="C284" s="19" t="s">
        <v>1045</v>
      </c>
      <c r="D284" s="19" t="s">
        <v>1046</v>
      </c>
      <c r="E284" s="20" t="s">
        <v>32</v>
      </c>
      <c r="F284" s="19" t="s">
        <v>1045</v>
      </c>
      <c r="G284" s="19" t="s">
        <v>1047</v>
      </c>
      <c r="H284" s="19" t="s">
        <v>32</v>
      </c>
      <c r="I284">
        <v>0</v>
      </c>
      <c r="J284">
        <v>1</v>
      </c>
      <c r="K284" s="1"/>
    </row>
    <row r="285" spans="1:11">
      <c r="A285" s="17" t="s">
        <v>66</v>
      </c>
      <c r="B285" s="19" t="s">
        <v>241</v>
      </c>
      <c r="C285" s="19" t="s">
        <v>449</v>
      </c>
      <c r="D285" s="19" t="s">
        <v>450</v>
      </c>
      <c r="E285" s="20" t="s">
        <v>32</v>
      </c>
      <c r="F285" s="19" t="s">
        <v>449</v>
      </c>
      <c r="G285" s="19" t="s">
        <v>451</v>
      </c>
      <c r="H285" s="19" t="s">
        <v>32</v>
      </c>
      <c r="I285">
        <v>0</v>
      </c>
      <c r="J285">
        <v>50</v>
      </c>
      <c r="K285" s="1"/>
    </row>
    <row r="286" spans="1:11">
      <c r="A286" s="17" t="s">
        <v>66</v>
      </c>
      <c r="B286" s="19" t="s">
        <v>241</v>
      </c>
      <c r="C286" s="19" t="s">
        <v>242</v>
      </c>
      <c r="D286" s="19" t="s">
        <v>243</v>
      </c>
      <c r="E286" s="20" t="s">
        <v>32</v>
      </c>
      <c r="F286" s="19" t="s">
        <v>242</v>
      </c>
      <c r="G286" s="19" t="s">
        <v>244</v>
      </c>
      <c r="H286" s="19" t="s">
        <v>32</v>
      </c>
      <c r="I286">
        <v>0</v>
      </c>
      <c r="J286">
        <v>14</v>
      </c>
      <c r="K286" s="1"/>
    </row>
    <row r="287" spans="1:11">
      <c r="A287" s="17" t="s">
        <v>66</v>
      </c>
      <c r="B287" s="19" t="s">
        <v>85</v>
      </c>
      <c r="C287" s="19" t="s">
        <v>1048</v>
      </c>
      <c r="D287" s="19" t="s">
        <v>1049</v>
      </c>
      <c r="E287" s="20" t="s">
        <v>32</v>
      </c>
      <c r="F287" s="19" t="s">
        <v>1048</v>
      </c>
      <c r="G287" s="19" t="s">
        <v>1050</v>
      </c>
      <c r="H287" s="19" t="s">
        <v>32</v>
      </c>
      <c r="I287">
        <v>0</v>
      </c>
      <c r="J287">
        <v>408</v>
      </c>
      <c r="K287" s="1"/>
    </row>
    <row r="288" spans="1:11">
      <c r="A288" s="17" t="s">
        <v>66</v>
      </c>
      <c r="B288" s="19" t="s">
        <v>85</v>
      </c>
      <c r="C288" s="19" t="s">
        <v>452</v>
      </c>
      <c r="D288" s="19" t="s">
        <v>453</v>
      </c>
      <c r="E288" s="20" t="s">
        <v>32</v>
      </c>
      <c r="F288" s="19" t="s">
        <v>452</v>
      </c>
      <c r="G288" s="19" t="s">
        <v>454</v>
      </c>
      <c r="H288" s="19" t="s">
        <v>32</v>
      </c>
      <c r="I288">
        <v>0</v>
      </c>
      <c r="J288">
        <v>99</v>
      </c>
      <c r="K288" s="1"/>
    </row>
    <row r="289" spans="1:11">
      <c r="A289" s="17" t="s">
        <v>66</v>
      </c>
      <c r="B289" s="19" t="s">
        <v>85</v>
      </c>
      <c r="C289" s="19" t="s">
        <v>455</v>
      </c>
      <c r="D289" s="19" t="s">
        <v>456</v>
      </c>
      <c r="E289" s="20" t="s">
        <v>32</v>
      </c>
      <c r="F289" s="19" t="s">
        <v>455</v>
      </c>
      <c r="G289" s="19" t="s">
        <v>457</v>
      </c>
      <c r="H289" s="19" t="s">
        <v>32</v>
      </c>
      <c r="I289">
        <v>0</v>
      </c>
      <c r="J289">
        <v>6</v>
      </c>
      <c r="K289" s="1"/>
    </row>
    <row r="290" spans="1:11">
      <c r="A290" s="17" t="s">
        <v>66</v>
      </c>
      <c r="B290" s="19" t="s">
        <v>85</v>
      </c>
      <c r="C290" s="19" t="s">
        <v>458</v>
      </c>
      <c r="D290" s="19" t="s">
        <v>459</v>
      </c>
      <c r="E290" s="20" t="s">
        <v>32</v>
      </c>
      <c r="F290" s="19" t="s">
        <v>458</v>
      </c>
      <c r="G290" s="19" t="s">
        <v>460</v>
      </c>
      <c r="H290" s="19" t="s">
        <v>32</v>
      </c>
      <c r="I290">
        <v>0</v>
      </c>
      <c r="J290">
        <v>1</v>
      </c>
      <c r="K290" s="1"/>
    </row>
    <row r="291" spans="1:11">
      <c r="A291" s="17" t="s">
        <v>66</v>
      </c>
      <c r="B291" s="19" t="s">
        <v>85</v>
      </c>
      <c r="C291" s="19" t="s">
        <v>461</v>
      </c>
      <c r="D291" s="19" t="s">
        <v>462</v>
      </c>
      <c r="E291" s="20" t="s">
        <v>32</v>
      </c>
      <c r="F291" s="19" t="s">
        <v>461</v>
      </c>
      <c r="G291" s="19" t="s">
        <v>463</v>
      </c>
      <c r="H291" s="19" t="s">
        <v>32</v>
      </c>
      <c r="I291">
        <v>0</v>
      </c>
      <c r="J291">
        <v>28</v>
      </c>
      <c r="K291" s="1"/>
    </row>
    <row r="292" spans="1:11">
      <c r="A292" s="17" t="s">
        <v>66</v>
      </c>
      <c r="B292" s="19" t="s">
        <v>85</v>
      </c>
      <c r="C292" s="19" t="s">
        <v>464</v>
      </c>
      <c r="D292" s="19" t="s">
        <v>465</v>
      </c>
      <c r="E292" s="20" t="s">
        <v>32</v>
      </c>
      <c r="F292" s="19" t="s">
        <v>464</v>
      </c>
      <c r="G292" s="19" t="s">
        <v>466</v>
      </c>
      <c r="H292" s="19" t="s">
        <v>32</v>
      </c>
      <c r="I292">
        <v>0</v>
      </c>
      <c r="J292">
        <v>3</v>
      </c>
      <c r="K292" s="1"/>
    </row>
    <row r="293" spans="1:11">
      <c r="A293" s="17" t="s">
        <v>66</v>
      </c>
      <c r="B293" s="19" t="s">
        <v>85</v>
      </c>
      <c r="C293" s="19" t="s">
        <v>467</v>
      </c>
      <c r="D293" s="19" t="s">
        <v>468</v>
      </c>
      <c r="E293" s="20" t="s">
        <v>32</v>
      </c>
      <c r="F293" s="19" t="s">
        <v>467</v>
      </c>
      <c r="G293" s="19" t="s">
        <v>469</v>
      </c>
      <c r="H293" s="19" t="s">
        <v>32</v>
      </c>
      <c r="I293">
        <v>0</v>
      </c>
      <c r="J293">
        <v>6</v>
      </c>
      <c r="K293" s="1"/>
    </row>
    <row r="294" spans="1:11">
      <c r="A294" s="17" t="s">
        <v>66</v>
      </c>
      <c r="B294" s="19" t="s">
        <v>85</v>
      </c>
      <c r="C294" s="19" t="s">
        <v>470</v>
      </c>
      <c r="D294" s="19" t="s">
        <v>471</v>
      </c>
      <c r="E294" s="20" t="s">
        <v>32</v>
      </c>
      <c r="F294" s="19" t="s">
        <v>470</v>
      </c>
      <c r="G294" s="19" t="s">
        <v>472</v>
      </c>
      <c r="H294" s="19" t="s">
        <v>32</v>
      </c>
      <c r="I294">
        <v>0</v>
      </c>
      <c r="J294">
        <v>91</v>
      </c>
      <c r="K294" s="1"/>
    </row>
    <row r="295" spans="1:11">
      <c r="A295" s="17" t="s">
        <v>66</v>
      </c>
      <c r="B295" s="19" t="s">
        <v>85</v>
      </c>
      <c r="C295" s="19" t="s">
        <v>473</v>
      </c>
      <c r="D295" s="19" t="s">
        <v>474</v>
      </c>
      <c r="E295" s="20" t="s">
        <v>32</v>
      </c>
      <c r="F295" s="19" t="s">
        <v>473</v>
      </c>
      <c r="G295" s="19" t="s">
        <v>475</v>
      </c>
      <c r="H295" s="19" t="s">
        <v>32</v>
      </c>
      <c r="I295">
        <v>0</v>
      </c>
      <c r="J295">
        <v>33</v>
      </c>
      <c r="K295" s="1"/>
    </row>
    <row r="296" spans="1:11">
      <c r="A296" s="17" t="s">
        <v>66</v>
      </c>
      <c r="B296" s="19" t="s">
        <v>85</v>
      </c>
      <c r="C296" s="19" t="s">
        <v>476</v>
      </c>
      <c r="D296" s="19" t="s">
        <v>477</v>
      </c>
      <c r="E296" s="20" t="s">
        <v>32</v>
      </c>
      <c r="F296" s="19" t="s">
        <v>476</v>
      </c>
      <c r="G296" s="19" t="s">
        <v>478</v>
      </c>
      <c r="H296" s="19" t="s">
        <v>32</v>
      </c>
      <c r="I296">
        <v>0</v>
      </c>
      <c r="J296">
        <v>15</v>
      </c>
      <c r="K296" s="1"/>
    </row>
    <row r="297" spans="1:11">
      <c r="A297" s="17" t="s">
        <v>66</v>
      </c>
      <c r="B297" s="19" t="s">
        <v>85</v>
      </c>
      <c r="C297" s="19" t="s">
        <v>1051</v>
      </c>
      <c r="D297" s="19" t="s">
        <v>1052</v>
      </c>
      <c r="E297" s="20" t="s">
        <v>32</v>
      </c>
      <c r="F297" s="19" t="s">
        <v>1051</v>
      </c>
      <c r="G297" s="19" t="s">
        <v>1053</v>
      </c>
      <c r="H297" s="19" t="s">
        <v>32</v>
      </c>
      <c r="I297">
        <v>0</v>
      </c>
      <c r="J297">
        <v>20</v>
      </c>
      <c r="K297" s="1"/>
    </row>
    <row r="298" spans="1:11">
      <c r="A298" s="17" t="s">
        <v>66</v>
      </c>
      <c r="B298" s="19" t="s">
        <v>85</v>
      </c>
      <c r="C298" s="19" t="s">
        <v>1054</v>
      </c>
      <c r="D298" s="19" t="s">
        <v>1055</v>
      </c>
      <c r="E298" s="20" t="s">
        <v>32</v>
      </c>
      <c r="F298" s="19" t="s">
        <v>1054</v>
      </c>
      <c r="G298" s="19" t="s">
        <v>1056</v>
      </c>
      <c r="H298" s="19" t="s">
        <v>32</v>
      </c>
      <c r="I298">
        <v>0</v>
      </c>
      <c r="J298">
        <v>21</v>
      </c>
      <c r="K298" s="1"/>
    </row>
    <row r="299" spans="1:11">
      <c r="A299" s="17" t="s">
        <v>66</v>
      </c>
      <c r="B299" s="19" t="s">
        <v>479</v>
      </c>
      <c r="C299" s="19" t="s">
        <v>480</v>
      </c>
      <c r="D299" s="19" t="s">
        <v>481</v>
      </c>
      <c r="E299" s="20" t="s">
        <v>32</v>
      </c>
      <c r="F299" s="19" t="s">
        <v>480</v>
      </c>
      <c r="G299" s="19" t="s">
        <v>482</v>
      </c>
      <c r="H299" s="19" t="s">
        <v>32</v>
      </c>
      <c r="I299">
        <v>0</v>
      </c>
      <c r="J299">
        <v>30</v>
      </c>
      <c r="K299" s="1"/>
    </row>
    <row r="300" spans="1:11">
      <c r="A300" s="17" t="s">
        <v>66</v>
      </c>
      <c r="B300" s="19" t="s">
        <v>479</v>
      </c>
      <c r="C300" s="19" t="s">
        <v>483</v>
      </c>
      <c r="D300" s="19" t="s">
        <v>484</v>
      </c>
      <c r="E300" s="20" t="s">
        <v>32</v>
      </c>
      <c r="F300" s="19" t="s">
        <v>483</v>
      </c>
      <c r="G300" s="19" t="s">
        <v>485</v>
      </c>
      <c r="H300" s="19" t="s">
        <v>32</v>
      </c>
      <c r="I300">
        <v>34</v>
      </c>
      <c r="J300">
        <v>189</v>
      </c>
      <c r="K300" s="1"/>
    </row>
    <row r="301" spans="1:11">
      <c r="A301" s="17" t="s">
        <v>66</v>
      </c>
      <c r="B301" s="19" t="s">
        <v>479</v>
      </c>
      <c r="C301" s="19" t="s">
        <v>486</v>
      </c>
      <c r="D301" s="19" t="s">
        <v>487</v>
      </c>
      <c r="E301" s="20" t="s">
        <v>32</v>
      </c>
      <c r="F301" s="19" t="s">
        <v>486</v>
      </c>
      <c r="G301" s="19" t="s">
        <v>488</v>
      </c>
      <c r="H301" s="19" t="s">
        <v>32</v>
      </c>
      <c r="I301">
        <v>0</v>
      </c>
      <c r="J301">
        <v>7</v>
      </c>
      <c r="K301" s="1"/>
    </row>
    <row r="302" spans="1:11">
      <c r="A302" s="17" t="s">
        <v>66</v>
      </c>
      <c r="B302" s="19" t="s">
        <v>489</v>
      </c>
      <c r="C302" s="19" t="s">
        <v>1057</v>
      </c>
      <c r="D302" s="19" t="s">
        <v>1058</v>
      </c>
      <c r="E302" s="20" t="s">
        <v>32</v>
      </c>
      <c r="F302" s="19" t="s">
        <v>1057</v>
      </c>
      <c r="G302" s="19" t="s">
        <v>1059</v>
      </c>
      <c r="H302" s="19" t="s">
        <v>32</v>
      </c>
      <c r="I302">
        <v>515378</v>
      </c>
      <c r="J302">
        <v>25738</v>
      </c>
      <c r="K302" s="1"/>
    </row>
    <row r="303" spans="1:11">
      <c r="A303" s="17" t="s">
        <v>66</v>
      </c>
      <c r="B303" s="19" t="s">
        <v>489</v>
      </c>
      <c r="C303" s="19" t="s">
        <v>490</v>
      </c>
      <c r="D303" s="19" t="s">
        <v>491</v>
      </c>
      <c r="E303" s="20" t="s">
        <v>32</v>
      </c>
      <c r="F303" s="19" t="s">
        <v>490</v>
      </c>
      <c r="G303" s="19" t="s">
        <v>492</v>
      </c>
      <c r="H303" s="19" t="s">
        <v>32</v>
      </c>
      <c r="I303">
        <v>167785</v>
      </c>
      <c r="J303">
        <v>136</v>
      </c>
      <c r="K303" s="1"/>
    </row>
    <row r="304" spans="1:11">
      <c r="A304" s="17" t="s">
        <v>66</v>
      </c>
      <c r="B304" s="19" t="s">
        <v>489</v>
      </c>
      <c r="C304" s="19" t="s">
        <v>1060</v>
      </c>
      <c r="D304" s="19" t="s">
        <v>1061</v>
      </c>
      <c r="E304" s="20" t="s">
        <v>32</v>
      </c>
      <c r="F304" s="19" t="s">
        <v>1060</v>
      </c>
      <c r="G304" s="19" t="s">
        <v>1062</v>
      </c>
      <c r="H304" s="19" t="s">
        <v>32</v>
      </c>
      <c r="I304">
        <v>110533</v>
      </c>
      <c r="J304">
        <v>1363</v>
      </c>
      <c r="K304" s="1"/>
    </row>
    <row r="305" spans="1:11">
      <c r="A305" s="17" t="s">
        <v>66</v>
      </c>
      <c r="B305" s="19" t="s">
        <v>489</v>
      </c>
      <c r="C305" s="19" t="s">
        <v>493</v>
      </c>
      <c r="D305" s="19" t="s">
        <v>494</v>
      </c>
      <c r="E305" s="20" t="s">
        <v>32</v>
      </c>
      <c r="F305" s="19" t="s">
        <v>493</v>
      </c>
      <c r="G305" s="19" t="s">
        <v>495</v>
      </c>
      <c r="H305" s="19" t="s">
        <v>32</v>
      </c>
      <c r="I305">
        <v>7</v>
      </c>
      <c r="J305">
        <v>0</v>
      </c>
      <c r="K305" s="1"/>
    </row>
    <row r="306" spans="1:11">
      <c r="A306" s="17" t="s">
        <v>66</v>
      </c>
      <c r="B306" s="19" t="s">
        <v>496</v>
      </c>
      <c r="C306" s="19" t="s">
        <v>497</v>
      </c>
      <c r="D306" s="19" t="s">
        <v>498</v>
      </c>
      <c r="E306" s="20" t="s">
        <v>32</v>
      </c>
      <c r="F306" s="19" t="s">
        <v>497</v>
      </c>
      <c r="G306" s="19" t="s">
        <v>499</v>
      </c>
      <c r="H306" s="19" t="s">
        <v>32</v>
      </c>
      <c r="I306">
        <v>601</v>
      </c>
      <c r="J306">
        <v>1</v>
      </c>
      <c r="K306" s="1"/>
    </row>
    <row r="307" spans="1:11">
      <c r="A307" s="17" t="s">
        <v>66</v>
      </c>
      <c r="B307" s="19" t="s">
        <v>500</v>
      </c>
      <c r="C307" s="19" t="s">
        <v>501</v>
      </c>
      <c r="D307" s="19" t="s">
        <v>502</v>
      </c>
      <c r="E307" s="20" t="s">
        <v>32</v>
      </c>
      <c r="F307" s="19" t="s">
        <v>501</v>
      </c>
      <c r="G307" s="19" t="s">
        <v>503</v>
      </c>
      <c r="H307" s="19" t="s">
        <v>32</v>
      </c>
      <c r="I307">
        <v>74909</v>
      </c>
      <c r="J307">
        <v>78</v>
      </c>
      <c r="K307" s="1"/>
    </row>
    <row r="308" spans="1:11">
      <c r="A308" s="17" t="s">
        <v>66</v>
      </c>
      <c r="B308" s="19" t="s">
        <v>53</v>
      </c>
      <c r="C308" s="19" t="s">
        <v>1063</v>
      </c>
      <c r="D308" s="19" t="s">
        <v>1064</v>
      </c>
      <c r="E308" s="20" t="s">
        <v>32</v>
      </c>
      <c r="F308" s="19" t="s">
        <v>1063</v>
      </c>
      <c r="G308" s="19" t="s">
        <v>1065</v>
      </c>
      <c r="H308" s="19" t="s">
        <v>32</v>
      </c>
      <c r="I308">
        <v>0</v>
      </c>
      <c r="J308">
        <v>1</v>
      </c>
      <c r="K308" s="1"/>
    </row>
    <row r="309" spans="1:11">
      <c r="A309" s="17" t="s">
        <v>66</v>
      </c>
      <c r="B309" s="19" t="s">
        <v>53</v>
      </c>
      <c r="C309" s="19" t="s">
        <v>1066</v>
      </c>
      <c r="D309" s="19" t="s">
        <v>1067</v>
      </c>
      <c r="E309" s="20" t="s">
        <v>32</v>
      </c>
      <c r="F309" s="19" t="s">
        <v>1066</v>
      </c>
      <c r="G309" s="19" t="s">
        <v>1068</v>
      </c>
      <c r="H309" s="19" t="s">
        <v>32</v>
      </c>
      <c r="I309">
        <v>0</v>
      </c>
      <c r="J309">
        <v>1</v>
      </c>
      <c r="K309" s="1"/>
    </row>
    <row r="310" spans="1:11">
      <c r="A310" s="17" t="s">
        <v>66</v>
      </c>
      <c r="B310" s="19" t="s">
        <v>53</v>
      </c>
      <c r="C310" s="19" t="s">
        <v>504</v>
      </c>
      <c r="D310" s="19" t="s">
        <v>505</v>
      </c>
      <c r="E310" s="20" t="s">
        <v>32</v>
      </c>
      <c r="F310" s="19" t="s">
        <v>504</v>
      </c>
      <c r="G310" s="19" t="s">
        <v>506</v>
      </c>
      <c r="H310" s="19" t="s">
        <v>32</v>
      </c>
      <c r="I310">
        <v>0</v>
      </c>
      <c r="J310">
        <v>52</v>
      </c>
      <c r="K310" s="1"/>
    </row>
    <row r="311" spans="1:11">
      <c r="A311" s="17" t="s">
        <v>66</v>
      </c>
      <c r="B311" s="19" t="s">
        <v>53</v>
      </c>
      <c r="C311" s="19" t="s">
        <v>507</v>
      </c>
      <c r="D311" s="19" t="s">
        <v>508</v>
      </c>
      <c r="E311" s="20" t="s">
        <v>32</v>
      </c>
      <c r="F311" s="19" t="s">
        <v>507</v>
      </c>
      <c r="G311" s="19" t="s">
        <v>509</v>
      </c>
      <c r="H311" s="19" t="s">
        <v>32</v>
      </c>
      <c r="I311">
        <v>0</v>
      </c>
      <c r="J311">
        <v>27</v>
      </c>
      <c r="K311" s="1"/>
    </row>
    <row r="312" spans="1:11">
      <c r="A312" s="17" t="s">
        <v>66</v>
      </c>
      <c r="B312" s="19" t="s">
        <v>53</v>
      </c>
      <c r="C312" s="19" t="s">
        <v>245</v>
      </c>
      <c r="D312" s="19" t="s">
        <v>246</v>
      </c>
      <c r="E312" s="20" t="s">
        <v>32</v>
      </c>
      <c r="F312" s="19" t="s">
        <v>245</v>
      </c>
      <c r="G312" s="19" t="s">
        <v>247</v>
      </c>
      <c r="H312" s="19" t="s">
        <v>32</v>
      </c>
      <c r="I312">
        <v>0</v>
      </c>
      <c r="J312">
        <v>54</v>
      </c>
      <c r="K312" s="1"/>
    </row>
    <row r="313" spans="1:11">
      <c r="A313" s="17" t="s">
        <v>66</v>
      </c>
      <c r="B313" s="19" t="s">
        <v>53</v>
      </c>
      <c r="C313" s="19" t="s">
        <v>510</v>
      </c>
      <c r="D313" s="19" t="s">
        <v>511</v>
      </c>
      <c r="E313" s="20" t="s">
        <v>32</v>
      </c>
      <c r="F313" s="19" t="s">
        <v>510</v>
      </c>
      <c r="G313" s="19" t="s">
        <v>512</v>
      </c>
      <c r="H313" s="19" t="s">
        <v>32</v>
      </c>
      <c r="I313">
        <v>0</v>
      </c>
      <c r="J313">
        <v>15</v>
      </c>
      <c r="K313" s="1"/>
    </row>
    <row r="314" spans="1:11">
      <c r="A314" s="17" t="s">
        <v>66</v>
      </c>
      <c r="B314" s="19" t="s">
        <v>53</v>
      </c>
      <c r="C314" s="19" t="s">
        <v>106</v>
      </c>
      <c r="D314" s="19" t="s">
        <v>68</v>
      </c>
      <c r="E314" s="20" t="s">
        <v>32</v>
      </c>
      <c r="F314" s="19" t="s">
        <v>106</v>
      </c>
      <c r="G314" s="19" t="s">
        <v>69</v>
      </c>
      <c r="H314" s="19" t="s">
        <v>32</v>
      </c>
      <c r="I314">
        <v>0</v>
      </c>
      <c r="J314">
        <v>1</v>
      </c>
      <c r="K314" s="1"/>
    </row>
    <row r="315" spans="1:11">
      <c r="A315" s="17" t="s">
        <v>66</v>
      </c>
      <c r="B315" s="19" t="s">
        <v>53</v>
      </c>
      <c r="C315" s="19" t="s">
        <v>107</v>
      </c>
      <c r="D315" s="19" t="s">
        <v>70</v>
      </c>
      <c r="E315" s="20" t="s">
        <v>32</v>
      </c>
      <c r="F315" s="19" t="s">
        <v>107</v>
      </c>
      <c r="G315" s="19" t="s">
        <v>71</v>
      </c>
      <c r="H315" s="19" t="s">
        <v>32</v>
      </c>
      <c r="I315">
        <v>0</v>
      </c>
      <c r="J315">
        <v>13</v>
      </c>
      <c r="K315" s="1"/>
    </row>
    <row r="316" spans="1:11">
      <c r="A316" s="17" t="s">
        <v>66</v>
      </c>
      <c r="B316" s="19" t="s">
        <v>53</v>
      </c>
      <c r="C316" s="19" t="s">
        <v>1069</v>
      </c>
      <c r="D316" s="19" t="s">
        <v>1070</v>
      </c>
      <c r="E316" s="20" t="s">
        <v>32</v>
      </c>
      <c r="F316" s="19" t="s">
        <v>1069</v>
      </c>
      <c r="G316" s="19" t="s">
        <v>1071</v>
      </c>
      <c r="H316" s="19" t="s">
        <v>32</v>
      </c>
      <c r="I316">
        <v>0</v>
      </c>
      <c r="J316">
        <v>2</v>
      </c>
      <c r="K316" s="1"/>
    </row>
    <row r="317" spans="1:11">
      <c r="A317" s="17" t="s">
        <v>66</v>
      </c>
      <c r="B317" s="19" t="s">
        <v>53</v>
      </c>
      <c r="C317" s="19" t="s">
        <v>1072</v>
      </c>
      <c r="D317" s="19" t="s">
        <v>1073</v>
      </c>
      <c r="E317" s="20" t="s">
        <v>32</v>
      </c>
      <c r="F317" s="19" t="s">
        <v>1072</v>
      </c>
      <c r="G317" s="19" t="s">
        <v>1074</v>
      </c>
      <c r="H317" s="19" t="s">
        <v>32</v>
      </c>
      <c r="I317">
        <v>0</v>
      </c>
      <c r="J317">
        <v>1</v>
      </c>
      <c r="K317" s="1"/>
    </row>
    <row r="318" spans="1:11">
      <c r="A318" s="17" t="s">
        <v>66</v>
      </c>
      <c r="B318" s="19" t="s">
        <v>53</v>
      </c>
      <c r="C318" s="19" t="s">
        <v>1075</v>
      </c>
      <c r="D318" s="19" t="s">
        <v>1076</v>
      </c>
      <c r="E318" s="20" t="s">
        <v>32</v>
      </c>
      <c r="F318" s="19" t="s">
        <v>1075</v>
      </c>
      <c r="G318" s="19" t="s">
        <v>1077</v>
      </c>
      <c r="H318" s="19" t="s">
        <v>32</v>
      </c>
      <c r="I318">
        <v>0</v>
      </c>
      <c r="J318">
        <v>1</v>
      </c>
      <c r="K318" s="1"/>
    </row>
    <row r="319" spans="1:11">
      <c r="A319" s="17" t="s">
        <v>66</v>
      </c>
      <c r="B319" s="19" t="s">
        <v>53</v>
      </c>
      <c r="C319" s="19" t="s">
        <v>1078</v>
      </c>
      <c r="D319" s="19" t="s">
        <v>1079</v>
      </c>
      <c r="E319" s="20" t="s">
        <v>32</v>
      </c>
      <c r="F319" s="19" t="s">
        <v>1078</v>
      </c>
      <c r="G319" s="19" t="s">
        <v>1080</v>
      </c>
      <c r="H319" s="19" t="s">
        <v>32</v>
      </c>
      <c r="I319">
        <v>5429722</v>
      </c>
      <c r="J319">
        <v>31240</v>
      </c>
      <c r="K319" s="1"/>
    </row>
    <row r="320" spans="1:11">
      <c r="A320" s="17" t="s">
        <v>66</v>
      </c>
      <c r="B320" s="19" t="s">
        <v>53</v>
      </c>
      <c r="C320" s="19" t="s">
        <v>1081</v>
      </c>
      <c r="D320" s="19" t="s">
        <v>1082</v>
      </c>
      <c r="E320" s="20" t="s">
        <v>32</v>
      </c>
      <c r="F320" s="19" t="s">
        <v>1081</v>
      </c>
      <c r="G320" s="19" t="s">
        <v>1083</v>
      </c>
      <c r="H320" s="19" t="s">
        <v>32</v>
      </c>
      <c r="I320">
        <v>5285996</v>
      </c>
      <c r="J320">
        <v>40046</v>
      </c>
      <c r="K320" s="1"/>
    </row>
    <row r="321" spans="1:11">
      <c r="A321" s="17" t="s">
        <v>66</v>
      </c>
      <c r="B321" s="19" t="s">
        <v>53</v>
      </c>
      <c r="C321" s="19" t="s">
        <v>513</v>
      </c>
      <c r="D321" s="19" t="s">
        <v>514</v>
      </c>
      <c r="E321" s="20" t="s">
        <v>32</v>
      </c>
      <c r="F321" s="19" t="s">
        <v>513</v>
      </c>
      <c r="G321" s="19" t="s">
        <v>515</v>
      </c>
      <c r="H321" s="19" t="s">
        <v>32</v>
      </c>
      <c r="I321">
        <v>0</v>
      </c>
      <c r="J321">
        <v>1</v>
      </c>
      <c r="K321" s="1"/>
    </row>
    <row r="322" spans="1:11">
      <c r="A322" s="17" t="s">
        <v>66</v>
      </c>
      <c r="B322" s="19" t="s">
        <v>53</v>
      </c>
      <c r="C322" s="19" t="s">
        <v>516</v>
      </c>
      <c r="D322" s="19" t="s">
        <v>517</v>
      </c>
      <c r="E322" s="20" t="s">
        <v>32</v>
      </c>
      <c r="F322" s="19" t="s">
        <v>516</v>
      </c>
      <c r="G322" s="19" t="s">
        <v>518</v>
      </c>
      <c r="H322" s="19" t="s">
        <v>32</v>
      </c>
      <c r="I322">
        <v>0</v>
      </c>
      <c r="J322">
        <v>1</v>
      </c>
      <c r="K322" s="1"/>
    </row>
    <row r="323" spans="1:11">
      <c r="A323" s="17" t="s">
        <v>66</v>
      </c>
      <c r="B323" s="19" t="s">
        <v>53</v>
      </c>
      <c r="C323" s="19" t="s">
        <v>519</v>
      </c>
      <c r="D323" s="19" t="s">
        <v>520</v>
      </c>
      <c r="E323" s="20" t="s">
        <v>32</v>
      </c>
      <c r="F323" s="19" t="s">
        <v>521</v>
      </c>
      <c r="G323" s="19" t="s">
        <v>522</v>
      </c>
      <c r="H323" s="19" t="s">
        <v>32</v>
      </c>
      <c r="I323">
        <v>0</v>
      </c>
      <c r="J323">
        <v>21</v>
      </c>
      <c r="K323" s="1"/>
    </row>
    <row r="324" spans="1:11">
      <c r="A324" s="17" t="s">
        <v>66</v>
      </c>
      <c r="B324" s="19" t="s">
        <v>53</v>
      </c>
      <c r="C324" s="19" t="s">
        <v>523</v>
      </c>
      <c r="D324" s="19" t="s">
        <v>524</v>
      </c>
      <c r="E324" s="20" t="s">
        <v>32</v>
      </c>
      <c r="F324" s="19" t="s">
        <v>523</v>
      </c>
      <c r="G324" s="19" t="s">
        <v>525</v>
      </c>
      <c r="H324" s="19" t="s">
        <v>32</v>
      </c>
      <c r="I324">
        <v>0</v>
      </c>
      <c r="J324">
        <v>149</v>
      </c>
      <c r="K324" s="1"/>
    </row>
    <row r="325" spans="1:11">
      <c r="A325" s="17" t="s">
        <v>66</v>
      </c>
      <c r="B325" s="19" t="s">
        <v>53</v>
      </c>
      <c r="C325" s="19" t="s">
        <v>1084</v>
      </c>
      <c r="D325" s="19" t="s">
        <v>1085</v>
      </c>
      <c r="E325" s="20" t="s">
        <v>32</v>
      </c>
      <c r="F325" s="19" t="s">
        <v>1084</v>
      </c>
      <c r="G325" s="19" t="s">
        <v>1086</v>
      </c>
      <c r="H325" s="19" t="s">
        <v>32</v>
      </c>
      <c r="I325">
        <v>2733183</v>
      </c>
      <c r="J325">
        <v>3207</v>
      </c>
      <c r="K325" s="1"/>
    </row>
    <row r="326" spans="1:11">
      <c r="A326" s="17" t="s">
        <v>66</v>
      </c>
      <c r="B326" s="19" t="s">
        <v>53</v>
      </c>
      <c r="C326" s="19" t="s">
        <v>1087</v>
      </c>
      <c r="D326" s="19" t="s">
        <v>1088</v>
      </c>
      <c r="E326" s="20" t="s">
        <v>32</v>
      </c>
      <c r="F326" s="19" t="s">
        <v>1087</v>
      </c>
      <c r="G326" s="19" t="s">
        <v>1089</v>
      </c>
      <c r="H326" s="19" t="s">
        <v>32</v>
      </c>
      <c r="I326">
        <v>4303943</v>
      </c>
      <c r="J326">
        <v>23204</v>
      </c>
      <c r="K326" s="1"/>
    </row>
    <row r="327" spans="1:11">
      <c r="A327" s="17" t="s">
        <v>66</v>
      </c>
      <c r="B327" s="19" t="s">
        <v>53</v>
      </c>
      <c r="C327" s="19" t="s">
        <v>526</v>
      </c>
      <c r="D327" s="19" t="s">
        <v>527</v>
      </c>
      <c r="E327" s="20" t="s">
        <v>32</v>
      </c>
      <c r="F327" s="19" t="s">
        <v>526</v>
      </c>
      <c r="G327" s="19" t="s">
        <v>528</v>
      </c>
      <c r="H327" s="19" t="s">
        <v>32</v>
      </c>
      <c r="I327">
        <v>22319517</v>
      </c>
      <c r="J327">
        <v>0</v>
      </c>
      <c r="K327" s="1"/>
    </row>
    <row r="328" spans="1:11">
      <c r="A328" s="17" t="s">
        <v>66</v>
      </c>
      <c r="B328" s="19" t="s">
        <v>53</v>
      </c>
      <c r="C328" s="19" t="s">
        <v>1090</v>
      </c>
      <c r="D328" s="19" t="s">
        <v>1091</v>
      </c>
      <c r="E328" s="20" t="s">
        <v>32</v>
      </c>
      <c r="F328" s="19" t="s">
        <v>1090</v>
      </c>
      <c r="G328" s="19" t="s">
        <v>1092</v>
      </c>
      <c r="H328" s="19" t="s">
        <v>32</v>
      </c>
      <c r="I328">
        <v>4898511</v>
      </c>
      <c r="J328">
        <v>5497</v>
      </c>
      <c r="K328" s="1"/>
    </row>
    <row r="329" spans="1:11">
      <c r="A329" s="17" t="s">
        <v>66</v>
      </c>
      <c r="B329" s="19" t="s">
        <v>53</v>
      </c>
      <c r="C329" s="19" t="s">
        <v>1093</v>
      </c>
      <c r="D329" s="19" t="s">
        <v>1094</v>
      </c>
      <c r="E329" s="20" t="s">
        <v>32</v>
      </c>
      <c r="F329" s="19" t="s">
        <v>1093</v>
      </c>
      <c r="G329" s="19" t="s">
        <v>1095</v>
      </c>
      <c r="H329" s="19" t="s">
        <v>32</v>
      </c>
      <c r="I329">
        <v>3595319</v>
      </c>
      <c r="J329">
        <v>4591</v>
      </c>
      <c r="K329" s="1"/>
    </row>
    <row r="330" spans="1:11">
      <c r="A330" s="17" t="s">
        <v>66</v>
      </c>
      <c r="B330" s="19" t="s">
        <v>53</v>
      </c>
      <c r="C330" s="19" t="s">
        <v>529</v>
      </c>
      <c r="D330" s="19" t="s">
        <v>530</v>
      </c>
      <c r="E330" s="20" t="s">
        <v>32</v>
      </c>
      <c r="F330" s="19" t="s">
        <v>529</v>
      </c>
      <c r="G330" s="19" t="s">
        <v>531</v>
      </c>
      <c r="H330" s="19" t="s">
        <v>32</v>
      </c>
      <c r="I330">
        <v>0</v>
      </c>
      <c r="J330">
        <v>33</v>
      </c>
      <c r="K330" s="1"/>
    </row>
    <row r="331" spans="1:11">
      <c r="A331" s="17" t="s">
        <v>66</v>
      </c>
      <c r="B331" s="19" t="s">
        <v>53</v>
      </c>
      <c r="C331" s="19" t="s">
        <v>532</v>
      </c>
      <c r="D331" s="19" t="s">
        <v>533</v>
      </c>
      <c r="E331" s="20" t="s">
        <v>32</v>
      </c>
      <c r="F331" s="19" t="s">
        <v>532</v>
      </c>
      <c r="G331" s="19" t="s">
        <v>534</v>
      </c>
      <c r="H331" s="19" t="s">
        <v>32</v>
      </c>
      <c r="I331">
        <v>21</v>
      </c>
      <c r="J331">
        <v>0</v>
      </c>
      <c r="K331" s="1"/>
    </row>
    <row r="332" spans="1:11">
      <c r="A332" s="17" t="s">
        <v>66</v>
      </c>
      <c r="B332" s="19" t="s">
        <v>53</v>
      </c>
      <c r="C332" s="19" t="s">
        <v>1096</v>
      </c>
      <c r="D332" s="19" t="s">
        <v>1097</v>
      </c>
      <c r="E332" s="20" t="s">
        <v>32</v>
      </c>
      <c r="F332" s="19" t="s">
        <v>1096</v>
      </c>
      <c r="G332" s="19" t="s">
        <v>1098</v>
      </c>
      <c r="H332" s="19" t="s">
        <v>32</v>
      </c>
      <c r="I332">
        <v>121440</v>
      </c>
      <c r="J332">
        <v>313</v>
      </c>
      <c r="K332" s="1"/>
    </row>
    <row r="333" spans="1:11">
      <c r="A333" s="17" t="s">
        <v>66</v>
      </c>
      <c r="B333" s="19" t="s">
        <v>53</v>
      </c>
      <c r="C333" s="19" t="s">
        <v>535</v>
      </c>
      <c r="D333" s="19" t="s">
        <v>536</v>
      </c>
      <c r="E333" s="20" t="s">
        <v>32</v>
      </c>
      <c r="F333" s="19" t="s">
        <v>535</v>
      </c>
      <c r="G333" s="19" t="s">
        <v>537</v>
      </c>
      <c r="H333" s="19" t="s">
        <v>32</v>
      </c>
      <c r="I333">
        <v>0</v>
      </c>
      <c r="J333">
        <v>3</v>
      </c>
      <c r="K333" s="1"/>
    </row>
    <row r="334" spans="1:11">
      <c r="A334" s="17" t="s">
        <v>66</v>
      </c>
      <c r="B334" s="19" t="s">
        <v>53</v>
      </c>
      <c r="C334" s="19" t="s">
        <v>538</v>
      </c>
      <c r="D334" s="19" t="s">
        <v>539</v>
      </c>
      <c r="E334" s="20" t="s">
        <v>32</v>
      </c>
      <c r="F334" s="19" t="s">
        <v>538</v>
      </c>
      <c r="G334" s="19" t="s">
        <v>540</v>
      </c>
      <c r="H334" s="19" t="s">
        <v>32</v>
      </c>
      <c r="I334">
        <v>0</v>
      </c>
      <c r="J334">
        <v>21</v>
      </c>
      <c r="K334" s="1"/>
    </row>
    <row r="335" spans="1:11">
      <c r="A335" s="17" t="s">
        <v>66</v>
      </c>
      <c r="B335" s="19" t="s">
        <v>53</v>
      </c>
      <c r="C335" s="19" t="s">
        <v>541</v>
      </c>
      <c r="D335" s="19" t="s">
        <v>542</v>
      </c>
      <c r="E335" s="20" t="s">
        <v>32</v>
      </c>
      <c r="F335" s="19" t="s">
        <v>541</v>
      </c>
      <c r="G335" s="19" t="s">
        <v>543</v>
      </c>
      <c r="H335" s="19" t="s">
        <v>32</v>
      </c>
      <c r="I335">
        <v>0</v>
      </c>
      <c r="J335">
        <v>3</v>
      </c>
      <c r="K335" s="1"/>
    </row>
    <row r="336" spans="1:11">
      <c r="A336" s="17" t="s">
        <v>66</v>
      </c>
      <c r="B336" s="19" t="s">
        <v>53</v>
      </c>
      <c r="C336" s="19" t="s">
        <v>544</v>
      </c>
      <c r="D336" s="19" t="s">
        <v>545</v>
      </c>
      <c r="E336" s="20" t="s">
        <v>32</v>
      </c>
      <c r="F336" s="19" t="s">
        <v>544</v>
      </c>
      <c r="G336" s="19" t="s">
        <v>546</v>
      </c>
      <c r="H336" s="19" t="s">
        <v>32</v>
      </c>
      <c r="I336">
        <v>0</v>
      </c>
      <c r="J336">
        <v>2</v>
      </c>
      <c r="K336" s="1"/>
    </row>
    <row r="337" spans="1:11">
      <c r="A337" s="17" t="s">
        <v>66</v>
      </c>
      <c r="B337" s="19" t="s">
        <v>53</v>
      </c>
      <c r="C337" s="19" t="s">
        <v>547</v>
      </c>
      <c r="D337" s="19" t="s">
        <v>548</v>
      </c>
      <c r="E337" s="20" t="s">
        <v>32</v>
      </c>
      <c r="F337" s="19" t="s">
        <v>547</v>
      </c>
      <c r="G337" s="19" t="s">
        <v>549</v>
      </c>
      <c r="H337" s="19" t="s">
        <v>32</v>
      </c>
      <c r="I337">
        <v>0</v>
      </c>
      <c r="J337">
        <v>1</v>
      </c>
      <c r="K337" s="1"/>
    </row>
    <row r="338" spans="1:11">
      <c r="A338" s="17" t="s">
        <v>66</v>
      </c>
      <c r="B338" s="19" t="s">
        <v>53</v>
      </c>
      <c r="C338" s="19" t="s">
        <v>1099</v>
      </c>
      <c r="D338" s="19" t="s">
        <v>1100</v>
      </c>
      <c r="E338" s="20" t="s">
        <v>32</v>
      </c>
      <c r="F338" s="19" t="s">
        <v>1099</v>
      </c>
      <c r="G338" s="19" t="s">
        <v>1101</v>
      </c>
      <c r="H338" s="19" t="s">
        <v>32</v>
      </c>
      <c r="I338">
        <v>0</v>
      </c>
      <c r="J338">
        <v>1</v>
      </c>
      <c r="K338" s="1"/>
    </row>
    <row r="339" spans="1:11">
      <c r="A339" s="17" t="s">
        <v>66</v>
      </c>
      <c r="B339" s="19" t="s">
        <v>53</v>
      </c>
      <c r="C339" s="19" t="s">
        <v>1102</v>
      </c>
      <c r="D339" s="19" t="s">
        <v>1103</v>
      </c>
      <c r="E339" s="20" t="s">
        <v>32</v>
      </c>
      <c r="F339" s="19" t="s">
        <v>1102</v>
      </c>
      <c r="G339" s="19" t="s">
        <v>1104</v>
      </c>
      <c r="H339" s="19" t="s">
        <v>32</v>
      </c>
      <c r="I339">
        <v>438590</v>
      </c>
      <c r="J339">
        <v>1147</v>
      </c>
      <c r="K339" s="1"/>
    </row>
    <row r="340" spans="1:11">
      <c r="A340" s="17" t="s">
        <v>66</v>
      </c>
      <c r="B340" s="19" t="s">
        <v>53</v>
      </c>
      <c r="C340" s="19" t="s">
        <v>1105</v>
      </c>
      <c r="D340" s="19" t="s">
        <v>1106</v>
      </c>
      <c r="E340" s="20" t="s">
        <v>32</v>
      </c>
      <c r="F340" s="19" t="s">
        <v>1105</v>
      </c>
      <c r="G340" s="19" t="s">
        <v>1107</v>
      </c>
      <c r="H340" s="19" t="s">
        <v>32</v>
      </c>
      <c r="I340">
        <v>7483879</v>
      </c>
      <c r="J340">
        <v>44976</v>
      </c>
      <c r="K340" s="1"/>
    </row>
    <row r="341" spans="1:11">
      <c r="A341" s="17" t="s">
        <v>66</v>
      </c>
      <c r="B341" s="19" t="s">
        <v>53</v>
      </c>
      <c r="C341" s="19" t="s">
        <v>1108</v>
      </c>
      <c r="D341" s="19" t="s">
        <v>1109</v>
      </c>
      <c r="E341" s="20" t="s">
        <v>32</v>
      </c>
      <c r="F341" s="19" t="s">
        <v>1108</v>
      </c>
      <c r="G341" s="19" t="s">
        <v>1110</v>
      </c>
      <c r="H341" s="19" t="s">
        <v>32</v>
      </c>
      <c r="I341">
        <v>230473</v>
      </c>
      <c r="J341">
        <v>940</v>
      </c>
      <c r="K341" s="1"/>
    </row>
    <row r="342" spans="1:11">
      <c r="A342" s="17" t="s">
        <v>66</v>
      </c>
      <c r="B342" s="19" t="s">
        <v>53</v>
      </c>
      <c r="C342" s="19" t="s">
        <v>1111</v>
      </c>
      <c r="D342" s="19" t="s">
        <v>1112</v>
      </c>
      <c r="E342" s="20" t="s">
        <v>32</v>
      </c>
      <c r="F342" s="19" t="s">
        <v>1111</v>
      </c>
      <c r="G342" s="19" t="s">
        <v>1113</v>
      </c>
      <c r="H342" s="19" t="s">
        <v>32</v>
      </c>
      <c r="I342">
        <v>467320</v>
      </c>
      <c r="J342">
        <v>2199</v>
      </c>
      <c r="K342" s="1"/>
    </row>
    <row r="343" spans="1:11">
      <c r="A343" s="17" t="s">
        <v>66</v>
      </c>
      <c r="B343" s="19" t="s">
        <v>53</v>
      </c>
      <c r="C343" s="19" t="s">
        <v>1114</v>
      </c>
      <c r="D343" s="19" t="s">
        <v>1115</v>
      </c>
      <c r="E343" s="20" t="s">
        <v>32</v>
      </c>
      <c r="F343" s="19" t="s">
        <v>1114</v>
      </c>
      <c r="G343" s="19" t="s">
        <v>1116</v>
      </c>
      <c r="H343" s="19" t="s">
        <v>32</v>
      </c>
      <c r="I343">
        <v>18369969</v>
      </c>
      <c r="J343">
        <v>30603</v>
      </c>
      <c r="K343" s="1"/>
    </row>
    <row r="344" spans="1:11">
      <c r="A344" s="17" t="s">
        <v>66</v>
      </c>
      <c r="B344" s="19" t="s">
        <v>53</v>
      </c>
      <c r="C344" s="19" t="s">
        <v>1117</v>
      </c>
      <c r="D344" s="19" t="s">
        <v>1118</v>
      </c>
      <c r="E344" s="20" t="s">
        <v>32</v>
      </c>
      <c r="F344" s="19" t="s">
        <v>1117</v>
      </c>
      <c r="G344" s="19" t="s">
        <v>1119</v>
      </c>
      <c r="H344" s="19" t="s">
        <v>32</v>
      </c>
      <c r="I344">
        <v>4920991</v>
      </c>
      <c r="J344">
        <v>8068</v>
      </c>
      <c r="K344" s="1"/>
    </row>
    <row r="345" spans="1:11">
      <c r="A345" s="17" t="s">
        <v>66</v>
      </c>
      <c r="B345" s="19" t="s">
        <v>53</v>
      </c>
      <c r="C345" s="19" t="s">
        <v>1120</v>
      </c>
      <c r="D345" s="19" t="s">
        <v>1121</v>
      </c>
      <c r="E345" s="20" t="s">
        <v>32</v>
      </c>
      <c r="F345" s="19" t="s">
        <v>1120</v>
      </c>
      <c r="G345" s="19" t="s">
        <v>1122</v>
      </c>
      <c r="H345" s="19" t="s">
        <v>32</v>
      </c>
      <c r="I345">
        <v>5476621</v>
      </c>
      <c r="J345">
        <v>6495</v>
      </c>
      <c r="K345" s="1"/>
    </row>
    <row r="346" spans="1:11">
      <c r="A346" s="17" t="s">
        <v>66</v>
      </c>
      <c r="B346" s="19" t="s">
        <v>53</v>
      </c>
      <c r="C346" s="19" t="s">
        <v>1123</v>
      </c>
      <c r="D346" s="19" t="s">
        <v>1124</v>
      </c>
      <c r="E346" s="20" t="s">
        <v>32</v>
      </c>
      <c r="F346" s="19" t="s">
        <v>1123</v>
      </c>
      <c r="G346" s="19" t="s">
        <v>1125</v>
      </c>
      <c r="H346" s="19" t="s">
        <v>32</v>
      </c>
      <c r="I346">
        <v>44042</v>
      </c>
      <c r="J346">
        <v>1547</v>
      </c>
      <c r="K346" s="1"/>
    </row>
    <row r="347" spans="1:11">
      <c r="A347" s="17" t="s">
        <v>66</v>
      </c>
      <c r="B347" s="19" t="s">
        <v>53</v>
      </c>
      <c r="C347" s="19" t="s">
        <v>1126</v>
      </c>
      <c r="D347" s="19" t="s">
        <v>1127</v>
      </c>
      <c r="E347" s="20" t="s">
        <v>32</v>
      </c>
      <c r="F347" s="19" t="s">
        <v>1126</v>
      </c>
      <c r="G347" s="19" t="s">
        <v>1128</v>
      </c>
      <c r="H347" s="19" t="s">
        <v>32</v>
      </c>
      <c r="I347">
        <v>11019190</v>
      </c>
      <c r="J347">
        <v>33103</v>
      </c>
      <c r="K347" s="1"/>
    </row>
    <row r="348" spans="1:11">
      <c r="A348" s="17" t="s">
        <v>66</v>
      </c>
      <c r="B348" s="19" t="s">
        <v>53</v>
      </c>
      <c r="C348" s="19" t="s">
        <v>550</v>
      </c>
      <c r="D348" s="19" t="s">
        <v>551</v>
      </c>
      <c r="E348" s="20" t="s">
        <v>32</v>
      </c>
      <c r="F348" s="19" t="s">
        <v>550</v>
      </c>
      <c r="G348" s="19" t="s">
        <v>552</v>
      </c>
      <c r="H348" s="19" t="s">
        <v>32</v>
      </c>
      <c r="I348">
        <v>1</v>
      </c>
      <c r="J348">
        <v>5</v>
      </c>
      <c r="K348" s="1"/>
    </row>
    <row r="349" spans="1:11">
      <c r="A349" s="17" t="s">
        <v>66</v>
      </c>
      <c r="B349" s="19" t="s">
        <v>53</v>
      </c>
      <c r="C349" s="19" t="s">
        <v>553</v>
      </c>
      <c r="D349" s="19" t="s">
        <v>554</v>
      </c>
      <c r="E349" s="20" t="s">
        <v>32</v>
      </c>
      <c r="F349" s="19" t="s">
        <v>553</v>
      </c>
      <c r="G349" s="19" t="s">
        <v>555</v>
      </c>
      <c r="H349" s="19" t="s">
        <v>32</v>
      </c>
      <c r="I349">
        <v>0</v>
      </c>
      <c r="J349">
        <v>13</v>
      </c>
      <c r="K349" s="1"/>
    </row>
    <row r="350" spans="1:11">
      <c r="A350" s="17" t="s">
        <v>66</v>
      </c>
      <c r="B350" s="19" t="s">
        <v>53</v>
      </c>
      <c r="C350" s="19" t="s">
        <v>1129</v>
      </c>
      <c r="D350" s="19" t="s">
        <v>1130</v>
      </c>
      <c r="E350" s="20" t="s">
        <v>32</v>
      </c>
      <c r="F350" s="19" t="s">
        <v>1129</v>
      </c>
      <c r="G350" s="19" t="s">
        <v>1131</v>
      </c>
      <c r="H350" s="19" t="s">
        <v>32</v>
      </c>
      <c r="I350">
        <v>3662307</v>
      </c>
      <c r="J350">
        <v>143175</v>
      </c>
      <c r="K350" s="1"/>
    </row>
    <row r="351" spans="1:11">
      <c r="A351" s="17" t="s">
        <v>66</v>
      </c>
      <c r="B351" s="19" t="s">
        <v>53</v>
      </c>
      <c r="C351" s="19" t="s">
        <v>1132</v>
      </c>
      <c r="D351" s="19" t="s">
        <v>1133</v>
      </c>
      <c r="E351" s="20" t="s">
        <v>32</v>
      </c>
      <c r="F351" s="19" t="s">
        <v>1132</v>
      </c>
      <c r="G351" s="19" t="s">
        <v>1134</v>
      </c>
      <c r="H351" s="19" t="s">
        <v>32</v>
      </c>
      <c r="I351">
        <v>0</v>
      </c>
      <c r="J351">
        <v>1</v>
      </c>
      <c r="K351" s="1"/>
    </row>
    <row r="352" spans="1:11">
      <c r="A352" s="17" t="s">
        <v>66</v>
      </c>
      <c r="B352" s="19" t="s">
        <v>53</v>
      </c>
      <c r="C352" s="19" t="s">
        <v>248</v>
      </c>
      <c r="D352" s="19" t="s">
        <v>249</v>
      </c>
      <c r="E352" s="20" t="s">
        <v>32</v>
      </c>
      <c r="F352" s="19" t="s">
        <v>248</v>
      </c>
      <c r="G352" s="19" t="s">
        <v>250</v>
      </c>
      <c r="H352" s="19" t="s">
        <v>32</v>
      </c>
      <c r="I352">
        <v>3605598</v>
      </c>
      <c r="J352">
        <v>20000</v>
      </c>
      <c r="K352" s="1"/>
    </row>
    <row r="353" spans="1:11">
      <c r="A353" s="17" t="s">
        <v>66</v>
      </c>
      <c r="B353" s="19" t="s">
        <v>53</v>
      </c>
      <c r="C353" s="19" t="s">
        <v>1135</v>
      </c>
      <c r="D353" s="19" t="s">
        <v>1136</v>
      </c>
      <c r="E353" s="20" t="s">
        <v>32</v>
      </c>
      <c r="F353" s="19" t="s">
        <v>1135</v>
      </c>
      <c r="G353" s="19" t="s">
        <v>1137</v>
      </c>
      <c r="H353" s="19" t="s">
        <v>32</v>
      </c>
      <c r="I353">
        <v>0</v>
      </c>
      <c r="J353">
        <v>1</v>
      </c>
      <c r="K353" s="1"/>
    </row>
    <row r="354" spans="1:11">
      <c r="A354" s="17" t="s">
        <v>66</v>
      </c>
      <c r="B354" s="19" t="s">
        <v>53</v>
      </c>
      <c r="C354" s="19" t="s">
        <v>1138</v>
      </c>
      <c r="D354" s="19" t="s">
        <v>1139</v>
      </c>
      <c r="E354" s="20" t="s">
        <v>32</v>
      </c>
      <c r="F354" s="19" t="s">
        <v>1138</v>
      </c>
      <c r="G354" s="19" t="s">
        <v>1140</v>
      </c>
      <c r="H354" s="19" t="s">
        <v>32</v>
      </c>
      <c r="I354">
        <v>769</v>
      </c>
      <c r="J354">
        <v>96466</v>
      </c>
      <c r="K354" s="1"/>
    </row>
    <row r="355" spans="1:11">
      <c r="A355" s="17" t="s">
        <v>66</v>
      </c>
      <c r="B355" s="19" t="s">
        <v>53</v>
      </c>
      <c r="C355" s="19" t="s">
        <v>1141</v>
      </c>
      <c r="D355" s="19" t="s">
        <v>1142</v>
      </c>
      <c r="E355" s="20" t="s">
        <v>32</v>
      </c>
      <c r="F355" s="19" t="s">
        <v>1141</v>
      </c>
      <c r="G355" s="19" t="s">
        <v>1143</v>
      </c>
      <c r="H355" s="19" t="s">
        <v>32</v>
      </c>
      <c r="I355">
        <v>0</v>
      </c>
      <c r="J355">
        <v>2</v>
      </c>
      <c r="K355" s="1"/>
    </row>
    <row r="356" spans="1:11">
      <c r="A356" s="17" t="s">
        <v>66</v>
      </c>
      <c r="B356" s="19" t="s">
        <v>53</v>
      </c>
      <c r="C356" s="19" t="s">
        <v>251</v>
      </c>
      <c r="D356" s="19" t="s">
        <v>252</v>
      </c>
      <c r="E356" s="20" t="s">
        <v>32</v>
      </c>
      <c r="F356" s="19" t="s">
        <v>251</v>
      </c>
      <c r="G356" s="19" t="s">
        <v>253</v>
      </c>
      <c r="H356" s="19" t="s">
        <v>32</v>
      </c>
      <c r="I356">
        <v>2818937</v>
      </c>
      <c r="J356">
        <v>51408</v>
      </c>
      <c r="K356" s="1"/>
    </row>
    <row r="357" spans="1:11">
      <c r="A357" s="17" t="s">
        <v>66</v>
      </c>
      <c r="B357" s="19" t="s">
        <v>53</v>
      </c>
      <c r="C357" s="19" t="s">
        <v>254</v>
      </c>
      <c r="D357" s="19" t="s">
        <v>255</v>
      </c>
      <c r="E357" s="20" t="s">
        <v>32</v>
      </c>
      <c r="F357" s="19" t="s">
        <v>254</v>
      </c>
      <c r="G357" s="19" t="s">
        <v>256</v>
      </c>
      <c r="H357" s="19" t="s">
        <v>32</v>
      </c>
      <c r="I357">
        <v>218040</v>
      </c>
      <c r="J357">
        <v>1672</v>
      </c>
      <c r="K357" s="1"/>
    </row>
    <row r="358" spans="1:11">
      <c r="A358" s="17" t="s">
        <v>66</v>
      </c>
      <c r="B358" s="19" t="s">
        <v>53</v>
      </c>
      <c r="C358" s="19" t="s">
        <v>1144</v>
      </c>
      <c r="D358" s="19" t="s">
        <v>1145</v>
      </c>
      <c r="E358" s="20" t="s">
        <v>32</v>
      </c>
      <c r="F358" s="19" t="s">
        <v>1144</v>
      </c>
      <c r="G358" s="19" t="s">
        <v>1146</v>
      </c>
      <c r="H358" s="19" t="s">
        <v>32</v>
      </c>
      <c r="I358">
        <v>0</v>
      </c>
      <c r="J358">
        <v>1</v>
      </c>
      <c r="K358" s="1"/>
    </row>
    <row r="359" spans="1:11">
      <c r="A359" s="17" t="s">
        <v>66</v>
      </c>
      <c r="B359" s="19" t="s">
        <v>53</v>
      </c>
      <c r="C359" s="19" t="s">
        <v>257</v>
      </c>
      <c r="D359" s="19" t="s">
        <v>258</v>
      </c>
      <c r="E359" s="20" t="s">
        <v>32</v>
      </c>
      <c r="F359" s="19" t="s">
        <v>257</v>
      </c>
      <c r="G359" s="19" t="s">
        <v>259</v>
      </c>
      <c r="H359" s="19" t="s">
        <v>32</v>
      </c>
      <c r="I359">
        <v>5168685</v>
      </c>
      <c r="J359">
        <v>35582</v>
      </c>
      <c r="K359" s="1"/>
    </row>
    <row r="360" spans="1:11">
      <c r="A360" s="17" t="s">
        <v>66</v>
      </c>
      <c r="B360" s="19" t="s">
        <v>53</v>
      </c>
      <c r="C360" s="19" t="s">
        <v>260</v>
      </c>
      <c r="D360" s="19" t="s">
        <v>261</v>
      </c>
      <c r="E360" s="20" t="s">
        <v>32</v>
      </c>
      <c r="F360" s="19" t="s">
        <v>260</v>
      </c>
      <c r="G360" s="19" t="s">
        <v>262</v>
      </c>
      <c r="H360" s="19" t="s">
        <v>32</v>
      </c>
      <c r="I360">
        <v>0</v>
      </c>
      <c r="J360">
        <v>81</v>
      </c>
      <c r="K360" s="1"/>
    </row>
    <row r="361" spans="1:11">
      <c r="A361" s="17" t="s">
        <v>66</v>
      </c>
      <c r="B361" s="19" t="s">
        <v>53</v>
      </c>
      <c r="C361" s="19" t="s">
        <v>263</v>
      </c>
      <c r="D361" s="19" t="s">
        <v>264</v>
      </c>
      <c r="E361" s="20" t="s">
        <v>32</v>
      </c>
      <c r="F361" s="19" t="s">
        <v>263</v>
      </c>
      <c r="G361" s="19" t="s">
        <v>265</v>
      </c>
      <c r="H361" s="19" t="s">
        <v>32</v>
      </c>
      <c r="I361">
        <v>1878</v>
      </c>
      <c r="J361">
        <v>34665</v>
      </c>
      <c r="K361" s="1"/>
    </row>
    <row r="362" spans="1:11">
      <c r="A362" s="17" t="s">
        <v>66</v>
      </c>
      <c r="B362" s="19" t="s">
        <v>53</v>
      </c>
      <c r="C362" s="19" t="s">
        <v>266</v>
      </c>
      <c r="D362" s="19" t="s">
        <v>267</v>
      </c>
      <c r="E362" s="20" t="s">
        <v>32</v>
      </c>
      <c r="F362" s="19" t="s">
        <v>266</v>
      </c>
      <c r="G362" s="19" t="s">
        <v>268</v>
      </c>
      <c r="H362" s="19" t="s">
        <v>32</v>
      </c>
      <c r="I362">
        <v>239</v>
      </c>
      <c r="J362">
        <v>2699</v>
      </c>
      <c r="K362" s="1"/>
    </row>
    <row r="363" spans="1:11">
      <c r="A363" s="17" t="s">
        <v>66</v>
      </c>
      <c r="B363" s="19" t="s">
        <v>53</v>
      </c>
      <c r="C363" s="19" t="s">
        <v>556</v>
      </c>
      <c r="D363" s="19" t="s">
        <v>557</v>
      </c>
      <c r="E363" s="20" t="s">
        <v>32</v>
      </c>
      <c r="F363" s="19" t="s">
        <v>558</v>
      </c>
      <c r="G363" s="19" t="s">
        <v>559</v>
      </c>
      <c r="H363" s="19" t="s">
        <v>32</v>
      </c>
      <c r="I363">
        <v>1891</v>
      </c>
      <c r="J363">
        <v>33866</v>
      </c>
      <c r="K363" s="1"/>
    </row>
    <row r="364" spans="1:11">
      <c r="A364" s="17" t="s">
        <v>66</v>
      </c>
      <c r="B364" s="19" t="s">
        <v>53</v>
      </c>
      <c r="C364" s="19" t="s">
        <v>269</v>
      </c>
      <c r="D364" s="19" t="s">
        <v>270</v>
      </c>
      <c r="E364" s="20" t="s">
        <v>32</v>
      </c>
      <c r="F364" s="19" t="s">
        <v>269</v>
      </c>
      <c r="G364" s="19" t="s">
        <v>271</v>
      </c>
      <c r="H364" s="19" t="s">
        <v>32</v>
      </c>
      <c r="I364">
        <v>0</v>
      </c>
      <c r="J364">
        <v>2</v>
      </c>
      <c r="K364" s="1"/>
    </row>
    <row r="365" spans="1:11">
      <c r="A365" s="17" t="s">
        <v>66</v>
      </c>
      <c r="B365" s="19" t="s">
        <v>53</v>
      </c>
      <c r="C365" s="19" t="s">
        <v>1147</v>
      </c>
      <c r="D365" s="19" t="s">
        <v>1148</v>
      </c>
      <c r="E365" s="20" t="s">
        <v>32</v>
      </c>
      <c r="F365" s="19" t="s">
        <v>1147</v>
      </c>
      <c r="G365" s="19" t="s">
        <v>1149</v>
      </c>
      <c r="H365" s="19" t="s">
        <v>32</v>
      </c>
      <c r="I365">
        <v>2794963</v>
      </c>
      <c r="J365">
        <v>19233</v>
      </c>
      <c r="K365" s="1"/>
    </row>
    <row r="366" spans="1:11">
      <c r="A366" s="17" t="s">
        <v>66</v>
      </c>
      <c r="B366" s="19" t="s">
        <v>53</v>
      </c>
      <c r="C366" s="19" t="s">
        <v>272</v>
      </c>
      <c r="D366" s="19" t="s">
        <v>273</v>
      </c>
      <c r="E366" s="20" t="s">
        <v>32</v>
      </c>
      <c r="F366" s="19" t="s">
        <v>272</v>
      </c>
      <c r="G366" s="19" t="s">
        <v>274</v>
      </c>
      <c r="H366" s="19" t="s">
        <v>32</v>
      </c>
      <c r="I366">
        <v>917</v>
      </c>
      <c r="J366">
        <v>13901</v>
      </c>
      <c r="K366" s="1"/>
    </row>
    <row r="367" spans="1:11">
      <c r="A367" s="17" t="s">
        <v>66</v>
      </c>
      <c r="B367" s="19" t="s">
        <v>53</v>
      </c>
      <c r="C367" s="19" t="s">
        <v>560</v>
      </c>
      <c r="D367" s="19" t="s">
        <v>561</v>
      </c>
      <c r="E367" s="20" t="s">
        <v>32</v>
      </c>
      <c r="F367" s="19" t="s">
        <v>560</v>
      </c>
      <c r="G367" s="19" t="s">
        <v>562</v>
      </c>
      <c r="H367" s="19" t="s">
        <v>32</v>
      </c>
      <c r="I367">
        <v>20</v>
      </c>
      <c r="J367">
        <v>2</v>
      </c>
      <c r="K367" s="1"/>
    </row>
    <row r="368" spans="1:11">
      <c r="A368" s="17" t="s">
        <v>66</v>
      </c>
      <c r="B368" s="19" t="s">
        <v>275</v>
      </c>
      <c r="C368" s="19" t="s">
        <v>1150</v>
      </c>
      <c r="D368" s="19" t="s">
        <v>1151</v>
      </c>
      <c r="E368" s="20" t="s">
        <v>32</v>
      </c>
      <c r="F368" s="19" t="s">
        <v>1152</v>
      </c>
      <c r="G368" s="19" t="s">
        <v>1153</v>
      </c>
      <c r="H368" s="19" t="s">
        <v>32</v>
      </c>
      <c r="I368">
        <v>0</v>
      </c>
      <c r="J368">
        <v>1</v>
      </c>
      <c r="K368" s="1"/>
    </row>
    <row r="369" spans="1:11">
      <c r="A369" s="17" t="s">
        <v>66</v>
      </c>
      <c r="B369" s="19" t="s">
        <v>275</v>
      </c>
      <c r="C369" s="19" t="s">
        <v>1154</v>
      </c>
      <c r="D369" s="19" t="s">
        <v>1155</v>
      </c>
      <c r="E369" s="20" t="s">
        <v>32</v>
      </c>
      <c r="F369" s="19" t="s">
        <v>1156</v>
      </c>
      <c r="G369" s="19" t="s">
        <v>1157</v>
      </c>
      <c r="H369" s="19" t="s">
        <v>32</v>
      </c>
      <c r="I369">
        <v>0</v>
      </c>
      <c r="J369">
        <v>1</v>
      </c>
      <c r="K369" s="1"/>
    </row>
    <row r="370" spans="1:11">
      <c r="A370" s="17" t="s">
        <v>66</v>
      </c>
      <c r="B370" s="19" t="s">
        <v>275</v>
      </c>
      <c r="C370" s="19" t="s">
        <v>1158</v>
      </c>
      <c r="D370" s="19" t="s">
        <v>1159</v>
      </c>
      <c r="E370" s="20" t="s">
        <v>32</v>
      </c>
      <c r="F370" s="19" t="s">
        <v>1160</v>
      </c>
      <c r="G370" s="19" t="s">
        <v>1161</v>
      </c>
      <c r="H370" s="19" t="s">
        <v>32</v>
      </c>
      <c r="I370">
        <v>0</v>
      </c>
      <c r="J370">
        <v>1</v>
      </c>
      <c r="K370" s="1"/>
    </row>
    <row r="371" spans="1:11">
      <c r="A371" s="17" t="s">
        <v>66</v>
      </c>
      <c r="B371" s="19" t="s">
        <v>275</v>
      </c>
      <c r="C371" s="19" t="s">
        <v>276</v>
      </c>
      <c r="D371" s="19" t="s">
        <v>277</v>
      </c>
      <c r="E371" s="20" t="s">
        <v>11</v>
      </c>
      <c r="F371" s="19" t="s">
        <v>109</v>
      </c>
      <c r="G371" s="19" t="s">
        <v>110</v>
      </c>
      <c r="H371" s="19" t="s">
        <v>31</v>
      </c>
      <c r="I371">
        <v>1</v>
      </c>
      <c r="J371">
        <v>0</v>
      </c>
      <c r="K371" s="1"/>
    </row>
    <row r="372" spans="1:11">
      <c r="A372" s="17" t="s">
        <v>66</v>
      </c>
      <c r="B372" s="19" t="s">
        <v>275</v>
      </c>
      <c r="C372" s="19" t="s">
        <v>276</v>
      </c>
      <c r="D372" s="19" t="s">
        <v>277</v>
      </c>
      <c r="E372" s="20" t="s">
        <v>32</v>
      </c>
      <c r="F372" s="19" t="s">
        <v>276</v>
      </c>
      <c r="G372" s="19" t="s">
        <v>278</v>
      </c>
      <c r="H372" s="19" t="s">
        <v>32</v>
      </c>
      <c r="I372">
        <v>74681</v>
      </c>
      <c r="J372">
        <v>40</v>
      </c>
      <c r="K372" s="1"/>
    </row>
    <row r="373" spans="1:11">
      <c r="A373" s="17" t="s">
        <v>66</v>
      </c>
      <c r="B373" s="19" t="s">
        <v>275</v>
      </c>
      <c r="C373" s="19" t="s">
        <v>1152</v>
      </c>
      <c r="D373" s="19" t="s">
        <v>1162</v>
      </c>
      <c r="E373" s="20" t="s">
        <v>12</v>
      </c>
      <c r="F373" s="19" t="s">
        <v>1152</v>
      </c>
      <c r="G373" s="19" t="s">
        <v>1163</v>
      </c>
      <c r="H373" s="19" t="s">
        <v>31</v>
      </c>
      <c r="I373">
        <v>1143</v>
      </c>
      <c r="J373">
        <v>2</v>
      </c>
      <c r="K373" s="1"/>
    </row>
    <row r="374" spans="1:11">
      <c r="A374" s="17" t="s">
        <v>66</v>
      </c>
      <c r="B374" s="19" t="s">
        <v>275</v>
      </c>
      <c r="C374" s="19" t="s">
        <v>279</v>
      </c>
      <c r="D374" s="19" t="s">
        <v>280</v>
      </c>
      <c r="E374" s="20" t="s">
        <v>32</v>
      </c>
      <c r="F374" s="19" t="s">
        <v>279</v>
      </c>
      <c r="G374" s="19" t="s">
        <v>281</v>
      </c>
      <c r="H374" s="19" t="s">
        <v>32</v>
      </c>
      <c r="I374">
        <v>35747</v>
      </c>
      <c r="J374">
        <v>10</v>
      </c>
      <c r="K374" s="1"/>
    </row>
    <row r="375" spans="1:11">
      <c r="A375" s="17" t="s">
        <v>66</v>
      </c>
      <c r="B375" s="19" t="s">
        <v>275</v>
      </c>
      <c r="C375" s="19" t="s">
        <v>1156</v>
      </c>
      <c r="D375" s="19" t="s">
        <v>1164</v>
      </c>
      <c r="E375" s="20" t="s">
        <v>12</v>
      </c>
      <c r="F375" s="19" t="s">
        <v>1156</v>
      </c>
      <c r="G375" s="19" t="s">
        <v>1165</v>
      </c>
      <c r="H375" s="19" t="s">
        <v>31</v>
      </c>
      <c r="I375">
        <v>1698</v>
      </c>
      <c r="J375">
        <v>4</v>
      </c>
      <c r="K375" s="1"/>
    </row>
    <row r="376" spans="1:11">
      <c r="A376" s="17" t="s">
        <v>66</v>
      </c>
      <c r="B376" s="19" t="s">
        <v>275</v>
      </c>
      <c r="C376" s="19" t="s">
        <v>282</v>
      </c>
      <c r="D376" s="19" t="s">
        <v>283</v>
      </c>
      <c r="E376" s="20" t="s">
        <v>32</v>
      </c>
      <c r="F376" s="19" t="s">
        <v>282</v>
      </c>
      <c r="G376" s="19" t="s">
        <v>284</v>
      </c>
      <c r="H376" s="19" t="s">
        <v>32</v>
      </c>
      <c r="I376">
        <v>4187791</v>
      </c>
      <c r="J376">
        <v>12476</v>
      </c>
      <c r="K376" s="1"/>
    </row>
    <row r="377" spans="1:11">
      <c r="A377" s="17" t="s">
        <v>66</v>
      </c>
      <c r="B377" s="19" t="s">
        <v>275</v>
      </c>
      <c r="C377" s="19" t="s">
        <v>1160</v>
      </c>
      <c r="D377" s="19" t="s">
        <v>1166</v>
      </c>
      <c r="E377" s="20" t="s">
        <v>12</v>
      </c>
      <c r="F377" s="19" t="s">
        <v>1160</v>
      </c>
      <c r="G377" s="19" t="s">
        <v>1167</v>
      </c>
      <c r="H377" s="19" t="s">
        <v>31</v>
      </c>
      <c r="I377">
        <v>333095</v>
      </c>
      <c r="J377">
        <v>723</v>
      </c>
      <c r="K377" s="1"/>
    </row>
    <row r="378" spans="1:11">
      <c r="A378" s="17" t="s">
        <v>66</v>
      </c>
      <c r="B378" s="19" t="s">
        <v>108</v>
      </c>
      <c r="C378" s="19" t="s">
        <v>1168</v>
      </c>
      <c r="D378" s="19" t="s">
        <v>1169</v>
      </c>
      <c r="E378" s="20" t="s">
        <v>32</v>
      </c>
      <c r="F378" s="19" t="s">
        <v>1168</v>
      </c>
      <c r="G378" s="19" t="s">
        <v>1170</v>
      </c>
      <c r="H378" s="19" t="s">
        <v>32</v>
      </c>
      <c r="I378">
        <v>0</v>
      </c>
      <c r="J378">
        <v>1</v>
      </c>
      <c r="K378" s="1"/>
    </row>
    <row r="379" spans="1:11">
      <c r="A379" s="17" t="s">
        <v>66</v>
      </c>
      <c r="B379" s="19" t="s">
        <v>108</v>
      </c>
      <c r="C379" s="19" t="s">
        <v>1171</v>
      </c>
      <c r="D379" s="19" t="s">
        <v>1172</v>
      </c>
      <c r="E379" s="20" t="s">
        <v>32</v>
      </c>
      <c r="F379" s="19" t="s">
        <v>1171</v>
      </c>
      <c r="G379" s="19" t="s">
        <v>1173</v>
      </c>
      <c r="H379" s="19" t="s">
        <v>32</v>
      </c>
      <c r="I379">
        <v>188498</v>
      </c>
      <c r="J379">
        <v>48</v>
      </c>
      <c r="K379" s="1"/>
    </row>
    <row r="380" spans="1:11">
      <c r="A380" s="17" t="s">
        <v>66</v>
      </c>
      <c r="B380" s="19" t="s">
        <v>108</v>
      </c>
      <c r="C380" s="19" t="s">
        <v>1174</v>
      </c>
      <c r="D380" s="19" t="s">
        <v>1175</v>
      </c>
      <c r="E380" s="20" t="s">
        <v>32</v>
      </c>
      <c r="F380" s="19" t="s">
        <v>1174</v>
      </c>
      <c r="G380" s="19" t="s">
        <v>1176</v>
      </c>
      <c r="H380" s="19" t="s">
        <v>32</v>
      </c>
      <c r="I380">
        <v>1496871</v>
      </c>
      <c r="J380">
        <v>948</v>
      </c>
      <c r="K380" s="1"/>
    </row>
    <row r="381" spans="1:11">
      <c r="A381" s="17" t="s">
        <v>66</v>
      </c>
      <c r="B381" s="19" t="s">
        <v>108</v>
      </c>
      <c r="C381" s="19" t="s">
        <v>1177</v>
      </c>
      <c r="D381" s="19" t="s">
        <v>1178</v>
      </c>
      <c r="E381" s="20" t="s">
        <v>11</v>
      </c>
      <c r="F381" s="19" t="s">
        <v>109</v>
      </c>
      <c r="G381" s="19" t="s">
        <v>110</v>
      </c>
      <c r="H381" s="19" t="s">
        <v>31</v>
      </c>
      <c r="I381">
        <v>1</v>
      </c>
      <c r="J381">
        <v>1</v>
      </c>
      <c r="K381" s="1"/>
    </row>
    <row r="382" spans="1:11">
      <c r="A382" s="17" t="s">
        <v>66</v>
      </c>
      <c r="B382" s="19" t="s">
        <v>108</v>
      </c>
      <c r="C382" s="19" t="s">
        <v>1179</v>
      </c>
      <c r="D382" s="19" t="s">
        <v>1180</v>
      </c>
      <c r="E382" s="20" t="s">
        <v>32</v>
      </c>
      <c r="F382" s="19" t="s">
        <v>1179</v>
      </c>
      <c r="G382" s="19" t="s">
        <v>1181</v>
      </c>
      <c r="H382" s="19" t="s">
        <v>32</v>
      </c>
      <c r="I382">
        <v>307148</v>
      </c>
      <c r="J382">
        <v>833</v>
      </c>
      <c r="K382" s="1"/>
    </row>
    <row r="383" spans="1:11">
      <c r="A383" s="17" t="s">
        <v>66</v>
      </c>
      <c r="B383" s="19" t="s">
        <v>108</v>
      </c>
      <c r="C383" s="19" t="s">
        <v>563</v>
      </c>
      <c r="D383" s="19" t="s">
        <v>564</v>
      </c>
      <c r="E383" s="20" t="s">
        <v>32</v>
      </c>
      <c r="F383" s="19" t="s">
        <v>563</v>
      </c>
      <c r="G383" s="19" t="s">
        <v>565</v>
      </c>
      <c r="H383" s="19" t="s">
        <v>32</v>
      </c>
      <c r="I383">
        <v>0</v>
      </c>
      <c r="J383">
        <v>152</v>
      </c>
      <c r="K383" s="1"/>
    </row>
    <row r="384" spans="1:11">
      <c r="A384" s="17" t="s">
        <v>66</v>
      </c>
      <c r="B384" s="19" t="s">
        <v>72</v>
      </c>
      <c r="C384" s="19" t="s">
        <v>73</v>
      </c>
      <c r="D384" s="19" t="s">
        <v>74</v>
      </c>
      <c r="E384" s="20" t="s">
        <v>12</v>
      </c>
      <c r="F384" s="19" t="s">
        <v>73</v>
      </c>
      <c r="G384" s="19" t="s">
        <v>75</v>
      </c>
      <c r="H384" s="19" t="s">
        <v>31</v>
      </c>
      <c r="I384">
        <v>3</v>
      </c>
      <c r="J384">
        <v>0</v>
      </c>
      <c r="K384" s="1"/>
    </row>
    <row r="385" spans="1:11">
      <c r="A385" s="17" t="s">
        <v>66</v>
      </c>
      <c r="B385" s="19" t="s">
        <v>72</v>
      </c>
      <c r="C385" s="19" t="s">
        <v>566</v>
      </c>
      <c r="D385" s="19" t="s">
        <v>567</v>
      </c>
      <c r="E385" s="20" t="s">
        <v>12</v>
      </c>
      <c r="F385" s="19" t="s">
        <v>566</v>
      </c>
      <c r="G385" s="19" t="s">
        <v>568</v>
      </c>
      <c r="H385" s="19" t="s">
        <v>31</v>
      </c>
      <c r="I385">
        <v>109040</v>
      </c>
      <c r="J385">
        <v>79</v>
      </c>
      <c r="K385" s="1"/>
    </row>
    <row r="386" spans="1:11">
      <c r="A386" s="17" t="s">
        <v>66</v>
      </c>
      <c r="B386" s="19" t="s">
        <v>72</v>
      </c>
      <c r="C386" s="19" t="s">
        <v>76</v>
      </c>
      <c r="D386" s="19" t="s">
        <v>77</v>
      </c>
      <c r="E386" s="20" t="s">
        <v>12</v>
      </c>
      <c r="F386" s="19" t="s">
        <v>76</v>
      </c>
      <c r="G386" s="19" t="s">
        <v>78</v>
      </c>
      <c r="H386" s="19" t="s">
        <v>31</v>
      </c>
      <c r="I386">
        <v>17</v>
      </c>
      <c r="J386">
        <v>0</v>
      </c>
      <c r="K386" s="1"/>
    </row>
    <row r="387" spans="1:11">
      <c r="A387" s="17" t="s">
        <v>66</v>
      </c>
      <c r="B387" s="19" t="s">
        <v>72</v>
      </c>
      <c r="C387" s="19" t="s">
        <v>569</v>
      </c>
      <c r="D387" s="19" t="s">
        <v>570</v>
      </c>
      <c r="E387" s="20" t="s">
        <v>12</v>
      </c>
      <c r="F387" s="19" t="s">
        <v>569</v>
      </c>
      <c r="G387" s="19" t="s">
        <v>571</v>
      </c>
      <c r="H387" s="19" t="s">
        <v>31</v>
      </c>
      <c r="I387">
        <v>484321</v>
      </c>
      <c r="J387">
        <v>736</v>
      </c>
      <c r="K387" s="1"/>
    </row>
    <row r="388" spans="1:11">
      <c r="A388" s="17" t="s">
        <v>66</v>
      </c>
      <c r="B388" s="19" t="s">
        <v>572</v>
      </c>
      <c r="C388" s="19" t="s">
        <v>1182</v>
      </c>
      <c r="D388" s="19" t="s">
        <v>1183</v>
      </c>
      <c r="E388" s="20" t="s">
        <v>12</v>
      </c>
      <c r="F388" s="19" t="s">
        <v>1182</v>
      </c>
      <c r="G388" s="19" t="s">
        <v>1184</v>
      </c>
      <c r="H388" s="19" t="s">
        <v>31</v>
      </c>
      <c r="I388">
        <v>6362</v>
      </c>
      <c r="J388">
        <v>12</v>
      </c>
      <c r="K388" s="1"/>
    </row>
    <row r="389" spans="1:11">
      <c r="A389" s="17" t="s">
        <v>66</v>
      </c>
      <c r="B389" s="19" t="s">
        <v>572</v>
      </c>
      <c r="C389" s="19" t="s">
        <v>1185</v>
      </c>
      <c r="D389" s="19" t="s">
        <v>1186</v>
      </c>
      <c r="E389" s="20" t="s">
        <v>12</v>
      </c>
      <c r="F389" s="19" t="s">
        <v>1185</v>
      </c>
      <c r="G389" s="19" t="s">
        <v>1187</v>
      </c>
      <c r="H389" s="19" t="s">
        <v>31</v>
      </c>
      <c r="I389">
        <v>1</v>
      </c>
      <c r="J389">
        <v>0</v>
      </c>
      <c r="K389" s="1"/>
    </row>
    <row r="390" spans="1:11">
      <c r="A390" s="17" t="s">
        <v>66</v>
      </c>
      <c r="B390" s="19" t="s">
        <v>572</v>
      </c>
      <c r="C390" s="19" t="s">
        <v>1188</v>
      </c>
      <c r="D390" s="19" t="s">
        <v>1189</v>
      </c>
      <c r="E390" s="20" t="s">
        <v>12</v>
      </c>
      <c r="F390" s="19" t="s">
        <v>1188</v>
      </c>
      <c r="G390" s="19" t="s">
        <v>1190</v>
      </c>
      <c r="H390" s="19" t="s">
        <v>31</v>
      </c>
      <c r="I390">
        <v>49025</v>
      </c>
      <c r="J390">
        <v>69</v>
      </c>
      <c r="K390" s="1"/>
    </row>
    <row r="391" spans="1:11">
      <c r="A391" s="17" t="s">
        <v>66</v>
      </c>
      <c r="B391" s="19" t="s">
        <v>572</v>
      </c>
      <c r="C391" s="19" t="s">
        <v>1191</v>
      </c>
      <c r="D391" s="19" t="s">
        <v>1192</v>
      </c>
      <c r="E391" s="20" t="s">
        <v>12</v>
      </c>
      <c r="F391" s="19" t="s">
        <v>1191</v>
      </c>
      <c r="G391" s="19" t="s">
        <v>1193</v>
      </c>
      <c r="H391" s="19" t="s">
        <v>31</v>
      </c>
      <c r="I391">
        <v>326820</v>
      </c>
      <c r="J391">
        <v>478</v>
      </c>
      <c r="K391" s="1"/>
    </row>
    <row r="392" spans="1:11">
      <c r="A392" s="17" t="s">
        <v>66</v>
      </c>
      <c r="B392" s="19" t="s">
        <v>572</v>
      </c>
      <c r="C392" s="19" t="s">
        <v>1194</v>
      </c>
      <c r="D392" s="19" t="s">
        <v>1195</v>
      </c>
      <c r="E392" s="20" t="s">
        <v>12</v>
      </c>
      <c r="F392" s="19" t="s">
        <v>1194</v>
      </c>
      <c r="G392" s="19" t="s">
        <v>1196</v>
      </c>
      <c r="H392" s="19" t="s">
        <v>31</v>
      </c>
      <c r="I392">
        <v>178687</v>
      </c>
      <c r="J392">
        <v>331</v>
      </c>
      <c r="K392" s="1"/>
    </row>
    <row r="393" spans="1:11">
      <c r="A393" s="17" t="s">
        <v>66</v>
      </c>
      <c r="B393" s="19" t="s">
        <v>572</v>
      </c>
      <c r="C393" s="19" t="s">
        <v>1197</v>
      </c>
      <c r="D393" s="19" t="s">
        <v>1198</v>
      </c>
      <c r="E393" s="20" t="s">
        <v>12</v>
      </c>
      <c r="F393" s="19" t="s">
        <v>1197</v>
      </c>
      <c r="G393" s="19" t="s">
        <v>1199</v>
      </c>
      <c r="H393" s="19" t="s">
        <v>31</v>
      </c>
      <c r="I393">
        <v>1</v>
      </c>
      <c r="J393">
        <v>0</v>
      </c>
      <c r="K393" s="1"/>
    </row>
    <row r="394" spans="1:11">
      <c r="A394" s="17" t="s">
        <v>66</v>
      </c>
      <c r="B394" s="19" t="s">
        <v>572</v>
      </c>
      <c r="C394" s="19" t="s">
        <v>1200</v>
      </c>
      <c r="D394" s="19" t="s">
        <v>1201</v>
      </c>
      <c r="E394" s="20" t="s">
        <v>12</v>
      </c>
      <c r="F394" s="19" t="s">
        <v>1200</v>
      </c>
      <c r="G394" s="19" t="s">
        <v>1202</v>
      </c>
      <c r="H394" s="19" t="s">
        <v>31</v>
      </c>
      <c r="I394">
        <v>45211</v>
      </c>
      <c r="J394">
        <v>44</v>
      </c>
      <c r="K394" s="1"/>
    </row>
    <row r="395" spans="1:11">
      <c r="A395" s="17" t="s">
        <v>66</v>
      </c>
      <c r="B395" s="19" t="s">
        <v>572</v>
      </c>
      <c r="C395" s="19" t="s">
        <v>1203</v>
      </c>
      <c r="D395" s="19" t="s">
        <v>1204</v>
      </c>
      <c r="E395" s="20" t="s">
        <v>12</v>
      </c>
      <c r="F395" s="19" t="s">
        <v>1203</v>
      </c>
      <c r="G395" s="19" t="s">
        <v>1205</v>
      </c>
      <c r="H395" s="19" t="s">
        <v>31</v>
      </c>
      <c r="I395">
        <v>1</v>
      </c>
      <c r="J395">
        <v>0</v>
      </c>
      <c r="K395" s="1"/>
    </row>
    <row r="396" spans="1:11">
      <c r="A396" s="17" t="s">
        <v>66</v>
      </c>
      <c r="B396" s="19" t="s">
        <v>572</v>
      </c>
      <c r="C396" s="19" t="s">
        <v>1206</v>
      </c>
      <c r="D396" s="19" t="s">
        <v>1207</v>
      </c>
      <c r="E396" s="20" t="s">
        <v>12</v>
      </c>
      <c r="F396" s="19" t="s">
        <v>1206</v>
      </c>
      <c r="G396" s="19" t="s">
        <v>1208</v>
      </c>
      <c r="H396" s="19" t="s">
        <v>31</v>
      </c>
      <c r="I396">
        <v>1</v>
      </c>
      <c r="J396">
        <v>0</v>
      </c>
      <c r="K396" s="1"/>
    </row>
    <row r="397" spans="1:11">
      <c r="A397" s="17" t="s">
        <v>66</v>
      </c>
      <c r="B397" s="19" t="s">
        <v>572</v>
      </c>
      <c r="C397" s="19" t="s">
        <v>1209</v>
      </c>
      <c r="D397" s="19" t="s">
        <v>1210</v>
      </c>
      <c r="E397" s="20" t="s">
        <v>32</v>
      </c>
      <c r="F397" s="19" t="s">
        <v>1209</v>
      </c>
      <c r="G397" s="19" t="s">
        <v>1211</v>
      </c>
      <c r="H397" s="19" t="s">
        <v>32</v>
      </c>
      <c r="I397">
        <v>0</v>
      </c>
      <c r="J397">
        <v>3</v>
      </c>
      <c r="K397" s="1"/>
    </row>
    <row r="398" spans="1:11">
      <c r="A398" s="17" t="s">
        <v>66</v>
      </c>
      <c r="B398" s="19" t="s">
        <v>572</v>
      </c>
      <c r="C398" s="19" t="s">
        <v>1212</v>
      </c>
      <c r="D398" s="19" t="s">
        <v>1213</v>
      </c>
      <c r="E398" s="20" t="s">
        <v>32</v>
      </c>
      <c r="F398" s="19" t="s">
        <v>1212</v>
      </c>
      <c r="G398" s="19" t="s">
        <v>1214</v>
      </c>
      <c r="H398" s="19" t="s">
        <v>32</v>
      </c>
      <c r="I398">
        <v>0</v>
      </c>
      <c r="J398">
        <v>1</v>
      </c>
      <c r="K398" s="1"/>
    </row>
    <row r="399" spans="1:11">
      <c r="A399" s="17" t="s">
        <v>66</v>
      </c>
      <c r="B399" s="19" t="s">
        <v>572</v>
      </c>
      <c r="C399" s="19" t="s">
        <v>573</v>
      </c>
      <c r="D399" s="19" t="s">
        <v>574</v>
      </c>
      <c r="E399" s="20" t="s">
        <v>32</v>
      </c>
      <c r="F399" s="19" t="s">
        <v>573</v>
      </c>
      <c r="G399" s="19" t="s">
        <v>575</v>
      </c>
      <c r="H399" s="19" t="s">
        <v>32</v>
      </c>
      <c r="I399">
        <v>0</v>
      </c>
      <c r="J399">
        <v>2</v>
      </c>
      <c r="K399" s="1"/>
    </row>
    <row r="400" spans="1:11">
      <c r="A400" s="17" t="s">
        <v>66</v>
      </c>
      <c r="B400" s="19" t="s">
        <v>572</v>
      </c>
      <c r="C400" s="19" t="s">
        <v>1215</v>
      </c>
      <c r="D400" s="19" t="s">
        <v>1216</v>
      </c>
      <c r="E400" s="20" t="s">
        <v>32</v>
      </c>
      <c r="F400" s="19" t="s">
        <v>1215</v>
      </c>
      <c r="G400" s="19" t="s">
        <v>1217</v>
      </c>
      <c r="H400" s="19" t="s">
        <v>32</v>
      </c>
      <c r="I400">
        <v>0</v>
      </c>
      <c r="J400">
        <v>1</v>
      </c>
      <c r="K400" s="1"/>
    </row>
    <row r="401" spans="1:11">
      <c r="A401" s="17" t="s">
        <v>66</v>
      </c>
      <c r="B401" s="19" t="s">
        <v>572</v>
      </c>
      <c r="C401" s="19" t="s">
        <v>1218</v>
      </c>
      <c r="D401" s="19" t="s">
        <v>1219</v>
      </c>
      <c r="E401" s="20" t="s">
        <v>32</v>
      </c>
      <c r="F401" s="19" t="s">
        <v>1218</v>
      </c>
      <c r="G401" s="19" t="s">
        <v>1220</v>
      </c>
      <c r="H401" s="19" t="s">
        <v>32</v>
      </c>
      <c r="I401">
        <v>0</v>
      </c>
      <c r="J401">
        <v>2</v>
      </c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111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Criteo</v>
      </c>
      <c r="C2" t="str">
        <f t="shared" ref="C2:C65" si="2">bd_placement</f>
        <v>alp_ecom_conversao_ecom_criteo_display_half-page_rmkt_frete-fixo_rmk-criteo_cpm_300x600_111226</v>
      </c>
      <c r="D2" t="str">
        <f t="shared" ref="D2:D65" si="3">bd_placementID</f>
        <v>252205432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alp_ecom_conversao_ecom_criteo_display_half-page_rmkt_frete-fixo_rmk-criteo_cpm_300x600_111226</v>
      </c>
      <c r="G2" t="str">
        <f t="shared" ref="G2:G65" si="5">bd_adid</f>
        <v>448338025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6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2.1000000000000001E-2</v>
      </c>
      <c r="N2" s="4">
        <f>IF(E2="Dynamic Click",J2*L2,L2*$I2/1000)</f>
        <v>0.12</v>
      </c>
    </row>
    <row r="3" spans="1:14">
      <c r="A3" t="str">
        <f t="shared" si="0"/>
        <v>alp_ecom</v>
      </c>
      <c r="B3" t="str">
        <f t="shared" si="1"/>
        <v>Criteo</v>
      </c>
      <c r="C3" t="str">
        <f t="shared" si="2"/>
        <v>alp_ecom_conversao_ecom_criteo_display_quadrado_rmkt_frete-fixo_rmk-criteo_cpm_250x250_111226</v>
      </c>
      <c r="D3" t="str">
        <f t="shared" si="3"/>
        <v>252205447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alp_ecom_conversao_ecom_criteo_display_quadrado_rmkt_frete-fixo_rmk-criteo_cpm_250x250_111226</v>
      </c>
      <c r="G3" t="str">
        <f t="shared" si="5"/>
        <v>448337770</v>
      </c>
      <c r="H3" t="str">
        <f t="shared" si="6"/>
        <v>Tracking</v>
      </c>
      <c r="I3">
        <f t="shared" si="7"/>
        <v>0</v>
      </c>
      <c r="J3">
        <f t="shared" si="8"/>
        <v>8</v>
      </c>
      <c r="K3" s="4">
        <f t="shared" si="9"/>
        <v>3.5000000000000001E-3</v>
      </c>
      <c r="L3">
        <f t="shared" si="10"/>
        <v>0.02</v>
      </c>
      <c r="M3" s="4">
        <f t="shared" si="11"/>
        <v>2.8000000000000001E-2</v>
      </c>
      <c r="N3" s="4">
        <f t="shared" ref="N3:N34" si="12">IF(E3="Dynamic Click",J3*L3,L3*$I3/1000)</f>
        <v>0.16</v>
      </c>
    </row>
    <row r="4" spans="1:14">
      <c r="A4" t="str">
        <f t="shared" si="0"/>
        <v>alp_ecom</v>
      </c>
      <c r="B4" t="str">
        <f t="shared" si="1"/>
        <v>Criteo</v>
      </c>
      <c r="C4" t="str">
        <f t="shared" si="2"/>
        <v>alp_ecom_conversao_ecom_criteo_display_retangulo_rmkt_frete-fixo_rmk-criteo_cpm_300x250_111226</v>
      </c>
      <c r="D4" t="str">
        <f t="shared" si="3"/>
        <v>252205423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alp_ecom_conversao_ecom_criteo_display_retangulo_rmkt_frete-fixo_rmk-criteo_cpm_300x250_111226</v>
      </c>
      <c r="G4" t="str">
        <f t="shared" si="5"/>
        <v>448200690</v>
      </c>
      <c r="H4" t="str">
        <f t="shared" si="6"/>
        <v>Tracking</v>
      </c>
      <c r="I4">
        <f t="shared" si="7"/>
        <v>0</v>
      </c>
      <c r="J4">
        <f t="shared" si="8"/>
        <v>6</v>
      </c>
      <c r="K4" s="4">
        <f t="shared" si="9"/>
        <v>3.5000000000000001E-3</v>
      </c>
      <c r="L4">
        <f t="shared" si="10"/>
        <v>0.02</v>
      </c>
      <c r="M4" s="4">
        <f t="shared" si="11"/>
        <v>2.1000000000000001E-2</v>
      </c>
      <c r="N4" s="4">
        <f t="shared" si="12"/>
        <v>0.12</v>
      </c>
    </row>
    <row r="5" spans="1:14">
      <c r="A5" t="str">
        <f t="shared" si="0"/>
        <v>alp_ecom</v>
      </c>
      <c r="B5" t="str">
        <f t="shared" si="1"/>
        <v>Oath BR</v>
      </c>
      <c r="C5" t="str">
        <f t="shared" si="2"/>
        <v>alp_ecom_conversao_ecom_oath_native_native-ads_ros_dia-das-maes_all_cpc_no-size_111148</v>
      </c>
      <c r="D5" t="str">
        <f t="shared" si="3"/>
        <v>245433304</v>
      </c>
      <c r="E5" t="str">
        <f>IF(Table1[[#This Row],[Impressions]]&gt;Table1[[#This Row],[Clicks]],"Standard",VLOOKUP(CONCATENATE(bd_adtype,"_",bd_creativetype),tabela,2,FALSE))</f>
        <v>Standard</v>
      </c>
      <c r="F5" t="str">
        <f t="shared" si="4"/>
        <v>alp_ecom_conversao_ecom_oath_native_native-ads_ros_dia-das-maes_all_cpc_no-size_111148</v>
      </c>
      <c r="G5" t="str">
        <f t="shared" si="5"/>
        <v>442019208</v>
      </c>
      <c r="H5" t="str">
        <f t="shared" si="6"/>
        <v>Tracking</v>
      </c>
      <c r="I5">
        <f t="shared" si="7"/>
        <v>3</v>
      </c>
      <c r="J5">
        <f t="shared" si="8"/>
        <v>0</v>
      </c>
      <c r="K5" s="4">
        <f t="shared" si="9"/>
        <v>3.8199999999999998E-2</v>
      </c>
      <c r="L5">
        <f t="shared" si="10"/>
        <v>0.09</v>
      </c>
      <c r="M5" s="4">
        <f t="shared" si="11"/>
        <v>1.1459999999999999E-4</v>
      </c>
      <c r="N5" s="4">
        <f t="shared" si="12"/>
        <v>2.7E-4</v>
      </c>
    </row>
    <row r="6" spans="1:14">
      <c r="A6" t="str">
        <f t="shared" si="0"/>
        <v>alp_ecom</v>
      </c>
      <c r="B6" t="str">
        <f t="shared" si="1"/>
        <v>Steal The Look</v>
      </c>
      <c r="C6" t="str">
        <f t="shared" si="2"/>
        <v>alp_ecom_conversao_ecom_steal-the-look_conteudo-veiculo_publieditorial_home_dia-das-maes_all_fixo_no-size_111179</v>
      </c>
      <c r="D6" t="str">
        <f t="shared" si="3"/>
        <v>246161914</v>
      </c>
      <c r="E6" t="str">
        <f>IF(Table1[[#This Row],[Impressions]]&gt;Table1[[#This Row],[Clicks]],"Standard",VLOOKUP(CONCATENATE(bd_adtype,"_",bd_creativetype),tabela,2,FALSE))</f>
        <v>Standard</v>
      </c>
      <c r="F6" t="str">
        <f t="shared" si="4"/>
        <v>alp_ecom_conversao_ecom_steal-the-look_conteudo-veiculo_publieditorial_home_dia-das-maes_all_fixo_no-size_111179</v>
      </c>
      <c r="G6" t="str">
        <f t="shared" si="5"/>
        <v>442638264</v>
      </c>
      <c r="H6" t="str">
        <f t="shared" si="6"/>
        <v>Tracking</v>
      </c>
      <c r="I6">
        <f t="shared" si="7"/>
        <v>8</v>
      </c>
      <c r="J6">
        <f t="shared" si="8"/>
        <v>0</v>
      </c>
      <c r="K6" s="4">
        <f t="shared" si="9"/>
        <v>3.8199999999999998E-2</v>
      </c>
      <c r="L6">
        <f t="shared" si="10"/>
        <v>0.09</v>
      </c>
      <c r="M6" s="4">
        <f t="shared" si="11"/>
        <v>3.056E-4</v>
      </c>
      <c r="N6" s="4">
        <f t="shared" si="12"/>
        <v>7.1999999999999994E-4</v>
      </c>
    </row>
    <row r="7" spans="1:14">
      <c r="A7" t="str">
        <f t="shared" si="0"/>
        <v>alp_ecom</v>
      </c>
      <c r="B7" t="str">
        <f t="shared" si="1"/>
        <v>Steal The Look</v>
      </c>
      <c r="C7" t="str">
        <f t="shared" si="2"/>
        <v>alp_ecom_conversao_ecom_steal-the-look_conteudo-veiculo_publieditorial_home_dia-das-maes_all_fixo_no-size_111180</v>
      </c>
      <c r="D7" t="str">
        <f t="shared" si="3"/>
        <v>246161911</v>
      </c>
      <c r="E7" t="str">
        <f>IF(Table1[[#This Row],[Impressions]]&gt;Table1[[#This Row],[Clicks]],"Standard",VLOOKUP(CONCATENATE(bd_adtype,"_",bd_creativetype),tabela,2,FALSE))</f>
        <v>Standard</v>
      </c>
      <c r="F7" t="str">
        <f t="shared" si="4"/>
        <v>alp_ecom_conversao_ecom_steal-the-look_conteudo-veiculo_publieditorial_home_dia-das-maes_all_fixo_no-size_111180</v>
      </c>
      <c r="G7" t="str">
        <f t="shared" si="5"/>
        <v>442727507</v>
      </c>
      <c r="H7" t="str">
        <f t="shared" si="6"/>
        <v>Tracking</v>
      </c>
      <c r="I7">
        <f t="shared" si="7"/>
        <v>8</v>
      </c>
      <c r="J7">
        <f t="shared" si="8"/>
        <v>0</v>
      </c>
      <c r="K7" s="4">
        <f t="shared" si="9"/>
        <v>3.8199999999999998E-2</v>
      </c>
      <c r="L7">
        <f t="shared" si="10"/>
        <v>0.09</v>
      </c>
      <c r="M7" s="4">
        <f t="shared" si="11"/>
        <v>3.056E-4</v>
      </c>
      <c r="N7" s="4">
        <f t="shared" si="12"/>
        <v>7.1999999999999994E-4</v>
      </c>
    </row>
    <row r="8" spans="1:14">
      <c r="A8" t="str">
        <f t="shared" si="0"/>
        <v>alp_ecom</v>
      </c>
      <c r="B8" t="str">
        <f t="shared" si="1"/>
        <v>Steal The Look</v>
      </c>
      <c r="C8" t="str">
        <f t="shared" si="2"/>
        <v>alp_ecom_conversao_ecom_steal-the-look_conteudo-veiculo_publieditorial_home_dia-das-maes_all_fixo_no-size_111182</v>
      </c>
      <c r="D8" t="str">
        <f t="shared" si="3"/>
        <v>246161905</v>
      </c>
      <c r="E8" t="str">
        <f>IF(Table1[[#This Row],[Impressions]]&gt;Table1[[#This Row],[Clicks]],"Standard",VLOOKUP(CONCATENATE(bd_adtype,"_",bd_creativetype),tabela,2,FALSE))</f>
        <v>Standard</v>
      </c>
      <c r="F8" t="str">
        <f t="shared" si="4"/>
        <v>alp_ecom_conversao_ecom_steal-the-look_conteudo-veiculo_publieditorial_home_dia-das-maes_all_fixo_no-size_111182</v>
      </c>
      <c r="G8" t="str">
        <f t="shared" si="5"/>
        <v>442637265</v>
      </c>
      <c r="H8" t="str">
        <f t="shared" si="6"/>
        <v>Tracking</v>
      </c>
      <c r="I8">
        <f t="shared" si="7"/>
        <v>8</v>
      </c>
      <c r="J8">
        <f t="shared" si="8"/>
        <v>0</v>
      </c>
      <c r="K8" s="4">
        <f t="shared" si="9"/>
        <v>3.8199999999999998E-2</v>
      </c>
      <c r="L8">
        <f t="shared" si="10"/>
        <v>0.09</v>
      </c>
      <c r="M8" s="4">
        <f t="shared" si="11"/>
        <v>3.056E-4</v>
      </c>
      <c r="N8" s="4">
        <f t="shared" si="12"/>
        <v>7.1999999999999994E-4</v>
      </c>
    </row>
    <row r="9" spans="1:14">
      <c r="A9" t="str">
        <f t="shared" si="0"/>
        <v>alp_ecom</v>
      </c>
      <c r="B9" t="str">
        <f t="shared" si="1"/>
        <v>Steal The Look</v>
      </c>
      <c r="C9" t="str">
        <f t="shared" si="2"/>
        <v>alp_ecom_conversao_ecom_steal-the-look_conteudo-veiculo_publieditorial_home_dia-das-maes_all_fixo_no-size_111183</v>
      </c>
      <c r="D9" t="str">
        <f t="shared" si="3"/>
        <v>246161902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alp_ecom_conversao_ecom_steal-the-look_conteudo-veiculo_publieditorial_home_dia-das-maes_all_fixo_no-size_111183</v>
      </c>
      <c r="G9" t="str">
        <f t="shared" si="5"/>
        <v>442637262</v>
      </c>
      <c r="H9" t="str">
        <f t="shared" si="6"/>
        <v>Tracking</v>
      </c>
      <c r="I9">
        <f t="shared" si="7"/>
        <v>8</v>
      </c>
      <c r="J9">
        <f t="shared" si="8"/>
        <v>0</v>
      </c>
      <c r="K9" s="4">
        <f t="shared" si="9"/>
        <v>3.8199999999999998E-2</v>
      </c>
      <c r="L9">
        <f t="shared" si="10"/>
        <v>0.09</v>
      </c>
      <c r="M9" s="4">
        <f t="shared" si="11"/>
        <v>3.056E-4</v>
      </c>
      <c r="N9" s="4">
        <f t="shared" si="12"/>
        <v>7.1999999999999994E-4</v>
      </c>
    </row>
    <row r="10" spans="1:14">
      <c r="A10" t="str">
        <f t="shared" si="0"/>
        <v>alp_ecom</v>
      </c>
      <c r="B10" t="str">
        <f t="shared" si="1"/>
        <v>Steal The Look</v>
      </c>
      <c r="C10" t="str">
        <f t="shared" si="2"/>
        <v>alp_ecom_conversao_ecom_steal-the-look_conteudo-veiculo_publieditorial_home_dia-das-maes_all_fixo_no-size_111184</v>
      </c>
      <c r="D10" t="str">
        <f t="shared" si="3"/>
        <v>246161899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alp_ecom_conversao_ecom_steal-the-look_conteudo-veiculo_publieditorial_home_dia-das-maes_all_fixo_no-size_111184</v>
      </c>
      <c r="G10" t="str">
        <f t="shared" si="5"/>
        <v>442749079</v>
      </c>
      <c r="H10" t="str">
        <f t="shared" si="6"/>
        <v>Tracking</v>
      </c>
      <c r="I10">
        <f t="shared" si="7"/>
        <v>8</v>
      </c>
      <c r="J10">
        <f t="shared" si="8"/>
        <v>1</v>
      </c>
      <c r="K10" s="4">
        <f t="shared" si="9"/>
        <v>3.8199999999999998E-2</v>
      </c>
      <c r="L10">
        <f t="shared" si="10"/>
        <v>0.09</v>
      </c>
      <c r="M10" s="4">
        <f t="shared" si="11"/>
        <v>3.056E-4</v>
      </c>
      <c r="N10" s="4">
        <f t="shared" si="12"/>
        <v>7.1999999999999994E-4</v>
      </c>
    </row>
    <row r="11" spans="1:14">
      <c r="A11" t="str">
        <f t="shared" si="0"/>
        <v>alp_ecom</v>
      </c>
      <c r="B11" t="str">
        <f t="shared" si="1"/>
        <v>Steal The Look</v>
      </c>
      <c r="C11" t="str">
        <f t="shared" si="2"/>
        <v>alp_ecom_conversao_ecom_steal-the-look_conteudo-veiculo_publieditorial_home_dia-das-maes_all_fixo_no-size_111185</v>
      </c>
      <c r="D11" t="str">
        <f t="shared" si="3"/>
        <v>246161896</v>
      </c>
      <c r="E11" t="str">
        <f>IF(Table1[[#This Row],[Impressions]]&gt;Table1[[#This Row],[Clicks]],"Standard",VLOOKUP(CONCATENATE(bd_adtype,"_",bd_creativetype),tabela,2,FALSE))</f>
        <v>Standard</v>
      </c>
      <c r="F11" t="str">
        <f t="shared" si="4"/>
        <v>alp_ecom_conversao_ecom_steal-the-look_conteudo-veiculo_publieditorial_home_dia-das-maes_all_fixo_no-size_111185</v>
      </c>
      <c r="G11" t="str">
        <f t="shared" si="5"/>
        <v>442637259</v>
      </c>
      <c r="H11" t="str">
        <f t="shared" si="6"/>
        <v>Tracking</v>
      </c>
      <c r="I11">
        <f t="shared" si="7"/>
        <v>8</v>
      </c>
      <c r="J11">
        <f t="shared" si="8"/>
        <v>0</v>
      </c>
      <c r="K11" s="4">
        <f t="shared" si="9"/>
        <v>3.8199999999999998E-2</v>
      </c>
      <c r="L11">
        <f t="shared" si="10"/>
        <v>0.09</v>
      </c>
      <c r="M11" s="4">
        <f t="shared" si="11"/>
        <v>3.056E-4</v>
      </c>
      <c r="N11" s="4">
        <f>IF(E11="Dynamic Click",J11*L11,L11*$I11/1000)</f>
        <v>7.1999999999999994E-4</v>
      </c>
    </row>
    <row r="12" spans="1:14">
      <c r="A12" t="str">
        <f t="shared" si="0"/>
        <v>alp_ecom</v>
      </c>
      <c r="B12" t="str">
        <f t="shared" si="1"/>
        <v>Steal The Look</v>
      </c>
      <c r="C12" t="str">
        <f t="shared" si="2"/>
        <v>alp_ecom_conversao_ecom_steal-the-look_conteudo-veiculo_publieditorial_home_dia-das-maes_all_fixo_no-size_111186</v>
      </c>
      <c r="D12" t="str">
        <f t="shared" si="3"/>
        <v>246161893</v>
      </c>
      <c r="E12" t="str">
        <f>IF(Table1[[#This Row],[Impressions]]&gt;Table1[[#This Row],[Clicks]],"Standard",VLOOKUP(CONCATENATE(bd_adtype,"_",bd_creativetype),tabela,2,FALSE))</f>
        <v>Standard</v>
      </c>
      <c r="F12" t="str">
        <f t="shared" si="4"/>
        <v>alp_ecom_conversao_ecom_steal-the-look_conteudo-veiculo_publieditorial_home_dia-das-maes_all_fixo_no-size_111186</v>
      </c>
      <c r="G12" t="str">
        <f t="shared" si="5"/>
        <v>442638279</v>
      </c>
      <c r="H12" t="str">
        <f t="shared" si="6"/>
        <v>Tracking</v>
      </c>
      <c r="I12">
        <f t="shared" si="7"/>
        <v>8</v>
      </c>
      <c r="J12">
        <f t="shared" si="8"/>
        <v>0</v>
      </c>
      <c r="K12" s="4">
        <f t="shared" si="9"/>
        <v>3.8199999999999998E-2</v>
      </c>
      <c r="L12">
        <f t="shared" si="10"/>
        <v>0.09</v>
      </c>
      <c r="M12" s="4">
        <f t="shared" si="11"/>
        <v>3.056E-4</v>
      </c>
      <c r="N12" s="4">
        <f t="shared" si="12"/>
        <v>7.1999999999999994E-4</v>
      </c>
    </row>
    <row r="13" spans="1:14">
      <c r="A13" t="str">
        <f t="shared" si="0"/>
        <v>alp_ecom</v>
      </c>
      <c r="B13" t="str">
        <f t="shared" si="1"/>
        <v>Steal The Look</v>
      </c>
      <c r="C13" t="str">
        <f t="shared" si="2"/>
        <v>alp_ecom_conversao_ecom_steal-the-look_conteudo-veiculo_publieditorial_home_dia-das-maes_all_fixo_no-size_111187</v>
      </c>
      <c r="D13" t="str">
        <f t="shared" si="3"/>
        <v>246161890</v>
      </c>
      <c r="E13" t="str">
        <f>IF(Table1[[#This Row],[Impressions]]&gt;Table1[[#This Row],[Clicks]],"Standard",VLOOKUP(CONCATENATE(bd_adtype,"_",bd_creativetype),tabela,2,FALSE))</f>
        <v>Standard</v>
      </c>
      <c r="F13" t="str">
        <f t="shared" si="4"/>
        <v>alp_ecom_conversao_ecom_steal-the-look_conteudo-veiculo_publieditorial_home_dia-das-maes_all_fixo_no-size_111187</v>
      </c>
      <c r="G13" t="str">
        <f t="shared" si="5"/>
        <v>442638282</v>
      </c>
      <c r="H13" t="str">
        <f t="shared" si="6"/>
        <v>Tracking</v>
      </c>
      <c r="I13">
        <f t="shared" si="7"/>
        <v>8</v>
      </c>
      <c r="J13">
        <f t="shared" si="8"/>
        <v>0</v>
      </c>
      <c r="K13" s="4">
        <f t="shared" si="9"/>
        <v>3.8199999999999998E-2</v>
      </c>
      <c r="L13">
        <f t="shared" si="10"/>
        <v>0.09</v>
      </c>
      <c r="M13" s="4">
        <f t="shared" si="11"/>
        <v>3.056E-4</v>
      </c>
      <c r="N13" s="4">
        <f t="shared" si="12"/>
        <v>7.1999999999999994E-4</v>
      </c>
    </row>
    <row r="14" spans="1:14">
      <c r="A14" t="str">
        <f t="shared" si="0"/>
        <v>alp_ecom</v>
      </c>
      <c r="B14" t="str">
        <f t="shared" si="1"/>
        <v>Steal The Look</v>
      </c>
      <c r="C14" t="str">
        <f t="shared" si="2"/>
        <v>alp_ecom_conversao_ecom_steal-the-look_conteudo-veiculo_publieditorial_home_dia-das-maes_all_fixo_no-size_111188</v>
      </c>
      <c r="D14" t="str">
        <f t="shared" si="3"/>
        <v>246161887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alp_ecom_conversao_ecom_steal-the-look_conteudo-veiculo_publieditorial_home_dia-das-maes_all_fixo_no-size_111188</v>
      </c>
      <c r="G14" t="str">
        <f t="shared" si="5"/>
        <v>442728605</v>
      </c>
      <c r="H14" t="str">
        <f t="shared" si="6"/>
        <v>Tracking</v>
      </c>
      <c r="I14">
        <f t="shared" si="7"/>
        <v>8</v>
      </c>
      <c r="J14">
        <f t="shared" si="8"/>
        <v>0</v>
      </c>
      <c r="K14" s="4">
        <f t="shared" si="9"/>
        <v>3.8199999999999998E-2</v>
      </c>
      <c r="L14">
        <f t="shared" si="10"/>
        <v>0.09</v>
      </c>
      <c r="M14" s="4">
        <f t="shared" si="11"/>
        <v>3.056E-4</v>
      </c>
      <c r="N14" s="4">
        <f t="shared" si="12"/>
        <v>7.1999999999999994E-4</v>
      </c>
    </row>
    <row r="15" spans="1:14">
      <c r="A15" t="str">
        <f t="shared" si="0"/>
        <v>alp_ecom</v>
      </c>
      <c r="B15" t="str">
        <f t="shared" si="1"/>
        <v>Steal The Look</v>
      </c>
      <c r="C15" t="str">
        <f t="shared" si="2"/>
        <v>alp_ecom_conversao_ecom_steal-the-look_conteudo-veiculo_publieditorial_home_dia-das-maes_all_fixo_no-size_111189</v>
      </c>
      <c r="D15" t="str">
        <f t="shared" si="3"/>
        <v>246161884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alp_ecom_conversao_ecom_steal-the-look_conteudo-veiculo_publieditorial_home_dia-das-maes_all_fixo_no-size_111189</v>
      </c>
      <c r="G15" t="str">
        <f t="shared" si="5"/>
        <v>442727276</v>
      </c>
      <c r="H15" t="str">
        <f t="shared" si="6"/>
        <v>Tracking</v>
      </c>
      <c r="I15">
        <f t="shared" si="7"/>
        <v>8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3.056E-4</v>
      </c>
      <c r="N15" s="4">
        <f t="shared" si="12"/>
        <v>7.1999999999999994E-4</v>
      </c>
    </row>
    <row r="16" spans="1:14">
      <c r="A16" t="str">
        <f t="shared" si="0"/>
        <v>alp_ecom</v>
      </c>
      <c r="B16" t="str">
        <f t="shared" si="1"/>
        <v>Steal The Look</v>
      </c>
      <c r="C16" t="str">
        <f t="shared" si="2"/>
        <v>alp_ecom_conversao_ecom_steal-the-look_conteudo-veiculo_publieditorial_home_dia-das-maes_all_fixo_no-size_111190</v>
      </c>
      <c r="D16" t="str">
        <f t="shared" si="3"/>
        <v>246161881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alp_ecom_conversao_ecom_steal-the-look_conteudo-veiculo_publieditorial_home_dia-das-maes_all_fixo_no-size_111190</v>
      </c>
      <c r="G16" t="str">
        <f t="shared" si="5"/>
        <v>442637256</v>
      </c>
      <c r="H16" t="str">
        <f t="shared" si="6"/>
        <v>Tracking</v>
      </c>
      <c r="I16">
        <f t="shared" si="7"/>
        <v>8</v>
      </c>
      <c r="J16">
        <f t="shared" si="8"/>
        <v>0</v>
      </c>
      <c r="K16" s="4">
        <f t="shared" si="9"/>
        <v>3.8199999999999998E-2</v>
      </c>
      <c r="L16">
        <f t="shared" si="10"/>
        <v>0.09</v>
      </c>
      <c r="M16" s="4">
        <f t="shared" si="11"/>
        <v>3.056E-4</v>
      </c>
      <c r="N16" s="4">
        <f t="shared" si="12"/>
        <v>7.1999999999999994E-4</v>
      </c>
    </row>
    <row r="17" spans="1:14">
      <c r="A17" t="str">
        <f t="shared" si="0"/>
        <v>alp_ecom</v>
      </c>
      <c r="B17" t="str">
        <f t="shared" si="1"/>
        <v>Steal The Look</v>
      </c>
      <c r="C17" t="str">
        <f t="shared" si="2"/>
        <v>alp_ecom_conversao_ecom_steal-the-look_conteudo-veiculo_publieditorial_home_dia-das-maes_all_fixo_no-size_111191</v>
      </c>
      <c r="D17" t="str">
        <f t="shared" si="3"/>
        <v>246161878</v>
      </c>
      <c r="E17" t="str">
        <f>IF(Table1[[#This Row],[Impressions]]&gt;Table1[[#This Row],[Clicks]],"Standard",VLOOKUP(CONCATENATE(bd_adtype,"_",bd_creativetype),tabela,2,FALSE))</f>
        <v>Standard</v>
      </c>
      <c r="F17" t="str">
        <f t="shared" si="4"/>
        <v>alp_ecom_conversao_ecom_steal-the-look_conteudo-veiculo_publieditorial_home_dia-das-maes_all_fixo_no-size_111191</v>
      </c>
      <c r="G17" t="str">
        <f t="shared" si="5"/>
        <v>442637253</v>
      </c>
      <c r="H17" t="str">
        <f t="shared" si="6"/>
        <v>Tracking</v>
      </c>
      <c r="I17">
        <f t="shared" si="7"/>
        <v>8</v>
      </c>
      <c r="J17">
        <f t="shared" si="8"/>
        <v>0</v>
      </c>
      <c r="K17" s="4">
        <f t="shared" si="9"/>
        <v>3.8199999999999998E-2</v>
      </c>
      <c r="L17">
        <f t="shared" si="10"/>
        <v>0.09</v>
      </c>
      <c r="M17" s="4">
        <f t="shared" si="11"/>
        <v>3.056E-4</v>
      </c>
      <c r="N17" s="4">
        <f t="shared" si="12"/>
        <v>7.1999999999999994E-4</v>
      </c>
    </row>
    <row r="18" spans="1:14">
      <c r="A18" t="str">
        <f t="shared" si="0"/>
        <v>alp_ecom</v>
      </c>
      <c r="B18" t="str">
        <f t="shared" si="1"/>
        <v>Steal The Look</v>
      </c>
      <c r="C18" t="str">
        <f t="shared" si="2"/>
        <v>alp_ecom_conversao_ecom_steal-the-look_conteudo-veiculo_publieditorial_home_dia-das-maes_all_fixo_no-size_111192</v>
      </c>
      <c r="D18" t="str">
        <f t="shared" si="3"/>
        <v>246161875</v>
      </c>
      <c r="E18" t="str">
        <f>IF(Table1[[#This Row],[Impressions]]&gt;Table1[[#This Row],[Clicks]],"Standard",VLOOKUP(CONCATENATE(bd_adtype,"_",bd_creativetype),tabela,2,FALSE))</f>
        <v>Standard</v>
      </c>
      <c r="F18" t="str">
        <f t="shared" si="4"/>
        <v>alp_ecom_conversao_ecom_steal-the-look_conteudo-veiculo_publieditorial_home_dia-das-maes_all_fixo_no-size_111192</v>
      </c>
      <c r="G18" t="str">
        <f t="shared" si="5"/>
        <v>442728956</v>
      </c>
      <c r="H18" t="str">
        <f t="shared" si="6"/>
        <v>Tracking</v>
      </c>
      <c r="I18">
        <f t="shared" si="7"/>
        <v>8</v>
      </c>
      <c r="J18">
        <f t="shared" si="8"/>
        <v>0</v>
      </c>
      <c r="K18" s="4">
        <f t="shared" si="9"/>
        <v>3.8199999999999998E-2</v>
      </c>
      <c r="L18">
        <f t="shared" si="10"/>
        <v>0.09</v>
      </c>
      <c r="M18" s="4">
        <f t="shared" si="11"/>
        <v>3.056E-4</v>
      </c>
      <c r="N18" s="4">
        <f t="shared" si="12"/>
        <v>7.1999999999999994E-4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alp_ecom_conversao_ecom_facebook_social_carrossel_social_harry-potter_curte-havaianas_cpm_1080x1080_111127</v>
      </c>
      <c r="D19" t="str">
        <f t="shared" si="3"/>
        <v>243108700</v>
      </c>
      <c r="E19" t="str">
        <f>IF(Table1[[#This Row],[Impressions]]&gt;Table1[[#This Row],[Clicks]],"Standard",VLOOKUP(CONCATENATE(bd_adtype,"_",bd_creativetype),tabela,2,FALSE))</f>
        <v>Dynamic Click</v>
      </c>
      <c r="F19" t="str">
        <f t="shared" si="4"/>
        <v>alp_ecom_conversao_ecom_facebook_social_carrossel_social_harry-potter_curte-havaianas_cpm_1080x1080_111127</v>
      </c>
      <c r="G19" t="str">
        <f t="shared" si="5"/>
        <v>439773523</v>
      </c>
      <c r="H19" t="str">
        <f t="shared" si="6"/>
        <v>Tracking</v>
      </c>
      <c r="I19">
        <f t="shared" si="7"/>
        <v>0</v>
      </c>
      <c r="J19">
        <f t="shared" si="8"/>
        <v>29</v>
      </c>
      <c r="K19" s="4">
        <f t="shared" si="9"/>
        <v>3.5000000000000001E-3</v>
      </c>
      <c r="L19">
        <f t="shared" si="10"/>
        <v>0.02</v>
      </c>
      <c r="M19" s="4">
        <f t="shared" si="11"/>
        <v>0.10150000000000001</v>
      </c>
      <c r="N19" s="4">
        <f t="shared" si="12"/>
        <v>0.57999999999999996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alp_ecom_conversao_ecom_facebook_social_carrossel_social_harry-potter_curte-havaianas_cpm_1080x1080_111128</v>
      </c>
      <c r="D20" t="str">
        <f t="shared" si="3"/>
        <v>243108679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alp_ecom_conversao_ecom_facebook_social_carrossel_social_harry-potter_curte-havaianas_cpm_1080x1080_111128</v>
      </c>
      <c r="G20" t="str">
        <f t="shared" si="5"/>
        <v>439773502</v>
      </c>
      <c r="H20" t="str">
        <f t="shared" si="6"/>
        <v>Tracking</v>
      </c>
      <c r="I20">
        <f t="shared" si="7"/>
        <v>0</v>
      </c>
      <c r="J20">
        <f t="shared" si="8"/>
        <v>7</v>
      </c>
      <c r="K20" s="4">
        <f t="shared" si="9"/>
        <v>3.5000000000000001E-3</v>
      </c>
      <c r="L20">
        <f t="shared" si="10"/>
        <v>0.02</v>
      </c>
      <c r="M20" s="4">
        <f t="shared" si="11"/>
        <v>2.4500000000000001E-2</v>
      </c>
      <c r="N20" s="4">
        <f t="shared" si="12"/>
        <v>0.14000000000000001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alp_ecom_conversao_ecom_facebook_social_carrossel_social_harry-potter_curte-havaianas_cpm_1080x1080_111129</v>
      </c>
      <c r="D21" t="str">
        <f t="shared" si="3"/>
        <v>243159253</v>
      </c>
      <c r="E21" t="str">
        <f>IF(Table1[[#This Row],[Impressions]]&gt;Table1[[#This Row],[Clicks]],"Standard",VLOOKUP(CONCATENATE(bd_adtype,"_",bd_creativetype),tabela,2,FALSE))</f>
        <v>Dynamic Click</v>
      </c>
      <c r="F21" t="str">
        <f t="shared" si="4"/>
        <v>alp_ecom_conversao_ecom_facebook_social_carrossel_social_harry-potter_curte-havaianas_cpm_1080x1080_111129</v>
      </c>
      <c r="G21" t="str">
        <f t="shared" si="5"/>
        <v>439736298</v>
      </c>
      <c r="H21" t="str">
        <f t="shared" si="6"/>
        <v>Tracking</v>
      </c>
      <c r="I21">
        <f t="shared" si="7"/>
        <v>0</v>
      </c>
      <c r="J21">
        <f t="shared" si="8"/>
        <v>1</v>
      </c>
      <c r="K21" s="4">
        <f t="shared" si="9"/>
        <v>3.5000000000000001E-3</v>
      </c>
      <c r="L21">
        <f t="shared" si="10"/>
        <v>0.02</v>
      </c>
      <c r="M21" s="4">
        <f t="shared" si="11"/>
        <v>3.5000000000000001E-3</v>
      </c>
      <c r="N21" s="4">
        <f t="shared" si="12"/>
        <v>0.02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alp_ecom_conversao_ecom_facebook_social_carrossel_social_harry-potter_curte-havaianas_cpm_1080x1080_111130</v>
      </c>
      <c r="D22" t="str">
        <f t="shared" si="3"/>
        <v>243012344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alp_ecom_conversao_ecom_facebook_social_carrossel_social_harry-potter_curte-havaianas_cpm_1080x1080_111130</v>
      </c>
      <c r="G22" t="str">
        <f t="shared" si="5"/>
        <v>439736262</v>
      </c>
      <c r="H22" t="str">
        <f t="shared" si="6"/>
        <v>Tracking</v>
      </c>
      <c r="I22">
        <f t="shared" si="7"/>
        <v>0</v>
      </c>
      <c r="J22">
        <f t="shared" si="8"/>
        <v>4</v>
      </c>
      <c r="K22" s="4">
        <f t="shared" si="9"/>
        <v>3.5000000000000001E-3</v>
      </c>
      <c r="L22">
        <f t="shared" si="10"/>
        <v>0.02</v>
      </c>
      <c r="M22" s="4">
        <f t="shared" si="11"/>
        <v>1.4E-2</v>
      </c>
      <c r="N22" s="4">
        <f t="shared" si="12"/>
        <v>0.08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alp_ecom_conversao_ecom_facebook_social_carrossel_social_harry-potter_curte-havaianas_cpm_1080x1080_111131</v>
      </c>
      <c r="D23" t="str">
        <f t="shared" si="3"/>
        <v>243012323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alp_ecom_conversao_ecom_facebook_social_carrossel_social_harry-potter_curte-havaianas_cpm_1080x1080_111131</v>
      </c>
      <c r="G23" t="str">
        <f t="shared" si="5"/>
        <v>439736241</v>
      </c>
      <c r="H23" t="str">
        <f t="shared" si="6"/>
        <v>Tracking</v>
      </c>
      <c r="I23">
        <f t="shared" si="7"/>
        <v>0</v>
      </c>
      <c r="J23">
        <f t="shared" si="8"/>
        <v>5</v>
      </c>
      <c r="K23" s="4">
        <f t="shared" si="9"/>
        <v>3.5000000000000001E-3</v>
      </c>
      <c r="L23">
        <f t="shared" si="10"/>
        <v>0.02</v>
      </c>
      <c r="M23" s="4">
        <f t="shared" si="11"/>
        <v>1.7500000000000002E-2</v>
      </c>
      <c r="N23" s="4">
        <f t="shared" si="12"/>
        <v>0.1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alp_ecom_conversao_ecom_facebook_social_carrossel_social_harry-potter_look-1-desk_cpm_1080x1080_111127</v>
      </c>
      <c r="D24" t="str">
        <f t="shared" si="3"/>
        <v>243108697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alp_ecom_conversao_ecom_facebook_social_carrossel_social_harry-potter_look-1-desk_cpm_1080x1080_111127</v>
      </c>
      <c r="G24" t="str">
        <f t="shared" si="5"/>
        <v>439773520</v>
      </c>
      <c r="H24" t="str">
        <f t="shared" si="6"/>
        <v>Tracking</v>
      </c>
      <c r="I24">
        <f t="shared" si="7"/>
        <v>0</v>
      </c>
      <c r="J24">
        <f t="shared" si="8"/>
        <v>1</v>
      </c>
      <c r="K24" s="4">
        <f t="shared" si="9"/>
        <v>3.5000000000000001E-3</v>
      </c>
      <c r="L24">
        <f t="shared" si="10"/>
        <v>0.02</v>
      </c>
      <c r="M24" s="4">
        <f t="shared" si="11"/>
        <v>3.5000000000000001E-3</v>
      </c>
      <c r="N24" s="4">
        <f t="shared" si="12"/>
        <v>0.02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alp_ecom_conversao_ecom_facebook_social_carrossel_social_harry-potter_look-1-desk_cpm_1080x1080_111128</v>
      </c>
      <c r="D25" t="str">
        <f t="shared" si="3"/>
        <v>243108676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alp_ecom_conversao_ecom_facebook_social_carrossel_social_harry-potter_look-1-desk_cpm_1080x1080_111128</v>
      </c>
      <c r="G25" t="str">
        <f t="shared" si="5"/>
        <v>439773499</v>
      </c>
      <c r="H25" t="str">
        <f t="shared" si="6"/>
        <v>Tracking</v>
      </c>
      <c r="I25">
        <f t="shared" si="7"/>
        <v>0</v>
      </c>
      <c r="J25">
        <f t="shared" si="8"/>
        <v>2</v>
      </c>
      <c r="K25" s="4">
        <f t="shared" si="9"/>
        <v>3.5000000000000001E-3</v>
      </c>
      <c r="L25">
        <f t="shared" si="10"/>
        <v>0.02</v>
      </c>
      <c r="M25" s="4">
        <f t="shared" si="11"/>
        <v>7.0000000000000001E-3</v>
      </c>
      <c r="N25" s="4">
        <f t="shared" si="12"/>
        <v>0.04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alp_ecom_conversao_ecom_facebook_social_carrossel_social_harry-potter_look-1-desk_cpm_1080x1080_111129</v>
      </c>
      <c r="D26" t="str">
        <f t="shared" si="3"/>
        <v>243159247</v>
      </c>
      <c r="E26" t="str">
        <f>IF(Table1[[#This Row],[Impressions]]&gt;Table1[[#This Row],[Clicks]],"Standard",VLOOKUP(CONCATENATE(bd_adtype,"_",bd_creativetype),tabela,2,FALSE))</f>
        <v>Dynamic Click</v>
      </c>
      <c r="F26" t="str">
        <f t="shared" si="4"/>
        <v>alp_ecom_conversao_ecom_facebook_social_carrossel_social_harry-potter_look-1-desk_cpm_1080x1080_111129</v>
      </c>
      <c r="G26" t="str">
        <f t="shared" si="5"/>
        <v>439736292</v>
      </c>
      <c r="H26" t="str">
        <f t="shared" si="6"/>
        <v>Tracking</v>
      </c>
      <c r="I26">
        <f t="shared" si="7"/>
        <v>0</v>
      </c>
      <c r="J26">
        <f t="shared" si="8"/>
        <v>1</v>
      </c>
      <c r="K26" s="4">
        <f t="shared" si="9"/>
        <v>3.5000000000000001E-3</v>
      </c>
      <c r="L26">
        <f t="shared" si="10"/>
        <v>0.02</v>
      </c>
      <c r="M26" s="4">
        <f t="shared" si="11"/>
        <v>3.5000000000000001E-3</v>
      </c>
      <c r="N26" s="4">
        <f t="shared" si="12"/>
        <v>0.02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alp_ecom_conversao_ecom_facebook_social_carrossel_social_harry-potter_look-1-desk_cpm_1080x1080_111130</v>
      </c>
      <c r="D27" t="str">
        <f t="shared" si="3"/>
        <v>243012341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alp_ecom_conversao_ecom_facebook_social_carrossel_social_harry-potter_look-1-desk_cpm_1080x1080_111130</v>
      </c>
      <c r="G27" t="str">
        <f t="shared" si="5"/>
        <v>439736259</v>
      </c>
      <c r="H27" t="str">
        <f t="shared" si="6"/>
        <v>Tracking</v>
      </c>
      <c r="I27">
        <f t="shared" si="7"/>
        <v>0</v>
      </c>
      <c r="J27">
        <f t="shared" si="8"/>
        <v>1</v>
      </c>
      <c r="K27" s="4">
        <f t="shared" si="9"/>
        <v>3.5000000000000001E-3</v>
      </c>
      <c r="L27">
        <f t="shared" si="10"/>
        <v>0.02</v>
      </c>
      <c r="M27" s="4">
        <f t="shared" si="11"/>
        <v>3.5000000000000001E-3</v>
      </c>
      <c r="N27" s="4">
        <f t="shared" si="12"/>
        <v>0.02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alp_ecom_conversao_ecom_facebook_social_carrossel_social_harry-potter_look-1-desk_cpm_1080x1080_111131</v>
      </c>
      <c r="D28" t="str">
        <f t="shared" si="3"/>
        <v>243012320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alp_ecom_conversao_ecom_facebook_social_carrossel_social_harry-potter_look-1-desk_cpm_1080x1080_111131</v>
      </c>
      <c r="G28" t="str">
        <f t="shared" si="5"/>
        <v>439736238</v>
      </c>
      <c r="H28" t="str">
        <f t="shared" si="6"/>
        <v>Tracking</v>
      </c>
      <c r="I28">
        <f t="shared" si="7"/>
        <v>0</v>
      </c>
      <c r="J28">
        <f t="shared" si="8"/>
        <v>1</v>
      </c>
      <c r="K28" s="4">
        <f t="shared" si="9"/>
        <v>3.5000000000000001E-3</v>
      </c>
      <c r="L28">
        <f t="shared" si="10"/>
        <v>0.02</v>
      </c>
      <c r="M28" s="4">
        <f t="shared" si="11"/>
        <v>3.5000000000000001E-3</v>
      </c>
      <c r="N28" s="4">
        <f t="shared" si="12"/>
        <v>0.02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alp_ecom_conversao_ecom_facebook_social_carrossel_social_harry-potter_look-1-mobile_cpm_1080x1080_111127</v>
      </c>
      <c r="D29" t="str">
        <f t="shared" si="3"/>
        <v>243108694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alp_ecom_conversao_ecom_facebook_social_carrossel_social_harry-potter_look-1-mobile_cpm_1080x1080_111127</v>
      </c>
      <c r="G29" t="str">
        <f t="shared" si="5"/>
        <v>439773517</v>
      </c>
      <c r="H29" t="str">
        <f t="shared" si="6"/>
        <v>Tracking</v>
      </c>
      <c r="I29">
        <f t="shared" si="7"/>
        <v>0</v>
      </c>
      <c r="J29">
        <f t="shared" si="8"/>
        <v>1</v>
      </c>
      <c r="K29" s="4">
        <f t="shared" si="9"/>
        <v>3.5000000000000001E-3</v>
      </c>
      <c r="L29">
        <f t="shared" si="10"/>
        <v>0.02</v>
      </c>
      <c r="M29" s="4">
        <f t="shared" si="11"/>
        <v>3.5000000000000001E-3</v>
      </c>
      <c r="N29" s="4">
        <f t="shared" si="12"/>
        <v>0.02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alp_ecom_conversao_ecom_facebook_social_carrossel_social_harry-potter_look-1-mobile_cpm_1080x1080_111128</v>
      </c>
      <c r="D30" t="str">
        <f t="shared" si="3"/>
        <v>243108673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alp_ecom_conversao_ecom_facebook_social_carrossel_social_harry-potter_look-1-mobile_cpm_1080x1080_111128</v>
      </c>
      <c r="G30" t="str">
        <f t="shared" si="5"/>
        <v>439773496</v>
      </c>
      <c r="H30" t="str">
        <f t="shared" si="6"/>
        <v>Tracking</v>
      </c>
      <c r="I30">
        <f t="shared" si="7"/>
        <v>0</v>
      </c>
      <c r="J30">
        <f t="shared" si="8"/>
        <v>1</v>
      </c>
      <c r="K30" s="4">
        <f t="shared" si="9"/>
        <v>3.5000000000000001E-3</v>
      </c>
      <c r="L30">
        <f t="shared" si="10"/>
        <v>0.02</v>
      </c>
      <c r="M30" s="4">
        <f t="shared" si="11"/>
        <v>3.5000000000000001E-3</v>
      </c>
      <c r="N30" s="4">
        <f t="shared" si="12"/>
        <v>0.02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alp_ecom_conversao_ecom_facebook_social_carrossel_social_harry-potter_look-2-desk_cpm_1080x1080_111127</v>
      </c>
      <c r="D31" t="str">
        <f t="shared" si="3"/>
        <v>243108691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alp_ecom_conversao_ecom_facebook_social_carrossel_social_harry-potter_look-2-desk_cpm_1080x1080_111127</v>
      </c>
      <c r="G31" t="str">
        <f t="shared" si="5"/>
        <v>439773514</v>
      </c>
      <c r="H31" t="str">
        <f t="shared" si="6"/>
        <v>Tracking</v>
      </c>
      <c r="I31">
        <f t="shared" si="7"/>
        <v>0</v>
      </c>
      <c r="J31">
        <f t="shared" si="8"/>
        <v>1</v>
      </c>
      <c r="K31" s="4">
        <f t="shared" si="9"/>
        <v>3.5000000000000001E-3</v>
      </c>
      <c r="L31">
        <f t="shared" si="10"/>
        <v>0.02</v>
      </c>
      <c r="M31" s="4">
        <f t="shared" si="11"/>
        <v>3.5000000000000001E-3</v>
      </c>
      <c r="N31" s="4">
        <f t="shared" si="12"/>
        <v>0.02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alp_ecom_conversao_ecom_facebook_social_carrossel_social_harry-potter_look-2-desk_cpm_1080x1080_111128</v>
      </c>
      <c r="D32" t="str">
        <f t="shared" si="3"/>
        <v>243108670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alp_ecom_conversao_ecom_facebook_social_carrossel_social_harry-potter_look-2-desk_cpm_1080x1080_111128</v>
      </c>
      <c r="G32" t="str">
        <f t="shared" si="5"/>
        <v>439773493</v>
      </c>
      <c r="H32" t="str">
        <f t="shared" si="6"/>
        <v>Tracking</v>
      </c>
      <c r="I32">
        <f t="shared" si="7"/>
        <v>0</v>
      </c>
      <c r="J32">
        <f t="shared" si="8"/>
        <v>1</v>
      </c>
      <c r="K32" s="4">
        <f t="shared" si="9"/>
        <v>3.5000000000000001E-3</v>
      </c>
      <c r="L32">
        <f t="shared" si="10"/>
        <v>0.02</v>
      </c>
      <c r="M32" s="4">
        <f t="shared" si="11"/>
        <v>3.5000000000000001E-3</v>
      </c>
      <c r="N32" s="4">
        <f t="shared" si="12"/>
        <v>0.02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alp_ecom_conversao_ecom_facebook_social_carrossel_social_harry-potter_look-2-mobile_cpm_1080x1080_111127</v>
      </c>
      <c r="D33" t="str">
        <f t="shared" si="3"/>
        <v>243108688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alp_ecom_conversao_ecom_facebook_social_carrossel_social_harry-potter_look-2-mobile_cpm_1080x1080_111127</v>
      </c>
      <c r="G33" t="str">
        <f t="shared" si="5"/>
        <v>439773511</v>
      </c>
      <c r="H33" t="str">
        <f t="shared" si="6"/>
        <v>Tracking</v>
      </c>
      <c r="I33">
        <f t="shared" si="7"/>
        <v>0</v>
      </c>
      <c r="J33">
        <f t="shared" si="8"/>
        <v>2</v>
      </c>
      <c r="K33" s="4">
        <f t="shared" si="9"/>
        <v>3.5000000000000001E-3</v>
      </c>
      <c r="L33">
        <f t="shared" si="10"/>
        <v>0.02</v>
      </c>
      <c r="M33" s="4">
        <f t="shared" si="11"/>
        <v>7.0000000000000001E-3</v>
      </c>
      <c r="N33" s="4">
        <f t="shared" si="12"/>
        <v>0.04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alp_ecom_conversao_ecom_facebook_social_carrossel_social_harry-potter_rmk-30-mobile_cpm_1080x1080_111127</v>
      </c>
      <c r="D34" t="str">
        <f t="shared" si="3"/>
        <v>243108682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alp_ecom_conversao_ecom_facebook_social_carrossel_social_harry-potter_rmk-30-mobile_cpm_1080x1080_111127</v>
      </c>
      <c r="G34" t="str">
        <f t="shared" si="5"/>
        <v>439773505</v>
      </c>
      <c r="H34" t="str">
        <f t="shared" si="6"/>
        <v>Tracking</v>
      </c>
      <c r="I34">
        <f t="shared" si="7"/>
        <v>0</v>
      </c>
      <c r="J34">
        <f t="shared" si="8"/>
        <v>6</v>
      </c>
      <c r="K34" s="4">
        <f t="shared" si="9"/>
        <v>3.5000000000000001E-3</v>
      </c>
      <c r="L34">
        <f t="shared" si="10"/>
        <v>0.02</v>
      </c>
      <c r="M34" s="4">
        <f t="shared" si="11"/>
        <v>2.1000000000000001E-2</v>
      </c>
      <c r="N34" s="4">
        <f t="shared" si="12"/>
        <v>0.12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alp_ecom_conversao_ecom_facebook_social_carrossel_social_harry-potter_rmk-30-mobile_cpm_1080x1080_111128</v>
      </c>
      <c r="D35" t="str">
        <f t="shared" si="3"/>
        <v>243108661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alp_ecom_conversao_ecom_facebook_social_carrossel_social_harry-potter_rmk-30-mobile_cpm_1080x1080_111128</v>
      </c>
      <c r="G35" t="str">
        <f t="shared" si="5"/>
        <v>439773484</v>
      </c>
      <c r="H35" t="str">
        <f t="shared" si="6"/>
        <v>Tracking</v>
      </c>
      <c r="I35">
        <f t="shared" si="7"/>
        <v>0</v>
      </c>
      <c r="J35">
        <f t="shared" si="8"/>
        <v>2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7.0000000000000001E-3</v>
      </c>
      <c r="N35" s="4">
        <f t="shared" ref="N35:N98" si="14">IF(E35="Dynamic Click",J35*L35,L35*$I35/1000)</f>
        <v>0.04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alp_ecom_conversao_ecom_facebook_social_carrossel_social_harry-potter_rmk-30_cpm_1080x1080_111127</v>
      </c>
      <c r="D36" t="str">
        <f t="shared" si="3"/>
        <v>243108685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alp_ecom_conversao_ecom_facebook_social_carrossel_social_harry-potter_rmk-30_cpm_1080x1080_111127</v>
      </c>
      <c r="G36" t="str">
        <f t="shared" si="5"/>
        <v>439773508</v>
      </c>
      <c r="H36" t="str">
        <f t="shared" si="6"/>
        <v>Tracking</v>
      </c>
      <c r="I36">
        <f t="shared" si="7"/>
        <v>0</v>
      </c>
      <c r="J36">
        <f t="shared" si="8"/>
        <v>1</v>
      </c>
      <c r="K36" s="4">
        <f t="shared" si="9"/>
        <v>3.5000000000000001E-3</v>
      </c>
      <c r="L36">
        <f t="shared" si="10"/>
        <v>0.02</v>
      </c>
      <c r="M36" s="4">
        <f t="shared" si="13"/>
        <v>3.5000000000000001E-3</v>
      </c>
      <c r="N36" s="4">
        <f t="shared" si="14"/>
        <v>0.02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alp_ecom_conversao_ecom_facebook_social_carrossel_social_harry-potter_rmk-30_cpm_1080x1080_111128</v>
      </c>
      <c r="D37" t="str">
        <f t="shared" si="3"/>
        <v>243108664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alp_ecom_conversao_ecom_facebook_social_carrossel_social_harry-potter_rmk-30_cpm_1080x1080_111128</v>
      </c>
      <c r="G37" t="str">
        <f t="shared" si="5"/>
        <v>439773487</v>
      </c>
      <c r="H37" t="str">
        <f t="shared" si="6"/>
        <v>Tracking</v>
      </c>
      <c r="I37">
        <f t="shared" si="7"/>
        <v>0</v>
      </c>
      <c r="J37">
        <f t="shared" si="8"/>
        <v>1</v>
      </c>
      <c r="K37" s="4">
        <f t="shared" si="9"/>
        <v>3.5000000000000001E-3</v>
      </c>
      <c r="L37">
        <f t="shared" si="10"/>
        <v>0.02</v>
      </c>
      <c r="M37" s="4">
        <f t="shared" si="13"/>
        <v>3.5000000000000001E-3</v>
      </c>
      <c r="N37" s="4">
        <f t="shared" si="14"/>
        <v>0.02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alp_ecom_conversao_ecom_facebook_social_carrossel_social_harry-potter_rmk-30_cpm_1080x1080_111131</v>
      </c>
      <c r="D38" t="str">
        <f t="shared" si="3"/>
        <v>243012359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alp_ecom_conversao_ecom_facebook_social_carrossel_social_harry-potter_rmk-30_cpm_1080x1080_111131</v>
      </c>
      <c r="G38" t="str">
        <f t="shared" si="5"/>
        <v>439736277</v>
      </c>
      <c r="H38" t="str">
        <f t="shared" si="6"/>
        <v>Tracking</v>
      </c>
      <c r="I38">
        <f t="shared" si="7"/>
        <v>0</v>
      </c>
      <c r="J38">
        <f t="shared" si="8"/>
        <v>1</v>
      </c>
      <c r="K38" s="4">
        <f t="shared" si="9"/>
        <v>3.5000000000000001E-3</v>
      </c>
      <c r="L38">
        <f t="shared" si="10"/>
        <v>0.02</v>
      </c>
      <c r="M38" s="4">
        <f t="shared" si="13"/>
        <v>3.5000000000000001E-3</v>
      </c>
      <c r="N38" s="4">
        <f t="shared" si="14"/>
        <v>0.02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alp_ecom_conversao_ecom_facebook_social_carrossel_social_havaianas-dpa_dpa-acessorios_cpm_1080x1080_111211</v>
      </c>
      <c r="D39" t="str">
        <f t="shared" si="3"/>
        <v>248595620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alp_ecom_conversao_ecom_facebook_social_carrossel_social_havaianas-dpa_dpa-acessorios_cpm_1080x1080_111211</v>
      </c>
      <c r="G39" t="str">
        <f t="shared" si="5"/>
        <v>445067240</v>
      </c>
      <c r="H39" t="str">
        <f t="shared" si="6"/>
        <v>Tracking</v>
      </c>
      <c r="I39">
        <f t="shared" si="7"/>
        <v>0</v>
      </c>
      <c r="J39">
        <f t="shared" si="8"/>
        <v>37</v>
      </c>
      <c r="K39" s="4">
        <f t="shared" si="9"/>
        <v>3.5000000000000001E-3</v>
      </c>
      <c r="L39">
        <f t="shared" si="10"/>
        <v>0.02</v>
      </c>
      <c r="M39" s="4">
        <f t="shared" si="13"/>
        <v>0.1295</v>
      </c>
      <c r="N39" s="4">
        <f t="shared" si="14"/>
        <v>0.74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alp_ecom_conversao_ecom_facebook_social_carrossel_social_havaianas-dpa_dpa-alpargatas_cpm_1080x1080_111211</v>
      </c>
      <c r="D40" t="str">
        <f t="shared" si="3"/>
        <v>248595641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alp_ecom_conversao_ecom_facebook_social_carrossel_social_havaianas-dpa_dpa-alpargatas_cpm_1080x1080_111211</v>
      </c>
      <c r="G40" t="str">
        <f t="shared" si="5"/>
        <v>445067261</v>
      </c>
      <c r="H40" t="str">
        <f t="shared" si="6"/>
        <v>Tracking</v>
      </c>
      <c r="I40">
        <f t="shared" si="7"/>
        <v>0</v>
      </c>
      <c r="J40">
        <f t="shared" si="8"/>
        <v>93</v>
      </c>
      <c r="K40" s="4">
        <f t="shared" si="9"/>
        <v>3.5000000000000001E-3</v>
      </c>
      <c r="L40">
        <f t="shared" si="10"/>
        <v>0.02</v>
      </c>
      <c r="M40" s="4">
        <f t="shared" si="13"/>
        <v>0.32550000000000001</v>
      </c>
      <c r="N40" s="4">
        <f t="shared" si="14"/>
        <v>1.86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alp_ecom_conversao_ecom_facebook_social_carrossel_social_havaianas-dpa_dpa-outlet_cpm_1080x1080_111208</v>
      </c>
      <c r="D41" t="str">
        <f t="shared" si="3"/>
        <v>248530787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alp_ecom_conversao_ecom_facebook_social_carrossel_social_havaianas-dpa_dpa-outlet_cpm_1080x1080_111208</v>
      </c>
      <c r="G41" t="str">
        <f t="shared" si="5"/>
        <v>445070152</v>
      </c>
      <c r="H41" t="str">
        <f t="shared" si="6"/>
        <v>Tracking</v>
      </c>
      <c r="I41">
        <f t="shared" si="7"/>
        <v>0</v>
      </c>
      <c r="J41">
        <f t="shared" si="8"/>
        <v>941</v>
      </c>
      <c r="K41" s="4">
        <f t="shared" si="9"/>
        <v>3.5000000000000001E-3</v>
      </c>
      <c r="L41">
        <f t="shared" si="10"/>
        <v>0.02</v>
      </c>
      <c r="M41" s="4">
        <f t="shared" si="13"/>
        <v>3.2934999999999999</v>
      </c>
      <c r="N41" s="4">
        <f t="shared" si="14"/>
        <v>18.82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alp_ecom_conversao_ecom_facebook_social_carrossel_social_havaianas-dpa_dpa-todos-os-produtos_cpm_1080x1080_111207</v>
      </c>
      <c r="D42" t="str">
        <f t="shared" si="3"/>
        <v>248530430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alp_ecom_conversao_ecom_facebook_social_carrossel_social_havaianas-dpa_dpa-todos-os-produtos_cpm_1080x1080_111207</v>
      </c>
      <c r="G42" t="str">
        <f t="shared" si="5"/>
        <v>445067629</v>
      </c>
      <c r="H42" t="str">
        <f t="shared" si="6"/>
        <v>Tracking</v>
      </c>
      <c r="I42">
        <f t="shared" si="7"/>
        <v>0</v>
      </c>
      <c r="J42">
        <f t="shared" si="8"/>
        <v>782</v>
      </c>
      <c r="K42" s="4">
        <f t="shared" si="9"/>
        <v>3.5000000000000001E-3</v>
      </c>
      <c r="L42">
        <f t="shared" si="10"/>
        <v>0.02</v>
      </c>
      <c r="M42" s="4">
        <f t="shared" si="13"/>
        <v>2.7370000000000001</v>
      </c>
      <c r="N42" s="4">
        <f t="shared" si="14"/>
        <v>15.64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alp_ecom_conversao_ecom_facebook_social_carrossel_social_rei-leao_curte-havaianas_cpm_1080x1080_111195</v>
      </c>
      <c r="D43" t="str">
        <f t="shared" si="3"/>
        <v>247089746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alp_ecom_conversao_ecom_facebook_social_carrossel_social_rei-leao_curte-havaianas_cpm_1080x1080_111195</v>
      </c>
      <c r="G43" t="str">
        <f t="shared" si="5"/>
        <v>443680138</v>
      </c>
      <c r="H43" t="str">
        <f t="shared" si="6"/>
        <v>Tracking</v>
      </c>
      <c r="I43">
        <f t="shared" si="7"/>
        <v>0</v>
      </c>
      <c r="J43">
        <f t="shared" si="8"/>
        <v>2055</v>
      </c>
      <c r="K43" s="4">
        <f t="shared" si="9"/>
        <v>3.5000000000000001E-3</v>
      </c>
      <c r="L43">
        <f t="shared" si="10"/>
        <v>0.02</v>
      </c>
      <c r="M43" s="4">
        <f t="shared" si="13"/>
        <v>7.1924999999999999</v>
      </c>
      <c r="N43" s="4">
        <f t="shared" si="14"/>
        <v>41.1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alp_ecom_conversao_ecom_facebook_social_carrossel_social_rei-leao_curte-havaianas_cpm_1080x1080_111221</v>
      </c>
      <c r="D44" t="str">
        <f t="shared" si="3"/>
        <v>251366940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alp_ecom_conversao_ecom_facebook_social_carrossel_social_rei-leao_curte-havaianas_cpm_1080x1080_111221</v>
      </c>
      <c r="G44" t="str">
        <f t="shared" si="5"/>
        <v>447333084</v>
      </c>
      <c r="H44" t="str">
        <f t="shared" si="6"/>
        <v>Tracking</v>
      </c>
      <c r="I44">
        <f t="shared" si="7"/>
        <v>0</v>
      </c>
      <c r="J44">
        <f t="shared" si="8"/>
        <v>17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5.9500000000000004E-2</v>
      </c>
      <c r="N44" s="4">
        <f t="shared" si="14"/>
        <v>0.34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alp_ecom_conversao_ecom_facebook_social_carrossel_social_rei-leao_interesse-rei-leao_cpm_1080x1080_111221</v>
      </c>
      <c r="D45" t="str">
        <f t="shared" si="3"/>
        <v>251366916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alp_ecom_conversao_ecom_facebook_social_carrossel_social_rei-leao_interesse-rei-leao_cpm_1080x1080_111221</v>
      </c>
      <c r="G45" t="str">
        <f t="shared" si="5"/>
        <v>447333060</v>
      </c>
      <c r="H45" t="str">
        <f t="shared" si="6"/>
        <v>Tracking</v>
      </c>
      <c r="I45">
        <f t="shared" si="7"/>
        <v>0</v>
      </c>
      <c r="J45">
        <f t="shared" si="8"/>
        <v>187</v>
      </c>
      <c r="K45" s="4">
        <f t="shared" si="15"/>
        <v>3.5000000000000001E-3</v>
      </c>
      <c r="L45">
        <f t="shared" si="16"/>
        <v>0.02</v>
      </c>
      <c r="M45" s="4">
        <f t="shared" si="13"/>
        <v>0.65449999999999997</v>
      </c>
      <c r="N45" s="4">
        <f t="shared" si="14"/>
        <v>3.74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alp_ecom_conversao_ecom_facebook_social_carrossel_social_rei-leao_look-1-desk_cpm_1080x1080_111195</v>
      </c>
      <c r="D46" t="str">
        <f t="shared" si="3"/>
        <v>247089740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alp_ecom_conversao_ecom_facebook_social_carrossel_social_rei-leao_look-1-desk_cpm_1080x1080_111195</v>
      </c>
      <c r="G46" t="str">
        <f t="shared" si="5"/>
        <v>443680132</v>
      </c>
      <c r="H46" t="str">
        <f t="shared" si="6"/>
        <v>Tracking</v>
      </c>
      <c r="I46">
        <f t="shared" si="7"/>
        <v>0</v>
      </c>
      <c r="J46">
        <f t="shared" si="8"/>
        <v>3</v>
      </c>
      <c r="K46" s="4">
        <f t="shared" si="15"/>
        <v>3.5000000000000001E-3</v>
      </c>
      <c r="L46">
        <f t="shared" si="16"/>
        <v>0.02</v>
      </c>
      <c r="M46" s="4">
        <f t="shared" si="13"/>
        <v>1.0500000000000001E-2</v>
      </c>
      <c r="N46" s="4">
        <f t="shared" si="14"/>
        <v>0.06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alp_ecom_conversao_ecom_facebook_social_carrossel_social_rei-leao_look-1-desk_cpm_1080x1080_111221</v>
      </c>
      <c r="D47" t="str">
        <f t="shared" si="3"/>
        <v>251366934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alp_ecom_conversao_ecom_facebook_social_carrossel_social_rei-leao_look-1-desk_cpm_1080x1080_111221</v>
      </c>
      <c r="G47" t="str">
        <f t="shared" si="5"/>
        <v>447333078</v>
      </c>
      <c r="H47" t="str">
        <f t="shared" si="6"/>
        <v>Tracking</v>
      </c>
      <c r="I47">
        <f t="shared" si="7"/>
        <v>0</v>
      </c>
      <c r="J47">
        <f t="shared" si="8"/>
        <v>1</v>
      </c>
      <c r="K47" s="4">
        <f t="shared" si="15"/>
        <v>3.5000000000000001E-3</v>
      </c>
      <c r="L47">
        <f t="shared" si="16"/>
        <v>0.02</v>
      </c>
      <c r="M47" s="4">
        <f t="shared" si="13"/>
        <v>3.5000000000000001E-3</v>
      </c>
      <c r="N47" s="4">
        <f t="shared" si="14"/>
        <v>0.02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alp_ecom_conversao_ecom_facebook_social_carrossel_social_rei-leao_look-1-mobile_cpm_1080x1080_111195</v>
      </c>
      <c r="D48" t="str">
        <f t="shared" si="3"/>
        <v>247089737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alp_ecom_conversao_ecom_facebook_social_carrossel_social_rei-leao_look-1-mobile_cpm_1080x1080_111195</v>
      </c>
      <c r="G48" t="str">
        <f t="shared" si="5"/>
        <v>443680129</v>
      </c>
      <c r="H48" t="str">
        <f t="shared" si="6"/>
        <v>Tracking</v>
      </c>
      <c r="I48">
        <f t="shared" si="7"/>
        <v>0</v>
      </c>
      <c r="J48">
        <f t="shared" si="8"/>
        <v>3</v>
      </c>
      <c r="K48" s="4">
        <f t="shared" si="15"/>
        <v>3.5000000000000001E-3</v>
      </c>
      <c r="L48">
        <f t="shared" si="16"/>
        <v>0.02</v>
      </c>
      <c r="M48" s="4">
        <f t="shared" si="13"/>
        <v>1.0500000000000001E-2</v>
      </c>
      <c r="N48" s="4">
        <f t="shared" si="14"/>
        <v>0.06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alp_ecom_conversao_ecom_facebook_social_carrossel_social_rei-leao_look-2-desk_cpm_1080x1080_111195</v>
      </c>
      <c r="D49" t="str">
        <f t="shared" si="3"/>
        <v>247089734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alp_ecom_conversao_ecom_facebook_social_carrossel_social_rei-leao_look-2-desk_cpm_1080x1080_111195</v>
      </c>
      <c r="G49" t="str">
        <f t="shared" si="5"/>
        <v>443680126</v>
      </c>
      <c r="H49" t="str">
        <f t="shared" si="6"/>
        <v>Tracking</v>
      </c>
      <c r="I49">
        <f t="shared" si="7"/>
        <v>0</v>
      </c>
      <c r="J49">
        <f t="shared" si="8"/>
        <v>1</v>
      </c>
      <c r="K49" s="4">
        <f t="shared" si="15"/>
        <v>3.5000000000000001E-3</v>
      </c>
      <c r="L49">
        <f t="shared" si="16"/>
        <v>0.02</v>
      </c>
      <c r="M49" s="4">
        <f t="shared" si="13"/>
        <v>3.5000000000000001E-3</v>
      </c>
      <c r="N49" s="4">
        <f t="shared" si="14"/>
        <v>0.02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alp_ecom_conversao_ecom_facebook_social_carrossel_social_rei-leao_look-2-mobile_cpm_1080x1080_111195</v>
      </c>
      <c r="D50" t="str">
        <f t="shared" si="3"/>
        <v>247089731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alp_ecom_conversao_ecom_facebook_social_carrossel_social_rei-leao_look-2-mobile_cpm_1080x1080_111195</v>
      </c>
      <c r="G50" t="str">
        <f t="shared" si="5"/>
        <v>443680123</v>
      </c>
      <c r="H50" t="str">
        <f t="shared" si="6"/>
        <v>Tracking</v>
      </c>
      <c r="I50">
        <f t="shared" si="7"/>
        <v>0</v>
      </c>
      <c r="J50">
        <f t="shared" si="8"/>
        <v>2</v>
      </c>
      <c r="K50" s="4">
        <f t="shared" si="15"/>
        <v>3.5000000000000001E-3</v>
      </c>
      <c r="L50">
        <f t="shared" si="16"/>
        <v>0.02</v>
      </c>
      <c r="M50" s="4">
        <f t="shared" si="13"/>
        <v>7.0000000000000001E-3</v>
      </c>
      <c r="N50" s="4">
        <f t="shared" si="14"/>
        <v>0.04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alp_ecom_conversao_ecom_facebook_social_carrossel_social_rei-leao_rmk-30-mobile_cpm_1080x1080_111195</v>
      </c>
      <c r="D51" t="str">
        <f t="shared" si="3"/>
        <v>247089725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alp_ecom_conversao_ecom_facebook_social_carrossel_social_rei-leao_rmk-30-mobile_cpm_1080x1080_111195</v>
      </c>
      <c r="G51" t="str">
        <f t="shared" si="5"/>
        <v>443680117</v>
      </c>
      <c r="H51" t="str">
        <f t="shared" si="6"/>
        <v>Tracking</v>
      </c>
      <c r="I51">
        <f t="shared" si="7"/>
        <v>0</v>
      </c>
      <c r="J51">
        <f t="shared" si="8"/>
        <v>25</v>
      </c>
      <c r="K51" s="4">
        <f t="shared" si="15"/>
        <v>3.5000000000000001E-3</v>
      </c>
      <c r="L51">
        <f t="shared" si="16"/>
        <v>0.02</v>
      </c>
      <c r="M51" s="4">
        <f t="shared" si="13"/>
        <v>8.7500000000000008E-2</v>
      </c>
      <c r="N51" s="4">
        <f t="shared" si="14"/>
        <v>0.5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alp_ecom_conversao_ecom_facebook_social_carrossel_social_rei-leao_rmk-30-mobile_cpm_1080x1080_111221</v>
      </c>
      <c r="D52" t="str">
        <f t="shared" si="3"/>
        <v>251366919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alp_ecom_conversao_ecom_facebook_social_carrossel_social_rei-leao_rmk-30-mobile_cpm_1080x1080_111221</v>
      </c>
      <c r="G52" t="str">
        <f t="shared" si="5"/>
        <v>447333063</v>
      </c>
      <c r="H52" t="str">
        <f t="shared" si="6"/>
        <v>Tracking</v>
      </c>
      <c r="I52">
        <f t="shared" si="7"/>
        <v>0</v>
      </c>
      <c r="J52">
        <f t="shared" si="8"/>
        <v>22</v>
      </c>
      <c r="K52" s="4">
        <f t="shared" si="15"/>
        <v>3.5000000000000001E-3</v>
      </c>
      <c r="L52">
        <f t="shared" si="16"/>
        <v>0.02</v>
      </c>
      <c r="M52" s="4">
        <f t="shared" si="13"/>
        <v>7.6999999999999999E-2</v>
      </c>
      <c r="N52" s="4">
        <f t="shared" si="14"/>
        <v>0.44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alp_ecom_conversao_ecom_facebook_social_carrossel_social_rei-leao_rmk-30_cpm_1080x1080_111195</v>
      </c>
      <c r="D53" t="str">
        <f t="shared" si="3"/>
        <v>247089728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alp_ecom_conversao_ecom_facebook_social_carrossel_social_rei-leao_rmk-30_cpm_1080x1080_111195</v>
      </c>
      <c r="G53" t="str">
        <f t="shared" si="5"/>
        <v>443680120</v>
      </c>
      <c r="H53" t="str">
        <f t="shared" si="6"/>
        <v>Tracking</v>
      </c>
      <c r="I53">
        <f t="shared" si="7"/>
        <v>0</v>
      </c>
      <c r="J53">
        <f t="shared" si="8"/>
        <v>2</v>
      </c>
      <c r="K53" s="4">
        <f t="shared" si="15"/>
        <v>3.5000000000000001E-3</v>
      </c>
      <c r="L53">
        <f t="shared" si="16"/>
        <v>0.02</v>
      </c>
      <c r="M53" s="4">
        <f t="shared" si="13"/>
        <v>7.0000000000000001E-3</v>
      </c>
      <c r="N53" s="4">
        <f t="shared" si="14"/>
        <v>0.04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alp_ecom_conversao_ecom_facebook_social_carrossel_social_toy-story_curte-havaianas_cpm_1080x1080_111213</v>
      </c>
      <c r="D54" t="str">
        <f t="shared" si="3"/>
        <v>250254693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alp_ecom_conversao_ecom_facebook_social_carrossel_social_toy-story_curte-havaianas_cpm_1080x1080_111213</v>
      </c>
      <c r="G54" t="str">
        <f t="shared" si="5"/>
        <v>446210148</v>
      </c>
      <c r="H54" t="str">
        <f t="shared" si="6"/>
        <v>Tracking</v>
      </c>
      <c r="I54">
        <f t="shared" si="7"/>
        <v>0</v>
      </c>
      <c r="J54">
        <f t="shared" si="8"/>
        <v>123</v>
      </c>
      <c r="K54" s="4">
        <f t="shared" si="15"/>
        <v>3.5000000000000001E-3</v>
      </c>
      <c r="L54">
        <f t="shared" si="16"/>
        <v>0.02</v>
      </c>
      <c r="M54" s="4">
        <f t="shared" si="13"/>
        <v>0.43049999999999999</v>
      </c>
      <c r="N54" s="4">
        <f t="shared" si="14"/>
        <v>2.46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alp_ecom_conversao_ecom_facebook_social_carrossel_social_toy-story_interesses-toy-story_cpm_1080x1080_111213</v>
      </c>
      <c r="D55" t="str">
        <f t="shared" si="3"/>
        <v>250254672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alp_ecom_conversao_ecom_facebook_social_carrossel_social_toy-story_interesses-toy-story_cpm_1080x1080_111213</v>
      </c>
      <c r="G55" t="str">
        <f t="shared" si="5"/>
        <v>446210127</v>
      </c>
      <c r="H55" t="str">
        <f t="shared" si="6"/>
        <v>Tracking</v>
      </c>
      <c r="I55">
        <f t="shared" si="7"/>
        <v>0</v>
      </c>
      <c r="J55">
        <f t="shared" si="8"/>
        <v>2752</v>
      </c>
      <c r="K55" s="4">
        <f t="shared" si="15"/>
        <v>3.5000000000000001E-3</v>
      </c>
      <c r="L55">
        <f t="shared" si="16"/>
        <v>0.02</v>
      </c>
      <c r="M55" s="4">
        <f t="shared" si="13"/>
        <v>9.6319999999999997</v>
      </c>
      <c r="N55" s="4">
        <f t="shared" si="14"/>
        <v>55.04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alp_ecom_conversao_ecom_facebook_social_carrossel_social_toy-story_look-1-desk_cpm_1080x1080_111213</v>
      </c>
      <c r="D56" t="str">
        <f t="shared" si="3"/>
        <v>250254690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alp_ecom_conversao_ecom_facebook_social_carrossel_social_toy-story_look-1-desk_cpm_1080x1080_111213</v>
      </c>
      <c r="G56" t="str">
        <f t="shared" si="5"/>
        <v>446210145</v>
      </c>
      <c r="H56" t="str">
        <f t="shared" si="6"/>
        <v>Tracking</v>
      </c>
      <c r="I56">
        <f t="shared" si="7"/>
        <v>0</v>
      </c>
      <c r="J56">
        <f t="shared" si="8"/>
        <v>2</v>
      </c>
      <c r="K56" s="4">
        <f t="shared" si="15"/>
        <v>3.5000000000000001E-3</v>
      </c>
      <c r="L56">
        <f t="shared" si="16"/>
        <v>0.02</v>
      </c>
      <c r="M56" s="4">
        <f t="shared" si="13"/>
        <v>7.0000000000000001E-3</v>
      </c>
      <c r="N56" s="4">
        <f t="shared" si="14"/>
        <v>0.04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alp_ecom_conversao_ecom_facebook_social_carrossel_social_toy-story_look-1-mobile_cpm_1080x1080_111213</v>
      </c>
      <c r="D57" t="str">
        <f t="shared" si="3"/>
        <v>250254687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alp_ecom_conversao_ecom_facebook_social_carrossel_social_toy-story_look-1-mobile_cpm_1080x1080_111213</v>
      </c>
      <c r="G57" t="str">
        <f t="shared" si="5"/>
        <v>446210142</v>
      </c>
      <c r="H57" t="str">
        <f t="shared" si="6"/>
        <v>Tracking</v>
      </c>
      <c r="I57">
        <f t="shared" si="7"/>
        <v>0</v>
      </c>
      <c r="J57">
        <f t="shared" si="8"/>
        <v>1</v>
      </c>
      <c r="K57" s="4">
        <f t="shared" si="15"/>
        <v>3.5000000000000001E-3</v>
      </c>
      <c r="L57">
        <f t="shared" si="16"/>
        <v>0.02</v>
      </c>
      <c r="M57" s="4">
        <f t="shared" si="13"/>
        <v>3.5000000000000001E-3</v>
      </c>
      <c r="N57" s="4">
        <f t="shared" si="14"/>
        <v>0.02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alp_ecom_conversao_ecom_facebook_social_carrossel_social_toy-story_look-2-desk_cpm_1080x1080_111213</v>
      </c>
      <c r="D58" t="str">
        <f t="shared" si="3"/>
        <v>250254684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alp_ecom_conversao_ecom_facebook_social_carrossel_social_toy-story_look-2-desk_cpm_1080x1080_111213</v>
      </c>
      <c r="G58" t="str">
        <f t="shared" si="5"/>
        <v>446210139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alp_ecom_conversao_ecom_facebook_social_carrossel_social_toy-story_rmk-30-mobile_cpm_1080x1080_111213</v>
      </c>
      <c r="D59" t="str">
        <f t="shared" si="3"/>
        <v>250254675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alp_ecom_conversao_ecom_facebook_social_carrossel_social_toy-story_rmk-30-mobile_cpm_1080x1080_111213</v>
      </c>
      <c r="G59" t="str">
        <f t="shared" si="5"/>
        <v>446210130</v>
      </c>
      <c r="H59" t="str">
        <f t="shared" si="6"/>
        <v>Tracking</v>
      </c>
      <c r="I59">
        <f t="shared" si="7"/>
        <v>0</v>
      </c>
      <c r="J59">
        <f t="shared" si="8"/>
        <v>14</v>
      </c>
      <c r="K59" s="4">
        <f t="shared" si="15"/>
        <v>3.5000000000000001E-3</v>
      </c>
      <c r="L59">
        <f t="shared" si="16"/>
        <v>0.02</v>
      </c>
      <c r="M59" s="4">
        <f t="shared" si="13"/>
        <v>4.9000000000000002E-2</v>
      </c>
      <c r="N59" s="4">
        <f t="shared" si="14"/>
        <v>0.28000000000000003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alp_ecom_conversao_ecom_facebook_social_carrossel_social_toy-story_rmk-30_cpm_1080x1080_111213</v>
      </c>
      <c r="D60" t="str">
        <f t="shared" si="3"/>
        <v>250254678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alp_ecom_conversao_ecom_facebook_social_carrossel_social_toy-story_rmk-30_cpm_1080x1080_111213</v>
      </c>
      <c r="G60" t="str">
        <f t="shared" si="5"/>
        <v>446210133</v>
      </c>
      <c r="H60" t="str">
        <f t="shared" si="6"/>
        <v>Tracking</v>
      </c>
      <c r="I60">
        <f t="shared" si="7"/>
        <v>0</v>
      </c>
      <c r="J60">
        <f t="shared" si="8"/>
        <v>6</v>
      </c>
      <c r="K60" s="4">
        <f t="shared" si="15"/>
        <v>3.5000000000000001E-3</v>
      </c>
      <c r="L60">
        <f t="shared" si="16"/>
        <v>0.02</v>
      </c>
      <c r="M60" s="4">
        <f t="shared" si="13"/>
        <v>2.1000000000000001E-2</v>
      </c>
      <c r="N60" s="4">
        <f t="shared" si="14"/>
        <v>0.12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alp_ecom_conversao_ecom_facebook_social_collection_social_frete-fixo_look-1-mobile_cpm_dinamico_111226</v>
      </c>
      <c r="D61" t="str">
        <f t="shared" si="3"/>
        <v>252153711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alp_ecom_conversao_ecom_facebook_social_collection_social_frete-fixo_look-1-mobile_cpm_dinamico_111226</v>
      </c>
      <c r="G61" t="str">
        <f t="shared" si="5"/>
        <v>448092690</v>
      </c>
      <c r="H61" t="str">
        <f t="shared" si="6"/>
        <v>Tracking</v>
      </c>
      <c r="I61">
        <f t="shared" si="7"/>
        <v>0</v>
      </c>
      <c r="J61">
        <f t="shared" si="8"/>
        <v>1</v>
      </c>
      <c r="K61" s="4">
        <f t="shared" si="15"/>
        <v>3.5000000000000001E-3</v>
      </c>
      <c r="L61">
        <f t="shared" si="16"/>
        <v>0.02</v>
      </c>
      <c r="M61" s="4">
        <f t="shared" si="13"/>
        <v>3.5000000000000001E-3</v>
      </c>
      <c r="N61" s="4">
        <f t="shared" si="14"/>
        <v>0.02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alp_ecom_conversao_ecom_facebook_social_collection_social_frete-fixo_look-2-mobile_cpm_dinamico_111226</v>
      </c>
      <c r="D62" t="str">
        <f t="shared" si="3"/>
        <v>252093643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alp_ecom_conversao_ecom_facebook_social_collection_social_frete-fixo_look-2-mobile_cpm_dinamico_111226</v>
      </c>
      <c r="G62" t="str">
        <f t="shared" si="5"/>
        <v>448092717</v>
      </c>
      <c r="H62" t="str">
        <f t="shared" si="6"/>
        <v>Tracking</v>
      </c>
      <c r="I62">
        <f t="shared" si="7"/>
        <v>0</v>
      </c>
      <c r="J62">
        <f t="shared" si="8"/>
        <v>1</v>
      </c>
      <c r="K62" s="4">
        <f t="shared" si="15"/>
        <v>3.5000000000000001E-3</v>
      </c>
      <c r="L62">
        <f t="shared" si="16"/>
        <v>0.02</v>
      </c>
      <c r="M62" s="4">
        <f t="shared" si="13"/>
        <v>3.5000000000000001E-3</v>
      </c>
      <c r="N62" s="4">
        <f t="shared" si="14"/>
        <v>0.02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alp_ecom_conversao_ecom_facebook_social_collection_social_frete-fixo_rmk-30-mobile_cpm_dinamico_111226</v>
      </c>
      <c r="D63" t="str">
        <f t="shared" si="3"/>
        <v>251761157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alp_ecom_conversao_ecom_facebook_social_collection_social_frete-fixo_rmk-30-mobile_cpm_dinamico_111226</v>
      </c>
      <c r="G63" t="str">
        <f t="shared" si="5"/>
        <v>448228933</v>
      </c>
      <c r="H63" t="str">
        <f t="shared" si="6"/>
        <v>Tracking</v>
      </c>
      <c r="I63">
        <f t="shared" si="7"/>
        <v>0</v>
      </c>
      <c r="J63">
        <f t="shared" si="8"/>
        <v>1</v>
      </c>
      <c r="K63" s="4">
        <f t="shared" si="15"/>
        <v>3.5000000000000001E-3</v>
      </c>
      <c r="L63">
        <f t="shared" si="16"/>
        <v>0.02</v>
      </c>
      <c r="M63" s="4">
        <f t="shared" si="13"/>
        <v>3.5000000000000001E-3</v>
      </c>
      <c r="N63" s="4">
        <f t="shared" si="14"/>
        <v>0.02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alp_ecom_conversao_ecom_facebook_social_collection_social_harry-potter_curte-havaianas_cpm_dinamico_111223</v>
      </c>
      <c r="D64" t="str">
        <f t="shared" si="3"/>
        <v>251366910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alp_ecom_conversao_ecom_facebook_social_collection_social_harry-potter_curte-havaianas_cpm_dinamico_111223</v>
      </c>
      <c r="G64" t="str">
        <f t="shared" si="5"/>
        <v>447333054</v>
      </c>
      <c r="H64" t="str">
        <f t="shared" si="6"/>
        <v>Tracking</v>
      </c>
      <c r="I64">
        <f t="shared" si="7"/>
        <v>0</v>
      </c>
      <c r="J64">
        <f t="shared" si="8"/>
        <v>65</v>
      </c>
      <c r="K64" s="4">
        <f t="shared" si="15"/>
        <v>3.5000000000000001E-3</v>
      </c>
      <c r="L64">
        <f t="shared" si="16"/>
        <v>0.02</v>
      </c>
      <c r="M64" s="4">
        <f t="shared" si="13"/>
        <v>0.22750000000000001</v>
      </c>
      <c r="N64" s="4">
        <f t="shared" si="14"/>
        <v>1.3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alp_ecom_conversao_ecom_facebook_social_collection_social_harry-potter_look-1-mobile_cpm_dinamico_111223</v>
      </c>
      <c r="D65" t="str">
        <f t="shared" si="3"/>
        <v>251366904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alp_ecom_conversao_ecom_facebook_social_collection_social_harry-potter_look-1-mobile_cpm_dinamico_111223</v>
      </c>
      <c r="G65" t="str">
        <f t="shared" si="5"/>
        <v>447333048</v>
      </c>
      <c r="H65" t="str">
        <f t="shared" si="6"/>
        <v>Tracking</v>
      </c>
      <c r="I65">
        <f t="shared" si="7"/>
        <v>0</v>
      </c>
      <c r="J65">
        <f t="shared" si="8"/>
        <v>2</v>
      </c>
      <c r="K65" s="4">
        <f t="shared" si="15"/>
        <v>3.5000000000000001E-3</v>
      </c>
      <c r="L65">
        <f t="shared" si="16"/>
        <v>0.02</v>
      </c>
      <c r="M65" s="4">
        <f t="shared" si="13"/>
        <v>7.0000000000000001E-3</v>
      </c>
      <c r="N65" s="4">
        <f t="shared" si="14"/>
        <v>0.04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alp_ecom_conversao_ecom_facebook_social_collection_social_harry-potter_rmk-30-mobile_cpm_dinamico_111223</v>
      </c>
      <c r="D66" t="str">
        <f t="shared" ref="D66:D129" si="20">bd_placementID</f>
        <v>251366892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alp_ecom_conversao_ecom_facebook_social_collection_social_harry-potter_rmk-30-mobile_cpm_dinamico_111223</v>
      </c>
      <c r="G66" t="str">
        <f t="shared" ref="G66:G129" si="22">bd_adid</f>
        <v>447333036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96</v>
      </c>
      <c r="K66" s="4">
        <f t="shared" si="15"/>
        <v>3.5000000000000001E-3</v>
      </c>
      <c r="L66">
        <f t="shared" si="16"/>
        <v>0.02</v>
      </c>
      <c r="M66" s="4">
        <f t="shared" si="13"/>
        <v>0.33600000000000002</v>
      </c>
      <c r="N66" s="4">
        <f t="shared" si="14"/>
        <v>1.92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alp_ecom_conversao_ecom_facebook_social_collection_social_havaianas-outlet_curte-havaianas_cpm_dinamico_111225</v>
      </c>
      <c r="D67" t="str">
        <f t="shared" si="20"/>
        <v>251366979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alp_ecom_conversao_ecom_facebook_social_collection_social_havaianas-outlet_curte-havaianas_cpm_dinamico_111225</v>
      </c>
      <c r="G67" t="str">
        <f t="shared" si="22"/>
        <v>447333123</v>
      </c>
      <c r="H67" t="str">
        <f t="shared" si="23"/>
        <v>Tracking</v>
      </c>
      <c r="I67">
        <f t="shared" si="24"/>
        <v>0</v>
      </c>
      <c r="J67">
        <f t="shared" si="25"/>
        <v>2679</v>
      </c>
      <c r="K67" s="4">
        <f t="shared" si="15"/>
        <v>3.5000000000000001E-3</v>
      </c>
      <c r="L67">
        <f t="shared" si="16"/>
        <v>0.02</v>
      </c>
      <c r="M67" s="4">
        <f t="shared" si="13"/>
        <v>9.3765000000000001</v>
      </c>
      <c r="N67" s="4">
        <f t="shared" si="14"/>
        <v>53.58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alp_ecom_conversao_ecom_facebook_social_collection_social_havaianas-outlet_interesse-promocao_cpm_dinamico_111222</v>
      </c>
      <c r="D68" t="str">
        <f t="shared" si="20"/>
        <v>251366937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alp_ecom_conversao_ecom_facebook_social_collection_social_havaianas-outlet_interesse-promocao_cpm_dinamico_111222</v>
      </c>
      <c r="G68" t="str">
        <f t="shared" si="22"/>
        <v>447333081</v>
      </c>
      <c r="H68" t="str">
        <f t="shared" si="23"/>
        <v>Tracking</v>
      </c>
      <c r="I68">
        <f t="shared" si="24"/>
        <v>0</v>
      </c>
      <c r="J68">
        <f t="shared" si="25"/>
        <v>16288</v>
      </c>
      <c r="K68" s="4">
        <f t="shared" si="15"/>
        <v>3.5000000000000001E-3</v>
      </c>
      <c r="L68">
        <f t="shared" si="16"/>
        <v>0.02</v>
      </c>
      <c r="M68" s="4">
        <f t="shared" si="13"/>
        <v>57.008000000000003</v>
      </c>
      <c r="N68" s="4">
        <f t="shared" si="14"/>
        <v>325.76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alp_ecom_conversao_ecom_facebook_social_collection_social_havaianas-outlet_look-1-mobile_cpm_dinamico_111225</v>
      </c>
      <c r="D69" t="str">
        <f t="shared" si="20"/>
        <v>251366967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alp_ecom_conversao_ecom_facebook_social_collection_social_havaianas-outlet_look-1-mobile_cpm_dinamico_111225</v>
      </c>
      <c r="G69" t="str">
        <f t="shared" si="22"/>
        <v>447333111</v>
      </c>
      <c r="H69" t="str">
        <f t="shared" si="23"/>
        <v>Tracking</v>
      </c>
      <c r="I69">
        <f t="shared" si="24"/>
        <v>0</v>
      </c>
      <c r="J69">
        <f t="shared" si="25"/>
        <v>142</v>
      </c>
      <c r="K69" s="4">
        <f t="shared" si="15"/>
        <v>3.5000000000000001E-3</v>
      </c>
      <c r="L69">
        <f t="shared" si="16"/>
        <v>0.02</v>
      </c>
      <c r="M69" s="4">
        <f t="shared" si="13"/>
        <v>0.497</v>
      </c>
      <c r="N69" s="4">
        <f t="shared" si="14"/>
        <v>2.84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alp_ecom_conversao_ecom_facebook_social_collection_social_havaianas-outlet_look-2-mobile_cpm_dinamico_111225</v>
      </c>
      <c r="D70" t="str">
        <f t="shared" si="20"/>
        <v>251366955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alp_ecom_conversao_ecom_facebook_social_collection_social_havaianas-outlet_look-2-mobile_cpm_dinamico_111225</v>
      </c>
      <c r="G70" t="str">
        <f t="shared" si="22"/>
        <v>447333099</v>
      </c>
      <c r="H70" t="str">
        <f t="shared" si="23"/>
        <v>Tracking</v>
      </c>
      <c r="I70">
        <f t="shared" si="24"/>
        <v>0</v>
      </c>
      <c r="J70">
        <f t="shared" si="25"/>
        <v>10</v>
      </c>
      <c r="K70" s="4">
        <f t="shared" si="15"/>
        <v>3.5000000000000001E-3</v>
      </c>
      <c r="L70">
        <f t="shared" si="16"/>
        <v>0.02</v>
      </c>
      <c r="M70" s="4">
        <f t="shared" si="13"/>
        <v>3.5000000000000003E-2</v>
      </c>
      <c r="N70" s="4">
        <f t="shared" si="14"/>
        <v>0.2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alp_ecom_conversao_ecom_facebook_social_collection_social_havaianas-outlet_rmk-30-mobile_cpm_dinamico_111225</v>
      </c>
      <c r="D71" t="str">
        <f t="shared" si="20"/>
        <v>251366943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alp_ecom_conversao_ecom_facebook_social_collection_social_havaianas-outlet_rmk-30-mobile_cpm_dinamico_111225</v>
      </c>
      <c r="G71" t="str">
        <f t="shared" si="22"/>
        <v>447333087</v>
      </c>
      <c r="H71" t="str">
        <f t="shared" si="23"/>
        <v>Tracking</v>
      </c>
      <c r="I71">
        <f t="shared" si="24"/>
        <v>0</v>
      </c>
      <c r="J71">
        <f t="shared" si="25"/>
        <v>2274</v>
      </c>
      <c r="K71" s="4">
        <f t="shared" si="15"/>
        <v>3.5000000000000001E-3</v>
      </c>
      <c r="L71">
        <f t="shared" si="16"/>
        <v>0.02</v>
      </c>
      <c r="M71" s="4">
        <f t="shared" si="13"/>
        <v>7.9590000000000005</v>
      </c>
      <c r="N71" s="4">
        <f t="shared" si="14"/>
        <v>45.480000000000004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alp_ecom_conversao_ecom_facebook_social_collection_social_mario-bros_curte-havaianas_cpm_dinamico_111224</v>
      </c>
      <c r="D72" t="str">
        <f t="shared" si="20"/>
        <v>251366886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alp_ecom_conversao_ecom_facebook_social_collection_social_mario-bros_curte-havaianas_cpm_dinamico_111224</v>
      </c>
      <c r="G72" t="str">
        <f t="shared" si="22"/>
        <v>447333030</v>
      </c>
      <c r="H72" t="str">
        <f t="shared" si="23"/>
        <v>Tracking</v>
      </c>
      <c r="I72">
        <f t="shared" si="24"/>
        <v>0</v>
      </c>
      <c r="J72">
        <f t="shared" si="25"/>
        <v>504</v>
      </c>
      <c r="K72" s="4">
        <f t="shared" si="15"/>
        <v>3.5000000000000001E-3</v>
      </c>
      <c r="L72">
        <f t="shared" si="16"/>
        <v>0.02</v>
      </c>
      <c r="M72" s="4">
        <f t="shared" si="13"/>
        <v>1.764</v>
      </c>
      <c r="N72" s="4">
        <f t="shared" si="14"/>
        <v>10.08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alp_ecom_conversao_ecom_facebook_social_collection_social_mario-bros_interesse-games_cpm_dinamico_111224</v>
      </c>
      <c r="D73" t="str">
        <f t="shared" si="20"/>
        <v>251366985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alp_ecom_conversao_ecom_facebook_social_collection_social_mario-bros_interesse-games_cpm_dinamico_111224</v>
      </c>
      <c r="G73" t="str">
        <f t="shared" si="22"/>
        <v>447333129</v>
      </c>
      <c r="H73" t="str">
        <f t="shared" si="23"/>
        <v>Tracking</v>
      </c>
      <c r="I73">
        <f t="shared" si="24"/>
        <v>0</v>
      </c>
      <c r="J73">
        <f t="shared" si="25"/>
        <v>16124</v>
      </c>
      <c r="K73" s="4">
        <f t="shared" si="15"/>
        <v>3.5000000000000001E-3</v>
      </c>
      <c r="L73">
        <f t="shared" si="16"/>
        <v>0.02</v>
      </c>
      <c r="M73" s="4">
        <f t="shared" si="13"/>
        <v>56.434000000000005</v>
      </c>
      <c r="N73" s="4">
        <f t="shared" si="14"/>
        <v>322.48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alp_ecom_conversao_ecom_facebook_social_collection_social_mario-bros_look-1-mobile_cpm_dinamico_111224</v>
      </c>
      <c r="D74" t="str">
        <f t="shared" si="20"/>
        <v>250964342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alp_ecom_conversao_ecom_facebook_social_collection_social_mario-bros_look-1-mobile_cpm_dinamico_111224</v>
      </c>
      <c r="G74" t="str">
        <f t="shared" si="22"/>
        <v>447333024</v>
      </c>
      <c r="H74" t="str">
        <f t="shared" si="23"/>
        <v>Tracking</v>
      </c>
      <c r="I74">
        <f t="shared" si="24"/>
        <v>0</v>
      </c>
      <c r="J74">
        <f t="shared" si="25"/>
        <v>9</v>
      </c>
      <c r="K74" s="4">
        <f t="shared" si="15"/>
        <v>3.5000000000000001E-3</v>
      </c>
      <c r="L74">
        <f t="shared" si="16"/>
        <v>0.02</v>
      </c>
      <c r="M74" s="4">
        <f t="shared" si="13"/>
        <v>3.15E-2</v>
      </c>
      <c r="N74" s="4">
        <f t="shared" si="14"/>
        <v>0.18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alp_ecom_conversao_ecom_facebook_social_collection_social_mario-bros_rmk-30-mobile_cpm_dinamico_111224</v>
      </c>
      <c r="D75" t="str">
        <f t="shared" si="20"/>
        <v>250964330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alp_ecom_conversao_ecom_facebook_social_collection_social_mario-bros_rmk-30-mobile_cpm_dinamico_111224</v>
      </c>
      <c r="G75" t="str">
        <f t="shared" si="22"/>
        <v>447333012</v>
      </c>
      <c r="H75" t="str">
        <f t="shared" si="23"/>
        <v>Tracking</v>
      </c>
      <c r="I75">
        <f t="shared" si="24"/>
        <v>0</v>
      </c>
      <c r="J75">
        <f t="shared" si="25"/>
        <v>137</v>
      </c>
      <c r="K75" s="4">
        <f t="shared" si="15"/>
        <v>3.5000000000000001E-3</v>
      </c>
      <c r="L75">
        <f t="shared" si="16"/>
        <v>0.02</v>
      </c>
      <c r="M75" s="4">
        <f t="shared" si="13"/>
        <v>0.47950000000000004</v>
      </c>
      <c r="N75" s="4">
        <f t="shared" si="14"/>
        <v>2.74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alp_ecom_conversao_ecom_facebook_social_collection_social_star-wars_rmk-30-mobile_cpm_dinamico_111167</v>
      </c>
      <c r="D76" t="str">
        <f t="shared" si="20"/>
        <v>245922808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alp_ecom_conversao_ecom_facebook_social_collection_social_star-wars_rmk-30-mobile_cpm_dinamico_111167</v>
      </c>
      <c r="G76" t="str">
        <f t="shared" si="22"/>
        <v>442542730</v>
      </c>
      <c r="H76" t="str">
        <f t="shared" si="23"/>
        <v>Tracking</v>
      </c>
      <c r="I76">
        <f t="shared" si="24"/>
        <v>0</v>
      </c>
      <c r="J76">
        <f t="shared" si="25"/>
        <v>1</v>
      </c>
      <c r="K76" s="4">
        <f t="shared" si="15"/>
        <v>3.5000000000000001E-3</v>
      </c>
      <c r="L76">
        <f t="shared" si="16"/>
        <v>0.02</v>
      </c>
      <c r="M76" s="4">
        <f t="shared" si="13"/>
        <v>3.5000000000000001E-3</v>
      </c>
      <c r="N76" s="4">
        <f t="shared" si="14"/>
        <v>0.02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alp_ecom_conversao_ecom_facebook_social_pagepost_social_alpargatas-soft_curte-havaianas_cpm_1200x628_111117</v>
      </c>
      <c r="D77" t="str">
        <f t="shared" si="20"/>
        <v>245616669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alp_ecom_conversao_ecom_facebook_social_pagepost_social_alpargatas-soft_curte-havaianas_cpm_1200x628_111117</v>
      </c>
      <c r="G77" t="str">
        <f t="shared" si="22"/>
        <v>442111790</v>
      </c>
      <c r="H77" t="str">
        <f t="shared" si="23"/>
        <v>Tracking</v>
      </c>
      <c r="I77">
        <f t="shared" si="24"/>
        <v>0</v>
      </c>
      <c r="J77">
        <f t="shared" si="25"/>
        <v>2</v>
      </c>
      <c r="K77" s="4">
        <f t="shared" si="15"/>
        <v>3.5000000000000001E-3</v>
      </c>
      <c r="L77">
        <f t="shared" si="16"/>
        <v>0.02</v>
      </c>
      <c r="M77" s="4">
        <f t="shared" si="13"/>
        <v>7.0000000000000001E-3</v>
      </c>
      <c r="N77" s="4">
        <f t="shared" si="14"/>
        <v>0.04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alp_ecom_conversao_ecom_facebook_social_pagepost_social_animal-print_curte-havaianas_cpc_1200x628_111112</v>
      </c>
      <c r="D78" t="str">
        <f t="shared" si="20"/>
        <v>242206044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alp_ecom_conversao_ecom_facebook_social_pagepost_social_animal-print_curte-havaianas_cpc_1200x628_111112</v>
      </c>
      <c r="G78" t="str">
        <f t="shared" si="22"/>
        <v>438842660</v>
      </c>
      <c r="H78" t="str">
        <f t="shared" si="23"/>
        <v>Tracking</v>
      </c>
      <c r="I78">
        <f t="shared" si="24"/>
        <v>0</v>
      </c>
      <c r="J78">
        <f t="shared" si="25"/>
        <v>1</v>
      </c>
      <c r="K78" s="4">
        <f t="shared" si="15"/>
        <v>3.5000000000000001E-3</v>
      </c>
      <c r="L78">
        <f t="shared" si="16"/>
        <v>0.02</v>
      </c>
      <c r="M78" s="4">
        <f t="shared" si="13"/>
        <v>3.5000000000000001E-3</v>
      </c>
      <c r="N78" s="4">
        <f t="shared" si="14"/>
        <v>0.02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alp_ecom_conversao_ecom_facebook_social_pagepost_social_frete-fixo_curte-havaianas_cpm_1080x1080_111226</v>
      </c>
      <c r="D79" t="str">
        <f t="shared" si="20"/>
        <v>251759555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alp_ecom_conversao_ecom_facebook_social_pagepost_social_frete-fixo_curte-havaianas_cpm_1080x1080_111226</v>
      </c>
      <c r="G79" t="str">
        <f t="shared" si="22"/>
        <v>448227487</v>
      </c>
      <c r="H79" t="str">
        <f t="shared" si="23"/>
        <v>Tracking</v>
      </c>
      <c r="I79">
        <f t="shared" si="24"/>
        <v>0</v>
      </c>
      <c r="J79">
        <f t="shared" si="25"/>
        <v>1</v>
      </c>
      <c r="K79" s="4">
        <f t="shared" si="15"/>
        <v>3.5000000000000001E-3</v>
      </c>
      <c r="L79">
        <f t="shared" si="16"/>
        <v>0.02</v>
      </c>
      <c r="M79" s="4">
        <f t="shared" si="13"/>
        <v>3.5000000000000001E-3</v>
      </c>
      <c r="N79" s="4">
        <f t="shared" si="14"/>
        <v>0.02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alp_ecom_conversao_ecom_facebook_social_pagepost_social_frete-fixo_interesse-promocao_cpm_1080x1080_111226</v>
      </c>
      <c r="D80" t="str">
        <f t="shared" si="20"/>
        <v>252152568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alp_ecom_conversao_ecom_facebook_social_pagepost_social_frete-fixo_interesse-promocao_cpm_1080x1080_111226</v>
      </c>
      <c r="G80" t="str">
        <f t="shared" si="22"/>
        <v>448091682</v>
      </c>
      <c r="H80" t="str">
        <f t="shared" si="23"/>
        <v>Tracking</v>
      </c>
      <c r="I80">
        <f t="shared" si="24"/>
        <v>0</v>
      </c>
      <c r="J80">
        <f t="shared" si="25"/>
        <v>1</v>
      </c>
      <c r="K80" s="4">
        <f t="shared" si="15"/>
        <v>3.5000000000000001E-3</v>
      </c>
      <c r="L80">
        <f t="shared" si="16"/>
        <v>0.02</v>
      </c>
      <c r="M80" s="4">
        <f t="shared" si="13"/>
        <v>3.5000000000000001E-3</v>
      </c>
      <c r="N80" s="4">
        <f t="shared" si="14"/>
        <v>0.02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alp_ecom_conversao_ecom_facebook_social_pagepost_social_frete-fixo_interesse-promocao_cpm_1200x628_111226</v>
      </c>
      <c r="D81" t="str">
        <f t="shared" si="20"/>
        <v>251760857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alp_ecom_conversao_ecom_facebook_social_pagepost_social_frete-fixo_interesse-promocao_cpm_1200x628_111226</v>
      </c>
      <c r="G81" t="str">
        <f t="shared" si="22"/>
        <v>448091484</v>
      </c>
      <c r="H81" t="str">
        <f t="shared" si="23"/>
        <v>Tracking</v>
      </c>
      <c r="I81">
        <f t="shared" si="24"/>
        <v>0</v>
      </c>
      <c r="J81">
        <f t="shared" si="25"/>
        <v>25094</v>
      </c>
      <c r="K81" s="4">
        <f t="shared" si="15"/>
        <v>3.5000000000000001E-3</v>
      </c>
      <c r="L81">
        <f t="shared" si="16"/>
        <v>0.02</v>
      </c>
      <c r="M81" s="4">
        <f t="shared" si="13"/>
        <v>87.829000000000008</v>
      </c>
      <c r="N81" s="4">
        <f t="shared" si="14"/>
        <v>501.88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alp_ecom_conversao_ecom_facebook_social_pagepost_social_got_curte-havaianas_cpm_1200x628_111202</v>
      </c>
      <c r="D82" t="str">
        <f t="shared" si="20"/>
        <v>247894837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alp_ecom_conversao_ecom_facebook_social_pagepost_social_got_curte-havaianas_cpm_1200x628_111202</v>
      </c>
      <c r="G82" t="str">
        <f t="shared" si="22"/>
        <v>444247241</v>
      </c>
      <c r="H82" t="str">
        <f t="shared" si="23"/>
        <v>Tracking</v>
      </c>
      <c r="I82">
        <f t="shared" si="24"/>
        <v>0</v>
      </c>
      <c r="J82">
        <f t="shared" si="25"/>
        <v>11</v>
      </c>
      <c r="K82" s="4">
        <f t="shared" si="15"/>
        <v>3.5000000000000001E-3</v>
      </c>
      <c r="L82">
        <f t="shared" si="16"/>
        <v>0.02</v>
      </c>
      <c r="M82" s="4">
        <f t="shared" si="13"/>
        <v>3.85E-2</v>
      </c>
      <c r="N82" s="4">
        <f t="shared" si="14"/>
        <v>0.22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alp_ecom_conversao_ecom_facebook_social_pagepost_social_got_interesse-got_cpm_1200x628_111202</v>
      </c>
      <c r="D83" t="str">
        <f t="shared" si="20"/>
        <v>247894816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alp_ecom_conversao_ecom_facebook_social_pagepost_social_got_interesse-got_cpm_1200x628_111202</v>
      </c>
      <c r="G83" t="str">
        <f t="shared" si="22"/>
        <v>444247220</v>
      </c>
      <c r="H83" t="str">
        <f t="shared" si="23"/>
        <v>Tracking</v>
      </c>
      <c r="I83">
        <f t="shared" si="24"/>
        <v>0</v>
      </c>
      <c r="J83">
        <f t="shared" si="25"/>
        <v>2228</v>
      </c>
      <c r="K83" s="4">
        <f t="shared" si="15"/>
        <v>3.5000000000000001E-3</v>
      </c>
      <c r="L83">
        <f t="shared" si="16"/>
        <v>0.02</v>
      </c>
      <c r="M83" s="4">
        <f t="shared" si="13"/>
        <v>7.798</v>
      </c>
      <c r="N83" s="4">
        <f t="shared" si="14"/>
        <v>44.56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alp_ecom_conversao_ecom_facebook_social_pagepost_social_got_rmk-30-mobile_cpm_1200x628_111202</v>
      </c>
      <c r="D84" t="str">
        <f t="shared" si="20"/>
        <v>247894819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alp_ecom_conversao_ecom_facebook_social_pagepost_social_got_rmk-30-mobile_cpm_1200x628_111202</v>
      </c>
      <c r="G84" t="str">
        <f t="shared" si="22"/>
        <v>444247223</v>
      </c>
      <c r="H84" t="str">
        <f t="shared" si="23"/>
        <v>Tracking</v>
      </c>
      <c r="I84">
        <f t="shared" si="24"/>
        <v>0</v>
      </c>
      <c r="J84">
        <f t="shared" si="25"/>
        <v>10</v>
      </c>
      <c r="K84" s="4">
        <f t="shared" si="15"/>
        <v>3.5000000000000001E-3</v>
      </c>
      <c r="L84">
        <f t="shared" si="16"/>
        <v>0.02</v>
      </c>
      <c r="M84" s="4">
        <f t="shared" si="13"/>
        <v>3.5000000000000003E-2</v>
      </c>
      <c r="N84" s="4">
        <f t="shared" si="14"/>
        <v>0.2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alp_ecom_conversao_ecom_facebook_social_pagepost_social_harry-potter_curte-havaianas_cpc_1200x628_111119</v>
      </c>
      <c r="D85" t="str">
        <f t="shared" si="20"/>
        <v>242342685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alp_ecom_conversao_ecom_facebook_social_pagepost_social_harry-potter_curte-havaianas_cpc_1200x628_111119</v>
      </c>
      <c r="G85" t="str">
        <f t="shared" si="22"/>
        <v>438874521</v>
      </c>
      <c r="H85" t="str">
        <f t="shared" si="23"/>
        <v>Tracking</v>
      </c>
      <c r="I85">
        <f t="shared" si="24"/>
        <v>0</v>
      </c>
      <c r="J85">
        <f t="shared" si="25"/>
        <v>15</v>
      </c>
      <c r="K85" s="4">
        <f t="shared" si="15"/>
        <v>3.5000000000000001E-3</v>
      </c>
      <c r="L85">
        <f t="shared" si="16"/>
        <v>0.02</v>
      </c>
      <c r="M85" s="4">
        <f t="shared" si="13"/>
        <v>5.2499999999999998E-2</v>
      </c>
      <c r="N85" s="4">
        <f t="shared" si="14"/>
        <v>0.3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alp_ecom_conversao_ecom_facebook_social_pagepost_social_harry-potter_look-1-desk_cpc_1200x628_111119</v>
      </c>
      <c r="D86" t="str">
        <f t="shared" si="20"/>
        <v>242342682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alp_ecom_conversao_ecom_facebook_social_pagepost_social_harry-potter_look-1-desk_cpc_1200x628_111119</v>
      </c>
      <c r="G86" t="str">
        <f t="shared" si="22"/>
        <v>438874518</v>
      </c>
      <c r="H86" t="str">
        <f t="shared" si="23"/>
        <v>Tracking</v>
      </c>
      <c r="I86">
        <f t="shared" si="24"/>
        <v>0</v>
      </c>
      <c r="J86">
        <f t="shared" si="25"/>
        <v>1</v>
      </c>
      <c r="K86" s="4">
        <f t="shared" si="15"/>
        <v>3.5000000000000001E-3</v>
      </c>
      <c r="L86">
        <f t="shared" si="16"/>
        <v>0.02</v>
      </c>
      <c r="M86" s="4">
        <f t="shared" si="13"/>
        <v>3.5000000000000001E-3</v>
      </c>
      <c r="N86" s="4">
        <f t="shared" si="14"/>
        <v>0.02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alp_ecom_conversao_ecom_facebook_social_pagepost_social_harry-potter_rmk-30-mobile_cpc_1200x628_111119</v>
      </c>
      <c r="D87" t="str">
        <f t="shared" si="20"/>
        <v>242342667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alp_ecom_conversao_ecom_facebook_social_pagepost_social_harry-potter_rmk-30-mobile_cpc_1200x628_111119</v>
      </c>
      <c r="G87" t="str">
        <f t="shared" si="22"/>
        <v>438874503</v>
      </c>
      <c r="H87" t="str">
        <f t="shared" si="23"/>
        <v>Tracking</v>
      </c>
      <c r="I87">
        <f t="shared" si="24"/>
        <v>0</v>
      </c>
      <c r="J87">
        <f t="shared" si="25"/>
        <v>8</v>
      </c>
      <c r="K87" s="4">
        <f t="shared" si="15"/>
        <v>3.5000000000000001E-3</v>
      </c>
      <c r="L87">
        <f t="shared" si="16"/>
        <v>0.02</v>
      </c>
      <c r="M87" s="4">
        <f t="shared" si="13"/>
        <v>2.8000000000000001E-2</v>
      </c>
      <c r="N87" s="4">
        <f t="shared" si="14"/>
        <v>0.16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alp_ecom_conversao_ecom_facebook_social_pagepost_social_harry-potter_rmk-30_cpc_1200x628_111119</v>
      </c>
      <c r="D88" t="str">
        <f t="shared" si="20"/>
        <v>242342670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alp_ecom_conversao_ecom_facebook_social_pagepost_social_harry-potter_rmk-30_cpc_1200x628_111119</v>
      </c>
      <c r="G88" t="str">
        <f t="shared" si="22"/>
        <v>438874506</v>
      </c>
      <c r="H88" t="str">
        <f t="shared" si="23"/>
        <v>Tracking</v>
      </c>
      <c r="I88">
        <f t="shared" si="24"/>
        <v>0</v>
      </c>
      <c r="J88">
        <f t="shared" si="25"/>
        <v>2</v>
      </c>
      <c r="K88" s="4">
        <f t="shared" si="15"/>
        <v>3.5000000000000001E-3</v>
      </c>
      <c r="L88">
        <f t="shared" si="16"/>
        <v>0.02</v>
      </c>
      <c r="M88" s="4">
        <f t="shared" si="13"/>
        <v>7.0000000000000001E-3</v>
      </c>
      <c r="N88" s="4">
        <f t="shared" si="14"/>
        <v>0.04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alp_ecom_conversao_ecom_facebook_social_pagepost_social_havaianas-exclusivas_curte-havaianas_cpc_1200x628_111115</v>
      </c>
      <c r="D89" t="str">
        <f t="shared" si="20"/>
        <v>241974517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alp_ecom_conversao_ecom_facebook_social_pagepost_social_havaianas-exclusivas_curte-havaianas_cpc_1200x628_111115</v>
      </c>
      <c r="G89" t="str">
        <f t="shared" si="22"/>
        <v>438842597</v>
      </c>
      <c r="H89" t="str">
        <f t="shared" si="23"/>
        <v>Tracking</v>
      </c>
      <c r="I89">
        <f t="shared" si="24"/>
        <v>0</v>
      </c>
      <c r="J89">
        <f t="shared" si="25"/>
        <v>1</v>
      </c>
      <c r="K89" s="4">
        <f t="shared" si="15"/>
        <v>3.5000000000000001E-3</v>
      </c>
      <c r="L89">
        <f t="shared" si="16"/>
        <v>0.02</v>
      </c>
      <c r="M89" s="4">
        <f t="shared" si="13"/>
        <v>3.5000000000000001E-3</v>
      </c>
      <c r="N89" s="4">
        <f t="shared" si="14"/>
        <v>0.02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alp_ecom_conversao_ecom_facebook_social_pagepost_social_havaianas-novidades_curte-havaianas_cpm_1080x1080_111227</v>
      </c>
      <c r="D90" t="str">
        <f t="shared" si="20"/>
        <v>252208378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alp_ecom_conversao_ecom_facebook_social_pagepost_social_havaianas-novidades_curte-havaianas_cpm_1080x1080_111227</v>
      </c>
      <c r="G90" t="str">
        <f t="shared" si="22"/>
        <v>448258787</v>
      </c>
      <c r="H90" t="str">
        <f t="shared" si="23"/>
        <v>Tracking</v>
      </c>
      <c r="I90">
        <f t="shared" si="24"/>
        <v>0</v>
      </c>
      <c r="J90">
        <f t="shared" si="25"/>
        <v>1</v>
      </c>
      <c r="K90" s="4">
        <f t="shared" si="15"/>
        <v>3.5000000000000001E-3</v>
      </c>
      <c r="L90">
        <f t="shared" si="16"/>
        <v>0.02</v>
      </c>
      <c r="M90" s="4">
        <f t="shared" si="13"/>
        <v>3.5000000000000001E-3</v>
      </c>
      <c r="N90" s="4">
        <f t="shared" si="14"/>
        <v>0.02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alp_ecom_conversao_ecom_facebook_social_pagepost_social_havaianas-novidades_interesse-promocao_cpm_1080x1080_111227</v>
      </c>
      <c r="D91" t="str">
        <f t="shared" si="20"/>
        <v>251878232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alp_ecom_conversao_ecom_facebook_social_pagepost_social_havaianas-novidades_interesse-promocao_cpm_1080x1080_111227</v>
      </c>
      <c r="G91" t="str">
        <f t="shared" si="22"/>
        <v>448342276</v>
      </c>
      <c r="H91" t="str">
        <f t="shared" si="23"/>
        <v>Tracking</v>
      </c>
      <c r="I91">
        <f t="shared" si="24"/>
        <v>0</v>
      </c>
      <c r="J91">
        <f t="shared" si="25"/>
        <v>1</v>
      </c>
      <c r="K91" s="4">
        <f t="shared" si="15"/>
        <v>3.5000000000000001E-3</v>
      </c>
      <c r="L91">
        <f t="shared" si="16"/>
        <v>0.02</v>
      </c>
      <c r="M91" s="4">
        <f t="shared" si="13"/>
        <v>3.5000000000000001E-3</v>
      </c>
      <c r="N91" s="4">
        <f t="shared" si="14"/>
        <v>0.02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alp_ecom_conversao_ecom_facebook_social_pagepost_social_havaianas-novidades_interesse-promocao_cpm_1200x628_111227</v>
      </c>
      <c r="D92" t="str">
        <f t="shared" si="20"/>
        <v>251879663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alp_ecom_conversao_ecom_facebook_social_pagepost_social_havaianas-novidades_interesse-promocao_cpm_1200x628_111227</v>
      </c>
      <c r="G92" t="str">
        <f t="shared" si="22"/>
        <v>448207521</v>
      </c>
      <c r="H92" t="str">
        <f t="shared" si="23"/>
        <v>Tracking</v>
      </c>
      <c r="I92">
        <f t="shared" si="24"/>
        <v>0</v>
      </c>
      <c r="J92">
        <f t="shared" si="25"/>
        <v>625</v>
      </c>
      <c r="K92" s="4">
        <f t="shared" si="15"/>
        <v>3.5000000000000001E-3</v>
      </c>
      <c r="L92">
        <f t="shared" si="16"/>
        <v>0.02</v>
      </c>
      <c r="M92" s="4">
        <f t="shared" si="13"/>
        <v>2.1875</v>
      </c>
      <c r="N92" s="4">
        <f t="shared" si="14"/>
        <v>12.5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alp_ecom_conversao_ecom_facebook_social_pagepost_social_havaianas-novidades_look-1-desk_cpm_1080x1080_111227</v>
      </c>
      <c r="D93" t="str">
        <f t="shared" si="20"/>
        <v>252286389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alp_ecom_conversao_ecom_facebook_social_pagepost_social_havaianas-novidades_look-1-desk_cpm_1080x1080_111227</v>
      </c>
      <c r="G93" t="str">
        <f t="shared" si="22"/>
        <v>448257908</v>
      </c>
      <c r="H93" t="str">
        <f t="shared" si="23"/>
        <v>Tracking</v>
      </c>
      <c r="I93">
        <f t="shared" si="24"/>
        <v>0</v>
      </c>
      <c r="J93">
        <f t="shared" si="25"/>
        <v>1</v>
      </c>
      <c r="K93" s="4">
        <f t="shared" si="15"/>
        <v>3.5000000000000001E-3</v>
      </c>
      <c r="L93">
        <f t="shared" si="16"/>
        <v>0.02</v>
      </c>
      <c r="M93" s="4">
        <f t="shared" si="13"/>
        <v>3.5000000000000001E-3</v>
      </c>
      <c r="N93" s="4">
        <f t="shared" si="14"/>
        <v>0.02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alp_ecom_conversao_ecom_facebook_social_pagepost_social_havaianas-novidades_look-1-mobile_cpm_1080x1080_111227</v>
      </c>
      <c r="D94" t="str">
        <f t="shared" si="20"/>
        <v>251878715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alp_ecom_conversao_ecom_facebook_social_pagepost_social_havaianas-novidades_look-1-mobile_cpm_1080x1080_111227</v>
      </c>
      <c r="G94" t="str">
        <f t="shared" si="22"/>
        <v>448205391</v>
      </c>
      <c r="H94" t="str">
        <f t="shared" si="23"/>
        <v>Tracking</v>
      </c>
      <c r="I94">
        <f t="shared" si="24"/>
        <v>0</v>
      </c>
      <c r="J94">
        <f t="shared" si="25"/>
        <v>1</v>
      </c>
      <c r="K94" s="4">
        <f t="shared" si="15"/>
        <v>3.5000000000000001E-3</v>
      </c>
      <c r="L94">
        <f t="shared" si="16"/>
        <v>0.02</v>
      </c>
      <c r="M94" s="4">
        <f t="shared" si="13"/>
        <v>3.5000000000000001E-3</v>
      </c>
      <c r="N94" s="4">
        <f t="shared" si="14"/>
        <v>0.02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alp_ecom_conversao_ecom_facebook_social_pagepost_social_havaianas-novidades_rmk-30-mobile_cpm_1200x628_111227</v>
      </c>
      <c r="D95" t="str">
        <f t="shared" si="20"/>
        <v>252287298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alp_ecom_conversao_ecom_facebook_social_pagepost_social_havaianas-novidades_rmk-30-mobile_cpm_1200x628_111227</v>
      </c>
      <c r="G95" t="str">
        <f t="shared" si="22"/>
        <v>448205523</v>
      </c>
      <c r="H95" t="str">
        <f t="shared" si="23"/>
        <v>Tracking</v>
      </c>
      <c r="I95">
        <f t="shared" si="24"/>
        <v>0</v>
      </c>
      <c r="J95">
        <f t="shared" si="25"/>
        <v>1</v>
      </c>
      <c r="K95" s="4">
        <f t="shared" si="15"/>
        <v>3.5000000000000001E-3</v>
      </c>
      <c r="L95">
        <f t="shared" si="16"/>
        <v>0.02</v>
      </c>
      <c r="M95" s="4">
        <f t="shared" si="13"/>
        <v>3.5000000000000001E-3</v>
      </c>
      <c r="N95" s="4">
        <f t="shared" si="14"/>
        <v>0.02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alp_ecom_conversao_ecom_facebook_social_pagepost_social_havaianas-novidades_rmk-30_cpm_1080x1080_111227</v>
      </c>
      <c r="D96" t="str">
        <f t="shared" si="20"/>
        <v>251876987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alp_ecom_conversao_ecom_facebook_social_pagepost_social_havaianas-novidades_rmk-30_cpm_1080x1080_111227</v>
      </c>
      <c r="G96" t="str">
        <f t="shared" si="22"/>
        <v>448342957</v>
      </c>
      <c r="H96" t="str">
        <f t="shared" si="23"/>
        <v>Tracking</v>
      </c>
      <c r="I96">
        <f t="shared" si="24"/>
        <v>0</v>
      </c>
      <c r="J96">
        <f t="shared" si="25"/>
        <v>1</v>
      </c>
      <c r="K96" s="4">
        <f t="shared" si="15"/>
        <v>3.5000000000000001E-3</v>
      </c>
      <c r="L96">
        <f t="shared" si="16"/>
        <v>0.02</v>
      </c>
      <c r="M96" s="4">
        <f t="shared" si="13"/>
        <v>3.5000000000000001E-3</v>
      </c>
      <c r="N96" s="4">
        <f t="shared" si="14"/>
        <v>0.02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alp_ecom_conversao_ecom_facebook_social_pagepost_social_havaianas-outlet_curte-havaianas_cpm_1200x628_111205</v>
      </c>
      <c r="D97" t="str">
        <f t="shared" si="20"/>
        <v>248092946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alp_ecom_conversao_ecom_facebook_social_pagepost_social_havaianas-outlet_curte-havaianas_cpm_1200x628_111205</v>
      </c>
      <c r="G97" t="str">
        <f t="shared" si="22"/>
        <v>444520668</v>
      </c>
      <c r="H97" t="str">
        <f t="shared" si="23"/>
        <v>Tracking</v>
      </c>
      <c r="I97">
        <f t="shared" si="24"/>
        <v>0</v>
      </c>
      <c r="J97">
        <f t="shared" si="25"/>
        <v>93</v>
      </c>
      <c r="K97" s="4">
        <f t="shared" si="15"/>
        <v>3.5000000000000001E-3</v>
      </c>
      <c r="L97">
        <f t="shared" si="16"/>
        <v>0.02</v>
      </c>
      <c r="M97" s="4">
        <f t="shared" si="13"/>
        <v>0.32550000000000001</v>
      </c>
      <c r="N97" s="4">
        <f t="shared" si="14"/>
        <v>1.86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alp_ecom_conversao_ecom_facebook_social_pagepost_social_havaianas-outlet_curte-havaianas_cpm_1200x628_111217</v>
      </c>
      <c r="D98" t="str">
        <f t="shared" si="20"/>
        <v>250255604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alp_ecom_conversao_ecom_facebook_social_pagepost_social_havaianas-outlet_curte-havaianas_cpm_1200x628_111217</v>
      </c>
      <c r="G98" t="str">
        <f t="shared" si="22"/>
        <v>446786734</v>
      </c>
      <c r="H98" t="str">
        <f t="shared" si="23"/>
        <v>Tracking</v>
      </c>
      <c r="I98">
        <f t="shared" si="24"/>
        <v>0</v>
      </c>
      <c r="J98">
        <f t="shared" si="25"/>
        <v>2070</v>
      </c>
      <c r="K98" s="4">
        <f t="shared" si="15"/>
        <v>3.5000000000000001E-3</v>
      </c>
      <c r="L98">
        <f t="shared" si="16"/>
        <v>0.02</v>
      </c>
      <c r="M98" s="4">
        <f t="shared" si="13"/>
        <v>7.2450000000000001</v>
      </c>
      <c r="N98" s="4">
        <f t="shared" si="14"/>
        <v>41.4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alp_ecom_conversao_ecom_facebook_social_pagepost_social_havaianas-outlet_interesse-promocao_cpm_1200x628_111205</v>
      </c>
      <c r="D99" t="str">
        <f t="shared" si="20"/>
        <v>248092925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alp_ecom_conversao_ecom_facebook_social_pagepost_social_havaianas-outlet_interesse-promocao_cpm_1200x628_111205</v>
      </c>
      <c r="G99" t="str">
        <f t="shared" si="22"/>
        <v>444520647</v>
      </c>
      <c r="H99" t="str">
        <f t="shared" si="23"/>
        <v>Tracking</v>
      </c>
      <c r="I99">
        <f t="shared" si="24"/>
        <v>0</v>
      </c>
      <c r="J99">
        <f t="shared" si="25"/>
        <v>1756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6.1459999999999999</v>
      </c>
      <c r="N99" s="4">
        <f t="shared" ref="N99:N162" si="27">IF(E99="Dynamic Click",J99*L99,L99*$I99/1000)</f>
        <v>35.119999999999997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alp_ecom_conversao_ecom_facebook_social_pagepost_social_havaianas-outlet_interesse-promocao_cpm_1200x628_111217</v>
      </c>
      <c r="D100" t="str">
        <f t="shared" si="20"/>
        <v>250255583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alp_ecom_conversao_ecom_facebook_social_pagepost_social_havaianas-outlet_interesse-promocao_cpm_1200x628_111217</v>
      </c>
      <c r="G100" t="str">
        <f t="shared" si="22"/>
        <v>446786713</v>
      </c>
      <c r="H100" t="str">
        <f t="shared" si="23"/>
        <v>Tracking</v>
      </c>
      <c r="I100">
        <f t="shared" si="24"/>
        <v>0</v>
      </c>
      <c r="J100">
        <f t="shared" si="25"/>
        <v>21352</v>
      </c>
      <c r="K100" s="4">
        <f t="shared" si="15"/>
        <v>3.5000000000000001E-3</v>
      </c>
      <c r="L100">
        <f t="shared" si="16"/>
        <v>0.02</v>
      </c>
      <c r="M100" s="4">
        <f t="shared" si="26"/>
        <v>74.731999999999999</v>
      </c>
      <c r="N100" s="4">
        <f t="shared" si="27"/>
        <v>427.04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alp_ecom_conversao_ecom_facebook_social_pagepost_social_havaianas-outlet_look-1-desk_cpm_1200x628_111217</v>
      </c>
      <c r="D101" t="str">
        <f t="shared" si="20"/>
        <v>250255601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alp_ecom_conversao_ecom_facebook_social_pagepost_social_havaianas-outlet_look-1-desk_cpm_1200x628_111217</v>
      </c>
      <c r="G101" t="str">
        <f t="shared" si="22"/>
        <v>446786731</v>
      </c>
      <c r="H101" t="str">
        <f t="shared" si="23"/>
        <v>Tracking</v>
      </c>
      <c r="I101">
        <f t="shared" si="24"/>
        <v>0</v>
      </c>
      <c r="J101">
        <f t="shared" si="25"/>
        <v>6</v>
      </c>
      <c r="K101" s="4">
        <f t="shared" si="15"/>
        <v>3.5000000000000001E-3</v>
      </c>
      <c r="L101">
        <f t="shared" si="16"/>
        <v>0.02</v>
      </c>
      <c r="M101" s="4">
        <f t="shared" si="26"/>
        <v>2.1000000000000001E-2</v>
      </c>
      <c r="N101" s="4">
        <f t="shared" si="27"/>
        <v>0.12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alp_ecom_conversao_ecom_facebook_social_pagepost_social_havaianas-outlet_look-1-mobile_cpm_1200x628_111217</v>
      </c>
      <c r="D102" t="str">
        <f t="shared" si="20"/>
        <v>250255598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alp_ecom_conversao_ecom_facebook_social_pagepost_social_havaianas-outlet_look-1-mobile_cpm_1200x628_111217</v>
      </c>
      <c r="G102" t="str">
        <f t="shared" si="22"/>
        <v>446786728</v>
      </c>
      <c r="H102" t="str">
        <f t="shared" si="23"/>
        <v>Tracking</v>
      </c>
      <c r="I102">
        <f t="shared" si="24"/>
        <v>0</v>
      </c>
      <c r="J102">
        <f t="shared" si="25"/>
        <v>93</v>
      </c>
      <c r="K102" s="4">
        <f t="shared" si="15"/>
        <v>3.5000000000000001E-3</v>
      </c>
      <c r="L102">
        <f t="shared" si="16"/>
        <v>0.02</v>
      </c>
      <c r="M102" s="4">
        <f t="shared" si="26"/>
        <v>0.32550000000000001</v>
      </c>
      <c r="N102" s="4">
        <f t="shared" si="27"/>
        <v>1.86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alp_ecom_conversao_ecom_facebook_social_pagepost_social_havaianas-outlet_look-2-desk_cpm_1200x628_111217</v>
      </c>
      <c r="D103" t="str">
        <f t="shared" si="20"/>
        <v>250255595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alp_ecom_conversao_ecom_facebook_social_pagepost_social_havaianas-outlet_look-2-desk_cpm_1200x628_111217</v>
      </c>
      <c r="G103" t="str">
        <f t="shared" si="22"/>
        <v>446786725</v>
      </c>
      <c r="H103" t="str">
        <f t="shared" si="23"/>
        <v>Tracking</v>
      </c>
      <c r="I103">
        <f t="shared" si="24"/>
        <v>0</v>
      </c>
      <c r="J103">
        <f t="shared" si="25"/>
        <v>1</v>
      </c>
      <c r="K103" s="4">
        <f t="shared" si="15"/>
        <v>3.5000000000000001E-3</v>
      </c>
      <c r="L103">
        <f t="shared" si="16"/>
        <v>0.02</v>
      </c>
      <c r="M103" s="4">
        <f t="shared" si="26"/>
        <v>3.5000000000000001E-3</v>
      </c>
      <c r="N103" s="4">
        <f t="shared" si="27"/>
        <v>0.02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alp_ecom_conversao_ecom_facebook_social_pagepost_social_havaianas-outlet_look-2-mobile_cpm_1200x628_111217</v>
      </c>
      <c r="D104" t="str">
        <f t="shared" si="20"/>
        <v>250255592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alp_ecom_conversao_ecom_facebook_social_pagepost_social_havaianas-outlet_look-2-mobile_cpm_1200x628_111217</v>
      </c>
      <c r="G104" t="str">
        <f t="shared" si="22"/>
        <v>446786722</v>
      </c>
      <c r="H104" t="str">
        <f t="shared" si="23"/>
        <v>Tracking</v>
      </c>
      <c r="I104">
        <f t="shared" si="24"/>
        <v>0</v>
      </c>
      <c r="J104">
        <f t="shared" si="25"/>
        <v>70</v>
      </c>
      <c r="K104" s="4">
        <f t="shared" si="15"/>
        <v>3.5000000000000001E-3</v>
      </c>
      <c r="L104">
        <f t="shared" si="16"/>
        <v>0.02</v>
      </c>
      <c r="M104" s="4">
        <f t="shared" si="26"/>
        <v>0.245</v>
      </c>
      <c r="N104" s="4">
        <f t="shared" si="27"/>
        <v>1.4000000000000001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alp_ecom_conversao_ecom_facebook_social_pagepost_social_havaianas-outlet_rmk-30-mobile_cpm_1200x628_111205</v>
      </c>
      <c r="D105" t="str">
        <f t="shared" si="20"/>
        <v>248092928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alp_ecom_conversao_ecom_facebook_social_pagepost_social_havaianas-outlet_rmk-30-mobile_cpm_1200x628_111205</v>
      </c>
      <c r="G105" t="str">
        <f t="shared" si="22"/>
        <v>444520650</v>
      </c>
      <c r="H105" t="str">
        <f t="shared" si="23"/>
        <v>Tracking</v>
      </c>
      <c r="I105">
        <f t="shared" si="24"/>
        <v>0</v>
      </c>
      <c r="J105">
        <f t="shared" si="25"/>
        <v>4</v>
      </c>
      <c r="K105" s="4">
        <f t="shared" si="15"/>
        <v>3.5000000000000001E-3</v>
      </c>
      <c r="L105">
        <f t="shared" si="16"/>
        <v>0.02</v>
      </c>
      <c r="M105" s="4">
        <f t="shared" si="26"/>
        <v>1.4E-2</v>
      </c>
      <c r="N105" s="4">
        <f t="shared" si="27"/>
        <v>0.08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alp_ecom_conversao_ecom_facebook_social_pagepost_social_havaianas-outlet_rmk-30-mobile_cpm_1200x628_111217</v>
      </c>
      <c r="D106" t="str">
        <f t="shared" si="20"/>
        <v>250255586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alp_ecom_conversao_ecom_facebook_social_pagepost_social_havaianas-outlet_rmk-30-mobile_cpm_1200x628_111217</v>
      </c>
      <c r="G106" t="str">
        <f t="shared" si="22"/>
        <v>446786716</v>
      </c>
      <c r="H106" t="str">
        <f t="shared" si="23"/>
        <v>Tracking</v>
      </c>
      <c r="I106">
        <f t="shared" si="24"/>
        <v>0</v>
      </c>
      <c r="J106">
        <f t="shared" si="25"/>
        <v>440</v>
      </c>
      <c r="K106" s="4">
        <f t="shared" si="15"/>
        <v>3.5000000000000001E-3</v>
      </c>
      <c r="L106">
        <f t="shared" si="16"/>
        <v>0.02</v>
      </c>
      <c r="M106" s="4">
        <f t="shared" si="26"/>
        <v>1.54</v>
      </c>
      <c r="N106" s="4">
        <f t="shared" si="27"/>
        <v>8.8000000000000007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alp_ecom_conversao_ecom_facebook_social_pagepost_social_havaianas-outlet_rmk-30_cpm_1200x628_111205</v>
      </c>
      <c r="D107" t="str">
        <f t="shared" si="20"/>
        <v>248092931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alp_ecom_conversao_ecom_facebook_social_pagepost_social_havaianas-outlet_rmk-30_cpm_1200x628_111205</v>
      </c>
      <c r="G107" t="str">
        <f t="shared" si="22"/>
        <v>444520653</v>
      </c>
      <c r="H107" t="str">
        <f t="shared" si="23"/>
        <v>Tracking</v>
      </c>
      <c r="I107">
        <f t="shared" si="24"/>
        <v>0</v>
      </c>
      <c r="J107">
        <f t="shared" si="25"/>
        <v>1</v>
      </c>
      <c r="K107" s="4">
        <f t="shared" si="15"/>
        <v>3.5000000000000001E-3</v>
      </c>
      <c r="L107">
        <f t="shared" si="16"/>
        <v>0.02</v>
      </c>
      <c r="M107" s="4">
        <f t="shared" si="26"/>
        <v>3.5000000000000001E-3</v>
      </c>
      <c r="N107" s="4">
        <f t="shared" si="27"/>
        <v>0.02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alp_ecom_conversao_ecom_facebook_social_pagepost_social_havaianas-outlet_rmk-30_cpm_1200x628_111217</v>
      </c>
      <c r="D108" t="str">
        <f t="shared" si="20"/>
        <v>250255589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alp_ecom_conversao_ecom_facebook_social_pagepost_social_havaianas-outlet_rmk-30_cpm_1200x628_111217</v>
      </c>
      <c r="G108" t="str">
        <f t="shared" si="22"/>
        <v>446786719</v>
      </c>
      <c r="H108" t="str">
        <f t="shared" si="23"/>
        <v>Tracking</v>
      </c>
      <c r="I108">
        <f t="shared" si="24"/>
        <v>0</v>
      </c>
      <c r="J108">
        <f t="shared" si="25"/>
        <v>17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5.9500000000000004E-2</v>
      </c>
      <c r="N108" s="4">
        <f t="shared" si="27"/>
        <v>0.34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alp_ecom_conversao_ecom_facebook_social_pagepost_social_havaianas-tarsila_curte-havaianas_cpm_1200x628_111204</v>
      </c>
      <c r="D109" t="str">
        <f t="shared" si="20"/>
        <v>248200612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alp_ecom_conversao_ecom_facebook_social_pagepost_social_havaianas-tarsila_curte-havaianas_cpm_1200x628_111204</v>
      </c>
      <c r="G109" t="str">
        <f t="shared" si="22"/>
        <v>444464439</v>
      </c>
      <c r="H109" t="str">
        <f t="shared" si="23"/>
        <v>Tracking</v>
      </c>
      <c r="I109">
        <f t="shared" si="24"/>
        <v>0</v>
      </c>
      <c r="J109">
        <f t="shared" si="25"/>
        <v>118</v>
      </c>
      <c r="K109" s="4">
        <f t="shared" si="28"/>
        <v>3.5000000000000001E-3</v>
      </c>
      <c r="L109">
        <f t="shared" si="29"/>
        <v>0.02</v>
      </c>
      <c r="M109" s="4">
        <f t="shared" si="26"/>
        <v>0.41300000000000003</v>
      </c>
      <c r="N109" s="4">
        <f t="shared" si="27"/>
        <v>2.36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alp_ecom_conversao_ecom_facebook_social_pagepost_social_havaianas-tarsila_interesse-artes_cpm_1200x628_111204</v>
      </c>
      <c r="D110" t="str">
        <f t="shared" si="20"/>
        <v>248042777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alp_ecom_conversao_ecom_facebook_social_pagepost_social_havaianas-tarsila_interesse-artes_cpm_1200x628_111204</v>
      </c>
      <c r="G110" t="str">
        <f t="shared" si="22"/>
        <v>444535433</v>
      </c>
      <c r="H110" t="str">
        <f t="shared" si="23"/>
        <v>Tracking</v>
      </c>
      <c r="I110">
        <f t="shared" si="24"/>
        <v>0</v>
      </c>
      <c r="J110">
        <f t="shared" si="25"/>
        <v>74</v>
      </c>
      <c r="K110" s="4">
        <f t="shared" si="28"/>
        <v>3.5000000000000001E-3</v>
      </c>
      <c r="L110">
        <f t="shared" si="29"/>
        <v>0.02</v>
      </c>
      <c r="M110" s="4">
        <f t="shared" si="26"/>
        <v>0.25900000000000001</v>
      </c>
      <c r="N110" s="4">
        <f t="shared" si="27"/>
        <v>1.48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alp_ecom_conversao_ecom_facebook_social_pagepost_social_havaianas-tarsila_look-1-mobile_cpm_1200x628_111204</v>
      </c>
      <c r="D111" t="str">
        <f t="shared" si="20"/>
        <v>248200606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alp_ecom_conversao_ecom_facebook_social_pagepost_social_havaianas-tarsila_look-1-mobile_cpm_1200x628_111204</v>
      </c>
      <c r="G111" t="str">
        <f t="shared" si="22"/>
        <v>444464433</v>
      </c>
      <c r="H111" t="str">
        <f t="shared" si="23"/>
        <v>Tracking</v>
      </c>
      <c r="I111">
        <f t="shared" si="24"/>
        <v>0</v>
      </c>
      <c r="J111">
        <f t="shared" si="25"/>
        <v>4</v>
      </c>
      <c r="K111" s="4">
        <f t="shared" si="28"/>
        <v>3.5000000000000001E-3</v>
      </c>
      <c r="L111">
        <f t="shared" si="29"/>
        <v>0.02</v>
      </c>
      <c r="M111" s="4">
        <f t="shared" si="26"/>
        <v>1.4E-2</v>
      </c>
      <c r="N111" s="4">
        <f t="shared" si="27"/>
        <v>0.08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alp_ecom_conversao_ecom_facebook_social_pagepost_social_havaianas-tarsila_rmk-30-mobile_cpm_1200x628_111204</v>
      </c>
      <c r="D112" t="str">
        <f t="shared" si="20"/>
        <v>248200594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alp_ecom_conversao_ecom_facebook_social_pagepost_social_havaianas-tarsila_rmk-30-mobile_cpm_1200x628_111204</v>
      </c>
      <c r="G112" t="str">
        <f t="shared" si="22"/>
        <v>444464421</v>
      </c>
      <c r="H112" t="str">
        <f t="shared" si="23"/>
        <v>Tracking</v>
      </c>
      <c r="I112">
        <f t="shared" si="24"/>
        <v>0</v>
      </c>
      <c r="J112">
        <f t="shared" si="25"/>
        <v>37</v>
      </c>
      <c r="K112" s="4">
        <f t="shared" si="28"/>
        <v>3.5000000000000001E-3</v>
      </c>
      <c r="L112">
        <f t="shared" si="29"/>
        <v>0.02</v>
      </c>
      <c r="M112" s="4">
        <f t="shared" si="26"/>
        <v>0.1295</v>
      </c>
      <c r="N112" s="4">
        <f t="shared" si="27"/>
        <v>0.74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alp_ecom_conversao_ecom_facebook_social_pagepost_social_havaianas-tarsila_rmk-30_cpm_1200x628_111204</v>
      </c>
      <c r="D113" t="str">
        <f t="shared" si="20"/>
        <v>248200597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alp_ecom_conversao_ecom_facebook_social_pagepost_social_havaianas-tarsila_rmk-30_cpm_1200x628_111204</v>
      </c>
      <c r="G113" t="str">
        <f t="shared" si="22"/>
        <v>444464424</v>
      </c>
      <c r="H113" t="str">
        <f t="shared" si="23"/>
        <v>Tracking</v>
      </c>
      <c r="I113">
        <f t="shared" si="24"/>
        <v>0</v>
      </c>
      <c r="J113">
        <f t="shared" si="25"/>
        <v>1</v>
      </c>
      <c r="K113" s="4">
        <f t="shared" si="28"/>
        <v>3.5000000000000001E-3</v>
      </c>
      <c r="L113">
        <f t="shared" si="29"/>
        <v>0.02</v>
      </c>
      <c r="M113" s="4">
        <f t="shared" si="26"/>
        <v>3.5000000000000001E-3</v>
      </c>
      <c r="N113" s="4">
        <f t="shared" si="27"/>
        <v>0.02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alp_ecom_conversao_ecom_facebook_social_pagepost_social_heroinas_curte-havaianas_cpc_1200x628_111114</v>
      </c>
      <c r="D114" t="str">
        <f t="shared" si="20"/>
        <v>241988938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alp_ecom_conversao_ecom_facebook_social_pagepost_social_heroinas_curte-havaianas_cpc_1200x628_111114</v>
      </c>
      <c r="G114" t="str">
        <f t="shared" si="22"/>
        <v>438842618</v>
      </c>
      <c r="H114" t="str">
        <f t="shared" si="23"/>
        <v>Tracking</v>
      </c>
      <c r="I114">
        <f t="shared" si="24"/>
        <v>0</v>
      </c>
      <c r="J114">
        <f t="shared" si="25"/>
        <v>1</v>
      </c>
      <c r="K114" s="4">
        <f t="shared" si="28"/>
        <v>3.5000000000000001E-3</v>
      </c>
      <c r="L114">
        <f t="shared" si="29"/>
        <v>0.02</v>
      </c>
      <c r="M114" s="4">
        <f t="shared" si="26"/>
        <v>3.5000000000000001E-3</v>
      </c>
      <c r="N114" s="4">
        <f t="shared" si="27"/>
        <v>0.02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alp_ecom_conversao_ecom_facebook_social_pagepost_social_mario-bros_curte-havaianas_cpc_1200x628_111118</v>
      </c>
      <c r="D115" t="str">
        <f t="shared" si="20"/>
        <v>242342706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alp_ecom_conversao_ecom_facebook_social_pagepost_social_mario-bros_curte-havaianas_cpc_1200x628_111118</v>
      </c>
      <c r="G115" t="str">
        <f t="shared" si="22"/>
        <v>438874542</v>
      </c>
      <c r="H115" t="str">
        <f t="shared" si="23"/>
        <v>Tracking</v>
      </c>
      <c r="I115">
        <f t="shared" si="24"/>
        <v>0</v>
      </c>
      <c r="J115">
        <f t="shared" si="25"/>
        <v>83</v>
      </c>
      <c r="K115" s="4">
        <f t="shared" si="28"/>
        <v>3.5000000000000001E-3</v>
      </c>
      <c r="L115">
        <f t="shared" si="29"/>
        <v>0.02</v>
      </c>
      <c r="M115" s="4">
        <f t="shared" si="26"/>
        <v>0.29049999999999998</v>
      </c>
      <c r="N115" s="4">
        <f t="shared" si="27"/>
        <v>1.6600000000000001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alp_ecom_conversao_ecom_facebook_social_pagepost_social_mario-bros_rmk-30-mobile_cpc_1200x628_111118</v>
      </c>
      <c r="D116" t="str">
        <f t="shared" si="20"/>
        <v>242342688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alp_ecom_conversao_ecom_facebook_social_pagepost_social_mario-bros_rmk-30-mobile_cpc_1200x628_111118</v>
      </c>
      <c r="G116" t="str">
        <f t="shared" si="22"/>
        <v>438874524</v>
      </c>
      <c r="H116" t="str">
        <f t="shared" si="23"/>
        <v>Tracking</v>
      </c>
      <c r="I116">
        <f t="shared" si="24"/>
        <v>0</v>
      </c>
      <c r="J116">
        <f t="shared" si="25"/>
        <v>24</v>
      </c>
      <c r="K116" s="4">
        <f t="shared" si="28"/>
        <v>3.5000000000000001E-3</v>
      </c>
      <c r="L116">
        <f t="shared" si="29"/>
        <v>0.02</v>
      </c>
      <c r="M116" s="4">
        <f t="shared" si="26"/>
        <v>8.4000000000000005E-2</v>
      </c>
      <c r="N116" s="4">
        <f t="shared" si="27"/>
        <v>0.48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alp_ecom_conversao_ecom_facebook_social_pagepost_social_mario-bros_rmk-30_cpc_1200x628_111118</v>
      </c>
      <c r="D117" t="str">
        <f t="shared" si="20"/>
        <v>242342691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alp_ecom_conversao_ecom_facebook_social_pagepost_social_mario-bros_rmk-30_cpc_1200x628_111118</v>
      </c>
      <c r="G117" t="str">
        <f t="shared" si="22"/>
        <v>438874527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0.02</v>
      </c>
      <c r="M117" s="4">
        <f t="shared" si="26"/>
        <v>3.5000000000000001E-3</v>
      </c>
      <c r="N117" s="4">
        <f t="shared" si="27"/>
        <v>0.02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alp_ecom_conversao_ecom_facebook_social_pagepost_social_rasteiras-you_curte-havaianas_cpc_1200x628_111113</v>
      </c>
      <c r="D118" t="str">
        <f t="shared" si="20"/>
        <v>242206023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alp_ecom_conversao_ecom_facebook_social_pagepost_social_rasteiras-you_curte-havaianas_cpc_1200x628_111113</v>
      </c>
      <c r="G118" t="str">
        <f t="shared" si="22"/>
        <v>438842639</v>
      </c>
      <c r="H118" t="str">
        <f t="shared" si="23"/>
        <v>Tracking</v>
      </c>
      <c r="I118">
        <f t="shared" si="24"/>
        <v>0</v>
      </c>
      <c r="J118">
        <f t="shared" si="25"/>
        <v>9</v>
      </c>
      <c r="K118" s="4">
        <f t="shared" si="28"/>
        <v>3.5000000000000001E-3</v>
      </c>
      <c r="L118">
        <f t="shared" si="29"/>
        <v>0.02</v>
      </c>
      <c r="M118" s="4">
        <f t="shared" si="26"/>
        <v>3.15E-2</v>
      </c>
      <c r="N118" s="4">
        <f t="shared" si="27"/>
        <v>0.18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alp_ecom_conversao_ecom_facebook_social_pagepost_social_rasteiras-you_look-1-mobile_cpc_1200x628_111113</v>
      </c>
      <c r="D119" t="str">
        <f t="shared" si="20"/>
        <v>242206017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alp_ecom_conversao_ecom_facebook_social_pagepost_social_rasteiras-you_look-1-mobile_cpc_1200x628_111113</v>
      </c>
      <c r="G119" t="str">
        <f t="shared" si="22"/>
        <v>438842633</v>
      </c>
      <c r="H119" t="str">
        <f t="shared" si="23"/>
        <v>Tracking</v>
      </c>
      <c r="I119">
        <f t="shared" si="24"/>
        <v>0</v>
      </c>
      <c r="J119">
        <f t="shared" si="25"/>
        <v>2</v>
      </c>
      <c r="K119" s="4">
        <f t="shared" si="28"/>
        <v>3.5000000000000001E-3</v>
      </c>
      <c r="L119">
        <f t="shared" si="29"/>
        <v>0.02</v>
      </c>
      <c r="M119" s="4">
        <f t="shared" si="26"/>
        <v>7.0000000000000001E-3</v>
      </c>
      <c r="N119" s="4">
        <f t="shared" si="27"/>
        <v>0.04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alp_ecom_conversao_ecom_facebook_social_pagepost_social_rasteiras-you_rmk-30_cpc_1200x628_111113</v>
      </c>
      <c r="D120" t="str">
        <f t="shared" si="20"/>
        <v>242206020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alp_ecom_conversao_ecom_facebook_social_pagepost_social_rasteiras-you_rmk-30_cpc_1200x628_111113</v>
      </c>
      <c r="G120" t="str">
        <f t="shared" si="22"/>
        <v>438842636</v>
      </c>
      <c r="H120" t="str">
        <f t="shared" si="23"/>
        <v>Tracking</v>
      </c>
      <c r="I120">
        <f t="shared" si="24"/>
        <v>0</v>
      </c>
      <c r="J120">
        <f t="shared" si="25"/>
        <v>1</v>
      </c>
      <c r="K120" s="4">
        <f t="shared" si="28"/>
        <v>3.5000000000000001E-3</v>
      </c>
      <c r="L120">
        <f t="shared" si="29"/>
        <v>0.02</v>
      </c>
      <c r="M120" s="4">
        <f t="shared" si="26"/>
        <v>3.5000000000000001E-3</v>
      </c>
      <c r="N120" s="4">
        <f t="shared" si="27"/>
        <v>0.02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alp_ecom_conversao_ecom_facebook_social_pagepost_social_rei-leao_curte-havaianas_cpm_1200x628_111194</v>
      </c>
      <c r="D121" t="str">
        <f t="shared" si="20"/>
        <v>247089788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alp_ecom_conversao_ecom_facebook_social_pagepost_social_rei-leao_curte-havaianas_cpm_1200x628_111194</v>
      </c>
      <c r="G121" t="str">
        <f t="shared" si="22"/>
        <v>443680180</v>
      </c>
      <c r="H121" t="str">
        <f t="shared" si="23"/>
        <v>Tracking</v>
      </c>
      <c r="I121">
        <f t="shared" si="24"/>
        <v>0</v>
      </c>
      <c r="J121">
        <f t="shared" si="25"/>
        <v>649</v>
      </c>
      <c r="K121" s="4">
        <f t="shared" si="28"/>
        <v>3.5000000000000001E-3</v>
      </c>
      <c r="L121">
        <f t="shared" si="29"/>
        <v>0.02</v>
      </c>
      <c r="M121" s="4">
        <f t="shared" si="26"/>
        <v>2.2715000000000001</v>
      </c>
      <c r="N121" s="4">
        <f t="shared" si="27"/>
        <v>12.98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alp_ecom_conversao_ecom_facebook_social_pagepost_social_rei-leao_curte-havaianas_cpm_1200x628_111220</v>
      </c>
      <c r="D122" t="str">
        <f t="shared" si="20"/>
        <v>251366988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alp_ecom_conversao_ecom_facebook_social_pagepost_social_rei-leao_curte-havaianas_cpm_1200x628_111220</v>
      </c>
      <c r="G122" t="str">
        <f t="shared" si="22"/>
        <v>447333132</v>
      </c>
      <c r="H122" t="str">
        <f t="shared" si="23"/>
        <v>Tracking</v>
      </c>
      <c r="I122">
        <f t="shared" si="24"/>
        <v>0</v>
      </c>
      <c r="J122">
        <f t="shared" si="25"/>
        <v>75</v>
      </c>
      <c r="K122" s="4">
        <f t="shared" si="28"/>
        <v>3.5000000000000001E-3</v>
      </c>
      <c r="L122">
        <f t="shared" si="29"/>
        <v>0.02</v>
      </c>
      <c r="M122" s="4">
        <f t="shared" si="26"/>
        <v>0.26250000000000001</v>
      </c>
      <c r="N122" s="4">
        <f t="shared" si="27"/>
        <v>1.5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alp_ecom_conversao_ecom_facebook_social_pagepost_social_rei-leao_interesse-rei-leao_cpm_1200x628_111220</v>
      </c>
      <c r="D123" t="str">
        <f t="shared" si="20"/>
        <v>251366946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alp_ecom_conversao_ecom_facebook_social_pagepost_social_rei-leao_interesse-rei-leao_cpm_1200x628_111220</v>
      </c>
      <c r="G123" t="str">
        <f t="shared" si="22"/>
        <v>447333090</v>
      </c>
      <c r="H123" t="str">
        <f t="shared" si="23"/>
        <v>Tracking</v>
      </c>
      <c r="I123">
        <f t="shared" si="24"/>
        <v>0</v>
      </c>
      <c r="J123">
        <f t="shared" si="25"/>
        <v>331</v>
      </c>
      <c r="K123" s="4">
        <f t="shared" si="28"/>
        <v>3.5000000000000001E-3</v>
      </c>
      <c r="L123">
        <f t="shared" si="29"/>
        <v>0.02</v>
      </c>
      <c r="M123" s="4">
        <f t="shared" si="26"/>
        <v>1.1585000000000001</v>
      </c>
      <c r="N123" s="4">
        <f t="shared" si="27"/>
        <v>6.62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alp_ecom_conversao_ecom_facebook_social_pagepost_social_rei-leao_look-1-desk_cpm_1200x628_111194</v>
      </c>
      <c r="D124" t="str">
        <f t="shared" si="20"/>
        <v>247089782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alp_ecom_conversao_ecom_facebook_social_pagepost_social_rei-leao_look-1-desk_cpm_1200x628_111194</v>
      </c>
      <c r="G124" t="str">
        <f t="shared" si="22"/>
        <v>443680174</v>
      </c>
      <c r="H124" t="str">
        <f t="shared" si="23"/>
        <v>Tracking</v>
      </c>
      <c r="I124">
        <f t="shared" si="24"/>
        <v>0</v>
      </c>
      <c r="J124">
        <f t="shared" si="25"/>
        <v>18</v>
      </c>
      <c r="K124" s="4">
        <f t="shared" si="28"/>
        <v>3.5000000000000001E-3</v>
      </c>
      <c r="L124">
        <f t="shared" si="29"/>
        <v>0.02</v>
      </c>
      <c r="M124" s="4">
        <f t="shared" si="26"/>
        <v>6.3E-2</v>
      </c>
      <c r="N124" s="4">
        <f t="shared" si="27"/>
        <v>0.36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alp_ecom_conversao_ecom_facebook_social_pagepost_social_rei-leao_look-1-desk_cpm_1200x628_111220</v>
      </c>
      <c r="D125" t="str">
        <f t="shared" si="20"/>
        <v>251366982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alp_ecom_conversao_ecom_facebook_social_pagepost_social_rei-leao_look-1-desk_cpm_1200x628_111220</v>
      </c>
      <c r="G125" t="str">
        <f t="shared" si="22"/>
        <v>447333126</v>
      </c>
      <c r="H125" t="str">
        <f t="shared" si="23"/>
        <v>Tracking</v>
      </c>
      <c r="I125">
        <f t="shared" si="24"/>
        <v>0</v>
      </c>
      <c r="J125">
        <f t="shared" si="25"/>
        <v>2</v>
      </c>
      <c r="K125" s="4">
        <f t="shared" si="28"/>
        <v>3.5000000000000001E-3</v>
      </c>
      <c r="L125">
        <f t="shared" si="29"/>
        <v>0.02</v>
      </c>
      <c r="M125" s="4">
        <f t="shared" si="26"/>
        <v>7.0000000000000001E-3</v>
      </c>
      <c r="N125" s="4">
        <f t="shared" si="27"/>
        <v>0.04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alp_ecom_conversao_ecom_facebook_social_pagepost_social_rei-leao_look-1-mobile_cpm_1200x628_111194</v>
      </c>
      <c r="D126" t="str">
        <f t="shared" si="20"/>
        <v>247089776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alp_ecom_conversao_ecom_facebook_social_pagepost_social_rei-leao_look-1-mobile_cpm_1200x628_111194</v>
      </c>
      <c r="G126" t="str">
        <f t="shared" si="22"/>
        <v>443680168</v>
      </c>
      <c r="H126" t="str">
        <f t="shared" si="23"/>
        <v>Tracking</v>
      </c>
      <c r="I126">
        <f t="shared" si="24"/>
        <v>0</v>
      </c>
      <c r="J126">
        <f t="shared" si="25"/>
        <v>140</v>
      </c>
      <c r="K126" s="4">
        <f t="shared" si="28"/>
        <v>3.5000000000000001E-3</v>
      </c>
      <c r="L126">
        <f t="shared" si="29"/>
        <v>0.02</v>
      </c>
      <c r="M126" s="4">
        <f t="shared" si="26"/>
        <v>0.49</v>
      </c>
      <c r="N126" s="4">
        <f t="shared" si="27"/>
        <v>2.8000000000000003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alp_ecom_conversao_ecom_facebook_social_pagepost_social_rei-leao_look-1-mobile_cpm_1200x628_111220</v>
      </c>
      <c r="D127" t="str">
        <f t="shared" si="20"/>
        <v>251366976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alp_ecom_conversao_ecom_facebook_social_pagepost_social_rei-leao_look-1-mobile_cpm_1200x628_111220</v>
      </c>
      <c r="G127" t="str">
        <f t="shared" si="22"/>
        <v>447333120</v>
      </c>
      <c r="H127" t="str">
        <f t="shared" si="23"/>
        <v>Tracking</v>
      </c>
      <c r="I127">
        <f t="shared" si="24"/>
        <v>0</v>
      </c>
      <c r="J127">
        <f t="shared" si="25"/>
        <v>7</v>
      </c>
      <c r="K127" s="4">
        <f t="shared" si="28"/>
        <v>3.5000000000000001E-3</v>
      </c>
      <c r="L127">
        <f t="shared" si="29"/>
        <v>0.02</v>
      </c>
      <c r="M127" s="4">
        <f t="shared" si="26"/>
        <v>2.4500000000000001E-2</v>
      </c>
      <c r="N127" s="4">
        <f t="shared" si="27"/>
        <v>0.14000000000000001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alp_ecom_conversao_ecom_facebook_social_pagepost_social_rei-leao_look-2-mobile_cpm_1200x628_111194</v>
      </c>
      <c r="D128" t="str">
        <f t="shared" si="20"/>
        <v>247089764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alp_ecom_conversao_ecom_facebook_social_pagepost_social_rei-leao_look-2-mobile_cpm_1200x628_111194</v>
      </c>
      <c r="G128" t="str">
        <f t="shared" si="22"/>
        <v>443680156</v>
      </c>
      <c r="H128" t="str">
        <f t="shared" si="23"/>
        <v>Tracking</v>
      </c>
      <c r="I128">
        <f t="shared" si="24"/>
        <v>0</v>
      </c>
      <c r="J128">
        <f t="shared" si="25"/>
        <v>106</v>
      </c>
      <c r="K128" s="4">
        <f t="shared" si="28"/>
        <v>3.5000000000000001E-3</v>
      </c>
      <c r="L128">
        <f t="shared" si="29"/>
        <v>0.02</v>
      </c>
      <c r="M128" s="4">
        <f t="shared" si="26"/>
        <v>0.371</v>
      </c>
      <c r="N128" s="4">
        <f t="shared" si="27"/>
        <v>2.12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alp_ecom_conversao_ecom_facebook_social_pagepost_social_rei-leao_look-2-mobile_cpm_1200x628_111220</v>
      </c>
      <c r="D129" t="str">
        <f t="shared" si="20"/>
        <v>251366964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alp_ecom_conversao_ecom_facebook_social_pagepost_social_rei-leao_look-2-mobile_cpm_1200x628_111220</v>
      </c>
      <c r="G129" t="str">
        <f t="shared" si="22"/>
        <v>447333108</v>
      </c>
      <c r="H129" t="str">
        <f t="shared" si="23"/>
        <v>Tracking</v>
      </c>
      <c r="I129">
        <f t="shared" si="24"/>
        <v>0</v>
      </c>
      <c r="J129">
        <f t="shared" si="25"/>
        <v>4</v>
      </c>
      <c r="K129" s="4">
        <f t="shared" si="28"/>
        <v>3.5000000000000001E-3</v>
      </c>
      <c r="L129">
        <f t="shared" si="29"/>
        <v>0.02</v>
      </c>
      <c r="M129" s="4">
        <f t="shared" si="26"/>
        <v>1.4E-2</v>
      </c>
      <c r="N129" s="4">
        <f t="shared" si="27"/>
        <v>0.08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alp_ecom_conversao_ecom_facebook_social_pagepost_social_rei-leao_rmk-30-mobile_cpm_1200x628_111194</v>
      </c>
      <c r="D130" t="str">
        <f t="shared" ref="D130:D193" si="33">bd_placementID</f>
        <v>247089752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alp_ecom_conversao_ecom_facebook_social_pagepost_social_rei-leao_rmk-30-mobile_cpm_1200x628_111194</v>
      </c>
      <c r="G130" t="str">
        <f t="shared" ref="G130:G193" si="35">bd_adid</f>
        <v>443680144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277</v>
      </c>
      <c r="K130" s="4">
        <f t="shared" si="28"/>
        <v>3.5000000000000001E-3</v>
      </c>
      <c r="L130">
        <f t="shared" si="29"/>
        <v>0.02</v>
      </c>
      <c r="M130" s="4">
        <f t="shared" si="26"/>
        <v>0.96950000000000003</v>
      </c>
      <c r="N130" s="4">
        <f t="shared" si="27"/>
        <v>5.54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alp_ecom_conversao_ecom_facebook_social_pagepost_social_rei-leao_rmk-30-mobile_cpm_1200x628_111220</v>
      </c>
      <c r="D131" t="str">
        <f t="shared" si="33"/>
        <v>251366952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alp_ecom_conversao_ecom_facebook_social_pagepost_social_rei-leao_rmk-30-mobile_cpm_1200x628_111220</v>
      </c>
      <c r="G131" t="str">
        <f t="shared" si="35"/>
        <v>447333096</v>
      </c>
      <c r="H131" t="str">
        <f t="shared" si="36"/>
        <v>Tracking</v>
      </c>
      <c r="I131">
        <f t="shared" si="37"/>
        <v>0</v>
      </c>
      <c r="J131">
        <f t="shared" si="38"/>
        <v>10</v>
      </c>
      <c r="K131" s="4">
        <f t="shared" si="28"/>
        <v>3.5000000000000001E-3</v>
      </c>
      <c r="L131">
        <f t="shared" si="29"/>
        <v>0.02</v>
      </c>
      <c r="M131" s="4">
        <f t="shared" si="26"/>
        <v>3.5000000000000003E-2</v>
      </c>
      <c r="N131" s="4">
        <f t="shared" si="27"/>
        <v>0.2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alp_ecom_conversao_ecom_facebook_social_pagepost_social_rei-leao_rmk-30_cpm_1200x628_111194</v>
      </c>
      <c r="D132" t="str">
        <f t="shared" si="33"/>
        <v>247089758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alp_ecom_conversao_ecom_facebook_social_pagepost_social_rei-leao_rmk-30_cpm_1200x628_111194</v>
      </c>
      <c r="G132" t="str">
        <f t="shared" si="35"/>
        <v>443680150</v>
      </c>
      <c r="H132" t="str">
        <f t="shared" si="36"/>
        <v>Tracking</v>
      </c>
      <c r="I132">
        <f t="shared" si="37"/>
        <v>0</v>
      </c>
      <c r="J132">
        <f t="shared" si="38"/>
        <v>9</v>
      </c>
      <c r="K132" s="4">
        <f t="shared" si="28"/>
        <v>3.5000000000000001E-3</v>
      </c>
      <c r="L132">
        <f t="shared" si="29"/>
        <v>0.02</v>
      </c>
      <c r="M132" s="4">
        <f t="shared" si="26"/>
        <v>3.15E-2</v>
      </c>
      <c r="N132" s="4">
        <f t="shared" si="27"/>
        <v>0.18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alp_ecom_conversao_ecom_facebook_social_pagepost_social_sao-joao_curte-havaianas_cpm_1200x628_111210</v>
      </c>
      <c r="D133" t="str">
        <f t="shared" si="33"/>
        <v>248595644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alp_ecom_conversao_ecom_facebook_social_pagepost_social_sao-joao_curte-havaianas_cpm_1200x628_111210</v>
      </c>
      <c r="G133" t="str">
        <f t="shared" si="35"/>
        <v>445067264</v>
      </c>
      <c r="H133" t="str">
        <f t="shared" si="36"/>
        <v>Tracking</v>
      </c>
      <c r="I133">
        <f t="shared" si="37"/>
        <v>0</v>
      </c>
      <c r="J133">
        <f t="shared" si="38"/>
        <v>7</v>
      </c>
      <c r="K133" s="4">
        <f t="shared" si="28"/>
        <v>3.5000000000000001E-3</v>
      </c>
      <c r="L133">
        <f t="shared" si="29"/>
        <v>0.02</v>
      </c>
      <c r="M133" s="4">
        <f t="shared" si="26"/>
        <v>2.4500000000000001E-2</v>
      </c>
      <c r="N133" s="4">
        <f t="shared" si="27"/>
        <v>0.14000000000000001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alp_ecom_conversao_ecom_facebook_social_pagepost_social_sao-joao_rmk-30-mobile_cpm_1200x628_111210</v>
      </c>
      <c r="D134" t="str">
        <f t="shared" si="33"/>
        <v>248595623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alp_ecom_conversao_ecom_facebook_social_pagepost_social_sao-joao_rmk-30-mobile_cpm_1200x628_111210</v>
      </c>
      <c r="G134" t="str">
        <f t="shared" si="35"/>
        <v>445067243</v>
      </c>
      <c r="H134" t="str">
        <f t="shared" si="36"/>
        <v>Tracking</v>
      </c>
      <c r="I134">
        <f t="shared" si="37"/>
        <v>0</v>
      </c>
      <c r="J134">
        <f t="shared" si="38"/>
        <v>4</v>
      </c>
      <c r="K134" s="4">
        <f t="shared" si="28"/>
        <v>3.5000000000000001E-3</v>
      </c>
      <c r="L134">
        <f t="shared" si="29"/>
        <v>0.02</v>
      </c>
      <c r="M134" s="4">
        <f t="shared" si="26"/>
        <v>1.4E-2</v>
      </c>
      <c r="N134" s="4">
        <f t="shared" si="27"/>
        <v>0.08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alp_ecom_conversao_ecom_facebook_social_pagepost_social_simpsons_curte-havaianas_cpc_1200x628_111116</v>
      </c>
      <c r="D135" t="str">
        <f t="shared" si="33"/>
        <v>242342664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alp_ecom_conversao_ecom_facebook_social_pagepost_social_simpsons_curte-havaianas_cpc_1200x628_111116</v>
      </c>
      <c r="G135" t="str">
        <f t="shared" si="35"/>
        <v>438874500</v>
      </c>
      <c r="H135" t="str">
        <f t="shared" si="36"/>
        <v>Tracking</v>
      </c>
      <c r="I135">
        <f t="shared" si="37"/>
        <v>0</v>
      </c>
      <c r="J135">
        <f t="shared" si="38"/>
        <v>1</v>
      </c>
      <c r="K135" s="4">
        <f t="shared" si="28"/>
        <v>3.5000000000000001E-3</v>
      </c>
      <c r="L135">
        <f t="shared" si="29"/>
        <v>0.02</v>
      </c>
      <c r="M135" s="4">
        <f t="shared" si="26"/>
        <v>3.5000000000000001E-3</v>
      </c>
      <c r="N135" s="4">
        <f t="shared" si="27"/>
        <v>0.02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alp_ecom_conversao_ecom_facebook_social_pagepost_social_slim-hits_curte-havaianas_cpm_1200x628_111200</v>
      </c>
      <c r="D136" t="str">
        <f t="shared" si="33"/>
        <v>247726396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alp_ecom_conversao_ecom_facebook_social_pagepost_social_slim-hits_curte-havaianas_cpm_1200x628_111200</v>
      </c>
      <c r="G136" t="str">
        <f t="shared" si="35"/>
        <v>443998716</v>
      </c>
      <c r="H136" t="str">
        <f t="shared" si="36"/>
        <v>Tracking</v>
      </c>
      <c r="I136">
        <f t="shared" si="37"/>
        <v>0</v>
      </c>
      <c r="J136">
        <f t="shared" si="38"/>
        <v>6636</v>
      </c>
      <c r="K136" s="4">
        <f t="shared" si="28"/>
        <v>3.5000000000000001E-3</v>
      </c>
      <c r="L136">
        <f t="shared" si="29"/>
        <v>0.02</v>
      </c>
      <c r="M136" s="4">
        <f t="shared" si="26"/>
        <v>23.225999999999999</v>
      </c>
      <c r="N136" s="4">
        <f t="shared" si="27"/>
        <v>132.72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alp_ecom_conversao_ecom_facebook_social_pagepost_social_slim-hits_look-1-desk_cpm_1200x628_111200</v>
      </c>
      <c r="D137" t="str">
        <f t="shared" si="33"/>
        <v>247726393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alp_ecom_conversao_ecom_facebook_social_pagepost_social_slim-hits_look-1-desk_cpm_1200x628_111200</v>
      </c>
      <c r="G137" t="str">
        <f t="shared" si="35"/>
        <v>443998713</v>
      </c>
      <c r="H137" t="str">
        <f t="shared" si="36"/>
        <v>Tracking</v>
      </c>
      <c r="I137">
        <f t="shared" si="37"/>
        <v>0</v>
      </c>
      <c r="J137">
        <f t="shared" si="38"/>
        <v>14</v>
      </c>
      <c r="K137" s="4">
        <f t="shared" si="28"/>
        <v>3.5000000000000001E-3</v>
      </c>
      <c r="L137">
        <f t="shared" si="29"/>
        <v>0.02</v>
      </c>
      <c r="M137" s="4">
        <f t="shared" si="26"/>
        <v>4.9000000000000002E-2</v>
      </c>
      <c r="N137" s="4">
        <f t="shared" si="27"/>
        <v>0.28000000000000003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alp_ecom_conversao_ecom_facebook_social_pagepost_social_slim-hits_look-1-mobile_cpm_1200x628_111200</v>
      </c>
      <c r="D138" t="str">
        <f t="shared" si="33"/>
        <v>247726390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alp_ecom_conversao_ecom_facebook_social_pagepost_social_slim-hits_look-1-mobile_cpm_1200x628_111200</v>
      </c>
      <c r="G138" t="str">
        <f t="shared" si="35"/>
        <v>443998710</v>
      </c>
      <c r="H138" t="str">
        <f t="shared" si="36"/>
        <v>Tracking</v>
      </c>
      <c r="I138">
        <f t="shared" si="37"/>
        <v>0</v>
      </c>
      <c r="J138">
        <f t="shared" si="38"/>
        <v>129</v>
      </c>
      <c r="K138" s="4">
        <f t="shared" si="28"/>
        <v>3.5000000000000001E-3</v>
      </c>
      <c r="L138">
        <f t="shared" si="29"/>
        <v>0.02</v>
      </c>
      <c r="M138" s="4">
        <f t="shared" si="26"/>
        <v>0.45150000000000001</v>
      </c>
      <c r="N138" s="4">
        <f t="shared" si="27"/>
        <v>2.58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alp_ecom_conversao_ecom_facebook_social_pagepost_social_slim-hits_look-2-desk_cpm_1200x628_111200</v>
      </c>
      <c r="D139" t="str">
        <f t="shared" si="33"/>
        <v>247726387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alp_ecom_conversao_ecom_facebook_social_pagepost_social_slim-hits_look-2-desk_cpm_1200x628_111200</v>
      </c>
      <c r="G139" t="str">
        <f t="shared" si="35"/>
        <v>443998707</v>
      </c>
      <c r="H139" t="str">
        <f t="shared" si="36"/>
        <v>Tracking</v>
      </c>
      <c r="I139">
        <f t="shared" si="37"/>
        <v>0</v>
      </c>
      <c r="J139">
        <f t="shared" si="38"/>
        <v>3</v>
      </c>
      <c r="K139" s="4">
        <f t="shared" si="28"/>
        <v>3.5000000000000001E-3</v>
      </c>
      <c r="L139">
        <f t="shared" si="29"/>
        <v>0.02</v>
      </c>
      <c r="M139" s="4">
        <f t="shared" si="26"/>
        <v>1.0500000000000001E-2</v>
      </c>
      <c r="N139" s="4">
        <f t="shared" si="27"/>
        <v>0.06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alp_ecom_conversao_ecom_facebook_social_pagepost_social_slim-hits_look-2-mobile_cpm_1200x628_111200</v>
      </c>
      <c r="D140" t="str">
        <f t="shared" si="33"/>
        <v>247726384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alp_ecom_conversao_ecom_facebook_social_pagepost_social_slim-hits_look-2-mobile_cpm_1200x628_111200</v>
      </c>
      <c r="G140" t="str">
        <f t="shared" si="35"/>
        <v>443998704</v>
      </c>
      <c r="H140" t="str">
        <f t="shared" si="36"/>
        <v>Tracking</v>
      </c>
      <c r="I140">
        <f t="shared" si="37"/>
        <v>0</v>
      </c>
      <c r="J140">
        <f t="shared" si="38"/>
        <v>227</v>
      </c>
      <c r="K140" s="4">
        <f t="shared" si="28"/>
        <v>3.5000000000000001E-3</v>
      </c>
      <c r="L140">
        <f t="shared" si="29"/>
        <v>0.02</v>
      </c>
      <c r="M140" s="4">
        <f t="shared" si="26"/>
        <v>0.79449999999999998</v>
      </c>
      <c r="N140" s="4">
        <f t="shared" si="27"/>
        <v>4.54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alp_ecom_conversao_ecom_facebook_social_pagepost_social_slim-hits_rmk-30-mobile_cpm_1200x628_111200</v>
      </c>
      <c r="D141" t="str">
        <f t="shared" si="33"/>
        <v>247726378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alp_ecom_conversao_ecom_facebook_social_pagepost_social_slim-hits_rmk-30-mobile_cpm_1200x628_111200</v>
      </c>
      <c r="G141" t="str">
        <f t="shared" si="35"/>
        <v>443998698</v>
      </c>
      <c r="H141" t="str">
        <f t="shared" si="36"/>
        <v>Tracking</v>
      </c>
      <c r="I141">
        <f t="shared" si="37"/>
        <v>0</v>
      </c>
      <c r="J141">
        <f t="shared" si="38"/>
        <v>59</v>
      </c>
      <c r="K141" s="4">
        <f t="shared" si="28"/>
        <v>3.5000000000000001E-3</v>
      </c>
      <c r="L141">
        <f t="shared" si="29"/>
        <v>0.02</v>
      </c>
      <c r="M141" s="4">
        <f t="shared" si="26"/>
        <v>0.20650000000000002</v>
      </c>
      <c r="N141" s="4">
        <f t="shared" si="27"/>
        <v>1.18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alp_ecom_conversao_ecom_facebook_social_pagepost_social_slim-hits_rmk-30_cpm_1200x628_111200</v>
      </c>
      <c r="D142" t="str">
        <f t="shared" si="33"/>
        <v>247726381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alp_ecom_conversao_ecom_facebook_social_pagepost_social_slim-hits_rmk-30_cpm_1200x628_111200</v>
      </c>
      <c r="G142" t="str">
        <f t="shared" si="35"/>
        <v>443998701</v>
      </c>
      <c r="H142" t="str">
        <f t="shared" si="36"/>
        <v>Tracking</v>
      </c>
      <c r="I142">
        <f t="shared" si="37"/>
        <v>0</v>
      </c>
      <c r="J142">
        <f t="shared" si="38"/>
        <v>12</v>
      </c>
      <c r="K142" s="4">
        <f t="shared" si="28"/>
        <v>3.5000000000000001E-3</v>
      </c>
      <c r="L142">
        <f t="shared" si="29"/>
        <v>0.02</v>
      </c>
      <c r="M142" s="4">
        <f t="shared" si="26"/>
        <v>4.2000000000000003E-2</v>
      </c>
      <c r="N142" s="4">
        <f t="shared" si="27"/>
        <v>0.24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alp_ecom_conversao_ecom_facebook_social_pagepost_social_stranger-things_curte-havaianas_cpm_1080x1080_111214</v>
      </c>
      <c r="D143" t="str">
        <f t="shared" si="33"/>
        <v>250561323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alp_ecom_conversao_ecom_facebook_social_pagepost_social_stranger-things_curte-havaianas_cpm_1080x1080_111214</v>
      </c>
      <c r="G143" t="str">
        <f t="shared" si="35"/>
        <v>446675965</v>
      </c>
      <c r="H143" t="str">
        <f t="shared" si="36"/>
        <v>Tracking</v>
      </c>
      <c r="I143">
        <f t="shared" si="37"/>
        <v>0</v>
      </c>
      <c r="J143">
        <f t="shared" si="38"/>
        <v>148</v>
      </c>
      <c r="K143" s="4">
        <f t="shared" si="28"/>
        <v>3.5000000000000001E-3</v>
      </c>
      <c r="L143">
        <f t="shared" si="29"/>
        <v>0.02</v>
      </c>
      <c r="M143" s="4">
        <f t="shared" si="26"/>
        <v>0.51800000000000002</v>
      </c>
      <c r="N143" s="4">
        <f t="shared" si="27"/>
        <v>2.96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alp_ecom_conversao_ecom_facebook_social_pagepost_social_stranger-things_interesses-stranger-things_cpm_1080x1080_111214</v>
      </c>
      <c r="D144" t="str">
        <f t="shared" si="33"/>
        <v>250155809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alp_ecom_conversao_ecom_facebook_social_pagepost_social_stranger-things_interesses-stranger-things_cpm_1080x1080_111214</v>
      </c>
      <c r="G144" t="str">
        <f t="shared" si="35"/>
        <v>446691607</v>
      </c>
      <c r="H144" t="str">
        <f t="shared" si="36"/>
        <v>Tracking</v>
      </c>
      <c r="I144">
        <f t="shared" si="37"/>
        <v>0</v>
      </c>
      <c r="J144">
        <f t="shared" si="38"/>
        <v>66</v>
      </c>
      <c r="K144" s="4">
        <f t="shared" si="28"/>
        <v>3.5000000000000001E-3</v>
      </c>
      <c r="L144">
        <f t="shared" si="29"/>
        <v>0.02</v>
      </c>
      <c r="M144" s="4">
        <f t="shared" si="26"/>
        <v>0.23100000000000001</v>
      </c>
      <c r="N144" s="4">
        <f t="shared" si="27"/>
        <v>1.32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alp_ecom_conversao_ecom_facebook_social_pagepost_social_stranger-things_look-1-desk_cpm_1080x1080_111214</v>
      </c>
      <c r="D145" t="str">
        <f t="shared" si="33"/>
        <v>250561317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alp_ecom_conversao_ecom_facebook_social_pagepost_social_stranger-things_look-1-desk_cpm_1080x1080_111214</v>
      </c>
      <c r="G145" t="str">
        <f t="shared" si="35"/>
        <v>446675971</v>
      </c>
      <c r="H145" t="str">
        <f t="shared" si="36"/>
        <v>Tracking</v>
      </c>
      <c r="I145">
        <f t="shared" si="37"/>
        <v>0</v>
      </c>
      <c r="J145">
        <f t="shared" si="38"/>
        <v>1</v>
      </c>
      <c r="K145" s="4">
        <f t="shared" si="28"/>
        <v>3.5000000000000001E-3</v>
      </c>
      <c r="L145">
        <f t="shared" si="29"/>
        <v>0.02</v>
      </c>
      <c r="M145" s="4">
        <f t="shared" si="26"/>
        <v>3.5000000000000001E-3</v>
      </c>
      <c r="N145" s="4">
        <f t="shared" si="27"/>
        <v>0.02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alp_ecom_conversao_ecom_facebook_social_pagepost_social_stranger-things_look-1-mobile_cpm_1080x1080_111214</v>
      </c>
      <c r="D146" t="str">
        <f t="shared" si="33"/>
        <v>250561311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alp_ecom_conversao_ecom_facebook_social_pagepost_social_stranger-things_look-1-mobile_cpm_1080x1080_111214</v>
      </c>
      <c r="G146" t="str">
        <f t="shared" si="35"/>
        <v>446675977</v>
      </c>
      <c r="H146" t="str">
        <f t="shared" si="36"/>
        <v>Tracking</v>
      </c>
      <c r="I146">
        <f t="shared" si="37"/>
        <v>0</v>
      </c>
      <c r="J146">
        <f t="shared" si="38"/>
        <v>27</v>
      </c>
      <c r="K146" s="4">
        <f t="shared" si="28"/>
        <v>3.5000000000000001E-3</v>
      </c>
      <c r="L146">
        <f t="shared" si="29"/>
        <v>0.02</v>
      </c>
      <c r="M146" s="4">
        <f t="shared" si="26"/>
        <v>9.4500000000000001E-2</v>
      </c>
      <c r="N146" s="4">
        <f t="shared" si="27"/>
        <v>0.54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alp_ecom_conversao_ecom_facebook_social_pagepost_social_stranger-things_rmk-30-mobile_cpm_1080x1080_111214</v>
      </c>
      <c r="D147" t="str">
        <f t="shared" si="33"/>
        <v>250561287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alp_ecom_conversao_ecom_facebook_social_pagepost_social_stranger-things_rmk-30-mobile_cpm_1080x1080_111214</v>
      </c>
      <c r="G147" t="str">
        <f t="shared" si="35"/>
        <v>446676001</v>
      </c>
      <c r="H147" t="str">
        <f t="shared" si="36"/>
        <v>Tracking</v>
      </c>
      <c r="I147">
        <f t="shared" si="37"/>
        <v>0</v>
      </c>
      <c r="J147">
        <f t="shared" si="38"/>
        <v>31</v>
      </c>
      <c r="K147" s="4">
        <f t="shared" si="28"/>
        <v>3.5000000000000001E-3</v>
      </c>
      <c r="L147">
        <f t="shared" si="29"/>
        <v>0.02</v>
      </c>
      <c r="M147" s="4">
        <f t="shared" si="26"/>
        <v>0.1085</v>
      </c>
      <c r="N147" s="4">
        <f t="shared" si="27"/>
        <v>0.62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alp_ecom_conversao_ecom_facebook_social_pagepost_social_stranger-things_rmk-30_cpm_1080x1080_111214</v>
      </c>
      <c r="D148" t="str">
        <f t="shared" si="33"/>
        <v>250561293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alp_ecom_conversao_ecom_facebook_social_pagepost_social_stranger-things_rmk-30_cpm_1080x1080_111214</v>
      </c>
      <c r="G148" t="str">
        <f t="shared" si="35"/>
        <v>446675995</v>
      </c>
      <c r="H148" t="str">
        <f t="shared" si="36"/>
        <v>Tracking</v>
      </c>
      <c r="I148">
        <f t="shared" si="37"/>
        <v>0</v>
      </c>
      <c r="J148">
        <f t="shared" si="38"/>
        <v>2</v>
      </c>
      <c r="K148" s="4">
        <f t="shared" si="28"/>
        <v>3.5000000000000001E-3</v>
      </c>
      <c r="L148">
        <f t="shared" si="29"/>
        <v>0.02</v>
      </c>
      <c r="M148" s="4">
        <f t="shared" si="26"/>
        <v>7.0000000000000001E-3</v>
      </c>
      <c r="N148" s="4">
        <f t="shared" si="27"/>
        <v>0.04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alp_ecom_conversao_ecom_facebook_social_pagepost_social_toy-story_curte-havaianas_cpm_1200x628_111212</v>
      </c>
      <c r="D149" t="str">
        <f t="shared" si="33"/>
        <v>249650824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alp_ecom_conversao_ecom_facebook_social_pagepost_social_toy-story_curte-havaianas_cpm_1200x628_111212</v>
      </c>
      <c r="G149" t="str">
        <f t="shared" si="35"/>
        <v>445753527</v>
      </c>
      <c r="H149" t="str">
        <f t="shared" si="36"/>
        <v>Tracking</v>
      </c>
      <c r="I149">
        <f t="shared" si="37"/>
        <v>0</v>
      </c>
      <c r="J149">
        <f t="shared" si="38"/>
        <v>227</v>
      </c>
      <c r="K149" s="4">
        <f t="shared" si="28"/>
        <v>3.5000000000000001E-3</v>
      </c>
      <c r="L149">
        <f t="shared" si="29"/>
        <v>0.02</v>
      </c>
      <c r="M149" s="4">
        <f t="shared" si="26"/>
        <v>0.79449999999999998</v>
      </c>
      <c r="N149" s="4">
        <f t="shared" si="27"/>
        <v>4.54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alp_ecom_conversao_ecom_facebook_social_pagepost_social_toy-story_interesses-toy-story_cpm_1200x628_111212</v>
      </c>
      <c r="D150" t="str">
        <f t="shared" si="33"/>
        <v>249650803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alp_ecom_conversao_ecom_facebook_social_pagepost_social_toy-story_interesses-toy-story_cpm_1200x628_111212</v>
      </c>
      <c r="G150" t="str">
        <f t="shared" si="35"/>
        <v>445753506</v>
      </c>
      <c r="H150" t="str">
        <f t="shared" si="36"/>
        <v>Tracking</v>
      </c>
      <c r="I150">
        <f t="shared" si="37"/>
        <v>0</v>
      </c>
      <c r="J150">
        <f t="shared" si="38"/>
        <v>882</v>
      </c>
      <c r="K150" s="4">
        <f t="shared" si="28"/>
        <v>3.5000000000000001E-3</v>
      </c>
      <c r="L150">
        <f t="shared" si="29"/>
        <v>0.02</v>
      </c>
      <c r="M150" s="4">
        <f t="shared" si="26"/>
        <v>3.0870000000000002</v>
      </c>
      <c r="N150" s="4">
        <f t="shared" si="27"/>
        <v>17.64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alp_ecom_conversao_ecom_facebook_social_pagepost_social_toy-story_look-1-mobile_cpm_1200x628_111212</v>
      </c>
      <c r="D151" t="str">
        <f t="shared" si="33"/>
        <v>249650818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alp_ecom_conversao_ecom_facebook_social_pagepost_social_toy-story_look-1-mobile_cpm_1200x628_111212</v>
      </c>
      <c r="G151" t="str">
        <f t="shared" si="35"/>
        <v>445753521</v>
      </c>
      <c r="H151" t="str">
        <f t="shared" si="36"/>
        <v>Tracking</v>
      </c>
      <c r="I151">
        <f t="shared" si="37"/>
        <v>0</v>
      </c>
      <c r="J151">
        <f t="shared" si="38"/>
        <v>3</v>
      </c>
      <c r="K151" s="4">
        <f t="shared" si="28"/>
        <v>3.5000000000000001E-3</v>
      </c>
      <c r="L151">
        <f t="shared" si="29"/>
        <v>0.02</v>
      </c>
      <c r="M151" s="4">
        <f t="shared" si="26"/>
        <v>1.0500000000000001E-2</v>
      </c>
      <c r="N151" s="4">
        <f t="shared" si="27"/>
        <v>0.06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alp_ecom_conversao_ecom_facebook_social_pagepost_social_toy-story_look-2-desk_cpm_1200x628_111212</v>
      </c>
      <c r="D152" t="str">
        <f t="shared" si="33"/>
        <v>249650815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alp_ecom_conversao_ecom_facebook_social_pagepost_social_toy-story_look-2-desk_cpm_1200x628_111212</v>
      </c>
      <c r="G152" t="str">
        <f t="shared" si="35"/>
        <v>445753518</v>
      </c>
      <c r="H152" t="str">
        <f t="shared" si="36"/>
        <v>Tracking</v>
      </c>
      <c r="I152">
        <f t="shared" si="37"/>
        <v>0</v>
      </c>
      <c r="J152">
        <f t="shared" si="38"/>
        <v>1</v>
      </c>
      <c r="K152" s="4">
        <f t="shared" si="28"/>
        <v>3.5000000000000001E-3</v>
      </c>
      <c r="L152">
        <f t="shared" si="29"/>
        <v>0.02</v>
      </c>
      <c r="M152" s="4">
        <f t="shared" si="26"/>
        <v>3.5000000000000001E-3</v>
      </c>
      <c r="N152" s="4">
        <f t="shared" si="27"/>
        <v>0.02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alp_ecom_conversao_ecom_facebook_social_pagepost_social_toy-story_look-2-mobile_cpm_1200x628_111212</v>
      </c>
      <c r="D153" t="str">
        <f t="shared" si="33"/>
        <v>249650812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alp_ecom_conversao_ecom_facebook_social_pagepost_social_toy-story_look-2-mobile_cpm_1200x628_111212</v>
      </c>
      <c r="G153" t="str">
        <f t="shared" si="35"/>
        <v>445753515</v>
      </c>
      <c r="H153" t="str">
        <f t="shared" si="36"/>
        <v>Tracking</v>
      </c>
      <c r="I153">
        <f t="shared" si="37"/>
        <v>0</v>
      </c>
      <c r="J153">
        <f t="shared" si="38"/>
        <v>6</v>
      </c>
      <c r="K153" s="4">
        <f t="shared" si="28"/>
        <v>3.5000000000000001E-3</v>
      </c>
      <c r="L153">
        <f t="shared" si="29"/>
        <v>0.02</v>
      </c>
      <c r="M153" s="4">
        <f t="shared" si="26"/>
        <v>2.1000000000000001E-2</v>
      </c>
      <c r="N153" s="4">
        <f t="shared" si="27"/>
        <v>0.12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alp_ecom_conversao_ecom_facebook_social_pagepost_social_toy-story_rmk-30-mobile_cpm_1200x628_111212</v>
      </c>
      <c r="D154" t="str">
        <f t="shared" si="33"/>
        <v>249650806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alp_ecom_conversao_ecom_facebook_social_pagepost_social_toy-story_rmk-30-mobile_cpm_1200x628_111212</v>
      </c>
      <c r="G154" t="str">
        <f t="shared" si="35"/>
        <v>445753509</v>
      </c>
      <c r="H154" t="str">
        <f t="shared" si="36"/>
        <v>Tracking</v>
      </c>
      <c r="I154">
        <f t="shared" si="37"/>
        <v>0</v>
      </c>
      <c r="J154">
        <f t="shared" si="38"/>
        <v>7</v>
      </c>
      <c r="K154" s="4">
        <f t="shared" si="28"/>
        <v>3.5000000000000001E-3</v>
      </c>
      <c r="L154">
        <f t="shared" si="29"/>
        <v>0.02</v>
      </c>
      <c r="M154" s="4">
        <f t="shared" si="26"/>
        <v>2.4500000000000001E-2</v>
      </c>
      <c r="N154" s="4">
        <f t="shared" si="27"/>
        <v>0.14000000000000001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alp_ecom_conversao_ecom_facebook_social_pagepost_social_toy-story_rmk-30_cpm_1200x628_111212</v>
      </c>
      <c r="D155" t="str">
        <f t="shared" si="33"/>
        <v>249650809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alp_ecom_conversao_ecom_facebook_social_pagepost_social_toy-story_rmk-30_cpm_1200x628_111212</v>
      </c>
      <c r="G155" t="str">
        <f t="shared" si="35"/>
        <v>445753512</v>
      </c>
      <c r="H155" t="str">
        <f t="shared" si="36"/>
        <v>Tracking</v>
      </c>
      <c r="I155">
        <f t="shared" si="37"/>
        <v>0</v>
      </c>
      <c r="J155">
        <f t="shared" si="38"/>
        <v>2</v>
      </c>
      <c r="K155" s="4">
        <f t="shared" si="28"/>
        <v>3.5000000000000001E-3</v>
      </c>
      <c r="L155">
        <f t="shared" si="29"/>
        <v>0.02</v>
      </c>
      <c r="M155" s="4">
        <f t="shared" si="26"/>
        <v>7.0000000000000001E-3</v>
      </c>
      <c r="N155" s="4">
        <f t="shared" si="27"/>
        <v>0.04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alp_ecom_conversao_ecom_facebook_social_stories_social_got_interesse-got_cpm_de-5s-ate-10s_111143</v>
      </c>
      <c r="D156" t="str">
        <f t="shared" si="33"/>
        <v>244356887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alp_ecom_conversao_ecom_facebook_social_stories_social_got_interesse-got_cpm_de-5s-ate-10s_111143</v>
      </c>
      <c r="G156" t="str">
        <f t="shared" si="35"/>
        <v>441297965</v>
      </c>
      <c r="H156" t="str">
        <f t="shared" si="36"/>
        <v>Tracking</v>
      </c>
      <c r="I156">
        <f t="shared" si="37"/>
        <v>0</v>
      </c>
      <c r="J156">
        <f t="shared" si="38"/>
        <v>31</v>
      </c>
      <c r="K156" s="4">
        <f t="shared" si="28"/>
        <v>3.5000000000000001E-3</v>
      </c>
      <c r="L156">
        <f t="shared" si="29"/>
        <v>0.02</v>
      </c>
      <c r="M156" s="4">
        <f t="shared" si="26"/>
        <v>0.1085</v>
      </c>
      <c r="N156" s="4">
        <f t="shared" si="27"/>
        <v>0.62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alp_ecom_conversao_ecom_facebook_social_stories_social_got_interesse-got_cpm_de-5s-ate-10s_111144</v>
      </c>
      <c r="D157" t="str">
        <f t="shared" si="33"/>
        <v>244356911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alp_ecom_conversao_ecom_facebook_social_stories_social_got_interesse-got_cpm_de-5s-ate-10s_111144</v>
      </c>
      <c r="G157" t="str">
        <f t="shared" si="35"/>
        <v>441297989</v>
      </c>
      <c r="H157" t="str">
        <f t="shared" si="36"/>
        <v>Tracking</v>
      </c>
      <c r="I157">
        <f t="shared" si="37"/>
        <v>0</v>
      </c>
      <c r="J157">
        <f t="shared" si="38"/>
        <v>52</v>
      </c>
      <c r="K157" s="4">
        <f t="shared" si="28"/>
        <v>3.5000000000000001E-3</v>
      </c>
      <c r="L157">
        <f t="shared" si="29"/>
        <v>0.02</v>
      </c>
      <c r="M157" s="4">
        <f t="shared" si="26"/>
        <v>0.182</v>
      </c>
      <c r="N157" s="4">
        <f t="shared" si="27"/>
        <v>1.04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alp_ecom_conversao_ecom_facebook_social_stories_social_got_interesse-got_cpm_de-5s-ate-10s_111145</v>
      </c>
      <c r="D158" t="str">
        <f t="shared" si="33"/>
        <v>244356905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alp_ecom_conversao_ecom_facebook_social_stories_social_got_interesse-got_cpm_de-5s-ate-10s_111145</v>
      </c>
      <c r="G158" t="str">
        <f t="shared" si="35"/>
        <v>441297983</v>
      </c>
      <c r="H158" t="str">
        <f t="shared" si="36"/>
        <v>Tracking</v>
      </c>
      <c r="I158">
        <f t="shared" si="37"/>
        <v>0</v>
      </c>
      <c r="J158">
        <f t="shared" si="38"/>
        <v>98</v>
      </c>
      <c r="K158" s="4">
        <f t="shared" si="28"/>
        <v>3.5000000000000001E-3</v>
      </c>
      <c r="L158">
        <f t="shared" si="29"/>
        <v>0.02</v>
      </c>
      <c r="M158" s="4">
        <f t="shared" si="26"/>
        <v>0.34300000000000003</v>
      </c>
      <c r="N158" s="4">
        <f t="shared" si="27"/>
        <v>1.96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alp_ecom_conversao_ecom_facebook_social_stories_social_harry-potter_interesse-harry-potter_cpm_de-5s-ate-10s_111132</v>
      </c>
      <c r="D159" t="str">
        <f t="shared" si="33"/>
        <v>243188173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alp_ecom_conversao_ecom_facebook_social_stories_social_harry-potter_interesse-harry-potter_cpm_de-5s-ate-10s_111132</v>
      </c>
      <c r="G159" t="str">
        <f t="shared" si="35"/>
        <v>439896365</v>
      </c>
      <c r="H159" t="str">
        <f t="shared" si="36"/>
        <v>Tracking</v>
      </c>
      <c r="I159">
        <f t="shared" si="37"/>
        <v>0</v>
      </c>
      <c r="J159">
        <f t="shared" si="38"/>
        <v>1</v>
      </c>
      <c r="K159" s="4">
        <f t="shared" si="28"/>
        <v>3.5000000000000001E-3</v>
      </c>
      <c r="L159">
        <f t="shared" si="29"/>
        <v>0.02</v>
      </c>
      <c r="M159" s="4">
        <f t="shared" si="26"/>
        <v>3.5000000000000001E-3</v>
      </c>
      <c r="N159" s="4">
        <f t="shared" si="27"/>
        <v>0.02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alp_ecom_conversao_ecom_facebook_social_stories_social_harry-potter_interesse-harry-potter_cpm_de-5s-ate-10s_111133</v>
      </c>
      <c r="D160" t="str">
        <f t="shared" si="33"/>
        <v>243380601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alp_ecom_conversao_ecom_facebook_social_stories_social_harry-potter_interesse-harry-potter_cpm_de-5s-ate-10s_111133</v>
      </c>
      <c r="G160" t="str">
        <f t="shared" si="35"/>
        <v>439800423</v>
      </c>
      <c r="H160" t="str">
        <f t="shared" si="36"/>
        <v>Tracking</v>
      </c>
      <c r="I160">
        <f t="shared" si="37"/>
        <v>0</v>
      </c>
      <c r="J160">
        <f t="shared" si="38"/>
        <v>1</v>
      </c>
      <c r="K160" s="4">
        <f t="shared" si="28"/>
        <v>3.5000000000000001E-3</v>
      </c>
      <c r="L160">
        <f t="shared" si="29"/>
        <v>0.02</v>
      </c>
      <c r="M160" s="4">
        <f t="shared" si="26"/>
        <v>3.5000000000000001E-3</v>
      </c>
      <c r="N160" s="4">
        <f t="shared" si="27"/>
        <v>0.02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alp_ecom_conversao_ecom_facebook_social_stories_social_harry-potter_interesse-harry-potter_cpm_de-5s-ate-10s_111134</v>
      </c>
      <c r="D161" t="str">
        <f t="shared" si="33"/>
        <v>243399840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alp_ecom_conversao_ecom_facebook_social_stories_social_harry-potter_interesse-harry-potter_cpm_de-5s-ate-10s_111134</v>
      </c>
      <c r="G161" t="str">
        <f t="shared" si="35"/>
        <v>439898660</v>
      </c>
      <c r="H161" t="str">
        <f t="shared" si="36"/>
        <v>Tracking</v>
      </c>
      <c r="I161">
        <f t="shared" si="37"/>
        <v>0</v>
      </c>
      <c r="J161">
        <f t="shared" si="38"/>
        <v>2</v>
      </c>
      <c r="K161" s="4">
        <f t="shared" si="28"/>
        <v>3.5000000000000001E-3</v>
      </c>
      <c r="L161">
        <f t="shared" si="29"/>
        <v>0.02</v>
      </c>
      <c r="M161" s="4">
        <f t="shared" si="26"/>
        <v>7.0000000000000001E-3</v>
      </c>
      <c r="N161" s="4">
        <f t="shared" si="27"/>
        <v>0.04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alp_ecom_conversao_ecom_facebook_social_stories_social_havaianas-outlet_interesse-promocao_cpm_de-5s-ate-10s_111222</v>
      </c>
      <c r="D162" t="str">
        <f t="shared" si="33"/>
        <v>251366913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alp_ecom_conversao_ecom_facebook_social_stories_social_havaianas-outlet_interesse-promocao_cpm_de-5s-ate-10s_111222</v>
      </c>
      <c r="G162" t="str">
        <f t="shared" si="35"/>
        <v>447333057</v>
      </c>
      <c r="H162" t="str">
        <f t="shared" si="36"/>
        <v>Tracking</v>
      </c>
      <c r="I162">
        <f t="shared" si="37"/>
        <v>0</v>
      </c>
      <c r="J162">
        <f t="shared" si="38"/>
        <v>2032</v>
      </c>
      <c r="K162" s="4">
        <f t="shared" si="28"/>
        <v>3.5000000000000001E-3</v>
      </c>
      <c r="L162">
        <f t="shared" si="29"/>
        <v>0.02</v>
      </c>
      <c r="M162" s="4">
        <f t="shared" si="26"/>
        <v>7.1120000000000001</v>
      </c>
      <c r="N162" s="4">
        <f t="shared" si="27"/>
        <v>40.64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alp_ecom_conversao_ecom_facebook_social_stories_social_slim-hits_interesse-carnaval_cpm_de-5s-ate-10s_111201</v>
      </c>
      <c r="D163" t="str">
        <f t="shared" si="33"/>
        <v>247726375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alp_ecom_conversao_ecom_facebook_social_stories_social_slim-hits_interesse-carnaval_cpm_de-5s-ate-10s_111201</v>
      </c>
      <c r="G163" t="str">
        <f t="shared" si="35"/>
        <v>443998695</v>
      </c>
      <c r="H163" t="str">
        <f t="shared" si="36"/>
        <v>Tracking</v>
      </c>
      <c r="I163">
        <f t="shared" si="37"/>
        <v>0</v>
      </c>
      <c r="J163">
        <f t="shared" si="38"/>
        <v>2759</v>
      </c>
      <c r="K163" s="4">
        <f t="shared" si="28"/>
        <v>3.5000000000000001E-3</v>
      </c>
      <c r="L163">
        <f t="shared" si="29"/>
        <v>0.02</v>
      </c>
      <c r="M163" s="4">
        <f t="shared" ref="M163:M226" si="39">IF(E163="Dynamic Click",J163*K163,K163*$I163/1000)</f>
        <v>9.6564999999999994</v>
      </c>
      <c r="N163" s="4">
        <f t="shared" ref="N163:N226" si="40">IF(E163="Dynamic Click",J163*L163,L163*$I163/1000)</f>
        <v>55.18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alp_ecom_conversao_ecom_facebook_social_video-social_social_stranger-things_curte-havaianas_cpm_de-5s-ate-10s_111215</v>
      </c>
      <c r="D164" t="str">
        <f t="shared" si="33"/>
        <v>250155803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alp_ecom_conversao_ecom_facebook_social_video-social_social_stranger-things_curte-havaianas_cpm_de-5s-ate-10s_111215</v>
      </c>
      <c r="G164" t="str">
        <f t="shared" si="35"/>
        <v>446691613</v>
      </c>
      <c r="H164" t="str">
        <f t="shared" si="36"/>
        <v>Tracking</v>
      </c>
      <c r="I164">
        <f t="shared" si="37"/>
        <v>0</v>
      </c>
      <c r="J164">
        <f t="shared" si="38"/>
        <v>11</v>
      </c>
      <c r="K164" s="4">
        <f t="shared" si="28"/>
        <v>3.5000000000000001E-3</v>
      </c>
      <c r="L164">
        <f t="shared" si="29"/>
        <v>0.02</v>
      </c>
      <c r="M164" s="4">
        <f t="shared" si="39"/>
        <v>3.85E-2</v>
      </c>
      <c r="N164" s="4">
        <f t="shared" si="40"/>
        <v>0.22</v>
      </c>
    </row>
    <row r="165" spans="1:14">
      <c r="A165" t="str">
        <f t="shared" si="30"/>
        <v>alp_ecom</v>
      </c>
      <c r="B165" t="str">
        <f t="shared" si="31"/>
        <v>facebook.com.br</v>
      </c>
      <c r="C165" t="str">
        <f t="shared" si="32"/>
        <v>alp_ecom_conversao_ecom_facebook_social_video-social_social_stranger-things_curte-havaianas_cpm_de-5s-ate-10s_111216</v>
      </c>
      <c r="D165" t="str">
        <f t="shared" si="33"/>
        <v>250561320</v>
      </c>
      <c r="E165" t="str">
        <f>IF(Table1[[#This Row],[Impressions]]&gt;Table1[[#This Row],[Clicks]],"Standard",VLOOKUP(CONCATENATE(bd_adtype,"_",bd_creativetype),tabela,2,FALSE))</f>
        <v>Dynamic Click</v>
      </c>
      <c r="F165" t="str">
        <f t="shared" si="34"/>
        <v>alp_ecom_conversao_ecom_facebook_social_video-social_social_stranger-things_curte-havaianas_cpm_de-5s-ate-10s_111216</v>
      </c>
      <c r="G165" t="str">
        <f t="shared" si="35"/>
        <v>446675968</v>
      </c>
      <c r="H165" t="str">
        <f t="shared" si="36"/>
        <v>Tracking</v>
      </c>
      <c r="I165">
        <f t="shared" si="37"/>
        <v>0</v>
      </c>
      <c r="J165">
        <f t="shared" si="38"/>
        <v>15</v>
      </c>
      <c r="K165" s="4">
        <f t="shared" si="28"/>
        <v>3.5000000000000001E-3</v>
      </c>
      <c r="L165">
        <f t="shared" si="29"/>
        <v>0.02</v>
      </c>
      <c r="M165" s="4">
        <f t="shared" si="39"/>
        <v>5.2499999999999998E-2</v>
      </c>
      <c r="N165" s="4">
        <f t="shared" si="40"/>
        <v>0.3</v>
      </c>
    </row>
    <row r="166" spans="1:14">
      <c r="A166" t="str">
        <f t="shared" si="30"/>
        <v>alp_ecom</v>
      </c>
      <c r="B166" t="str">
        <f t="shared" si="31"/>
        <v>facebook.com.br</v>
      </c>
      <c r="C166" t="str">
        <f t="shared" si="32"/>
        <v>alp_ecom_conversao_ecom_facebook_social_video-social_social_stranger-things_curte-havaianas_cpm_de-5s-ate-10s_111218</v>
      </c>
      <c r="D166" t="str">
        <f t="shared" si="33"/>
        <v>250255580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alp_ecom_conversao_ecom_facebook_social_video-social_social_stranger-things_curte-havaianas_cpm_de-5s-ate-10s_111218</v>
      </c>
      <c r="G166" t="str">
        <f t="shared" si="35"/>
        <v>446786710</v>
      </c>
      <c r="H166" t="str">
        <f t="shared" si="36"/>
        <v>Tracking</v>
      </c>
      <c r="I166">
        <f t="shared" si="37"/>
        <v>0</v>
      </c>
      <c r="J166">
        <f t="shared" si="38"/>
        <v>24</v>
      </c>
      <c r="K166" s="4">
        <f t="shared" si="28"/>
        <v>3.5000000000000001E-3</v>
      </c>
      <c r="L166">
        <f t="shared" si="29"/>
        <v>0.02</v>
      </c>
      <c r="M166" s="4">
        <f t="shared" si="39"/>
        <v>8.4000000000000005E-2</v>
      </c>
      <c r="N166" s="4">
        <f t="shared" si="40"/>
        <v>0.48</v>
      </c>
    </row>
    <row r="167" spans="1:14">
      <c r="A167" t="str">
        <f t="shared" si="30"/>
        <v>alp_ecom</v>
      </c>
      <c r="B167" t="str">
        <f t="shared" si="31"/>
        <v>facebook.com.br</v>
      </c>
      <c r="C167" t="str">
        <f t="shared" si="32"/>
        <v>alp_ecom_conversao_ecom_facebook_social_video-social_social_stranger-things_interesses-stranger-things_cpm_de-5s-ate-10s_111215</v>
      </c>
      <c r="D167" t="str">
        <f t="shared" si="33"/>
        <v>250155782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alp_ecom_conversao_ecom_facebook_social_video-social_social_stranger-things_interesses-stranger-things_cpm_de-5s-ate-10s_111215</v>
      </c>
      <c r="G167" t="str">
        <f t="shared" si="35"/>
        <v>446691634</v>
      </c>
      <c r="H167" t="str">
        <f t="shared" si="36"/>
        <v>Tracking</v>
      </c>
      <c r="I167">
        <f t="shared" si="37"/>
        <v>0</v>
      </c>
      <c r="J167">
        <f t="shared" si="38"/>
        <v>24</v>
      </c>
      <c r="K167" s="4">
        <f t="shared" si="28"/>
        <v>3.5000000000000001E-3</v>
      </c>
      <c r="L167">
        <f t="shared" si="29"/>
        <v>0.02</v>
      </c>
      <c r="M167" s="4">
        <f t="shared" si="39"/>
        <v>8.4000000000000005E-2</v>
      </c>
      <c r="N167" s="4">
        <f t="shared" si="40"/>
        <v>0.48</v>
      </c>
    </row>
    <row r="168" spans="1:14">
      <c r="A168" t="str">
        <f t="shared" si="30"/>
        <v>alp_ecom</v>
      </c>
      <c r="B168" t="str">
        <f t="shared" si="31"/>
        <v>facebook.com.br</v>
      </c>
      <c r="C168" t="str">
        <f t="shared" si="32"/>
        <v>alp_ecom_conversao_ecom_facebook_social_video-social_social_stranger-things_interesses-stranger-things_cpm_de-5s-ate-10s_111216</v>
      </c>
      <c r="D168" t="str">
        <f t="shared" si="33"/>
        <v>250155806</v>
      </c>
      <c r="E168" t="str">
        <f>IF(Table1[[#This Row],[Impressions]]&gt;Table1[[#This Row],[Clicks]],"Standard",VLOOKUP(CONCATENATE(bd_adtype,"_",bd_creativetype),tabela,2,FALSE))</f>
        <v>Dynamic Click</v>
      </c>
      <c r="F168" t="str">
        <f t="shared" si="34"/>
        <v>alp_ecom_conversao_ecom_facebook_social_video-social_social_stranger-things_interesses-stranger-things_cpm_de-5s-ate-10s_111216</v>
      </c>
      <c r="G168" t="str">
        <f t="shared" si="35"/>
        <v>446691610</v>
      </c>
      <c r="H168" t="str">
        <f t="shared" si="36"/>
        <v>Tracking</v>
      </c>
      <c r="I168">
        <f t="shared" si="37"/>
        <v>0</v>
      </c>
      <c r="J168">
        <f t="shared" si="38"/>
        <v>18</v>
      </c>
      <c r="K168" s="4">
        <f t="shared" si="28"/>
        <v>3.5000000000000001E-3</v>
      </c>
      <c r="L168">
        <f t="shared" si="29"/>
        <v>0.02</v>
      </c>
      <c r="M168" s="4">
        <f t="shared" si="39"/>
        <v>6.3E-2</v>
      </c>
      <c r="N168" s="4">
        <f t="shared" si="40"/>
        <v>0.36</v>
      </c>
    </row>
    <row r="169" spans="1:14">
      <c r="A169" t="str">
        <f t="shared" si="30"/>
        <v>alp_ecom</v>
      </c>
      <c r="B169" t="str">
        <f t="shared" si="31"/>
        <v>facebook.com.br</v>
      </c>
      <c r="C169" t="str">
        <f t="shared" si="32"/>
        <v>alp_ecom_conversao_ecom_facebook_social_video-social_social_stranger-things_interesses-stranger-things_cpm_de-5s-ate-10s_111218</v>
      </c>
      <c r="D169" t="str">
        <f t="shared" si="33"/>
        <v>250255559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alp_ecom_conversao_ecom_facebook_social_video-social_social_stranger-things_interesses-stranger-things_cpm_de-5s-ate-10s_111218</v>
      </c>
      <c r="G169" t="str">
        <f t="shared" si="35"/>
        <v>446786689</v>
      </c>
      <c r="H169" t="str">
        <f t="shared" si="36"/>
        <v>Tracking</v>
      </c>
      <c r="I169">
        <f t="shared" si="37"/>
        <v>0</v>
      </c>
      <c r="J169">
        <f t="shared" si="38"/>
        <v>1</v>
      </c>
      <c r="K169" s="4">
        <f t="shared" si="28"/>
        <v>3.5000000000000001E-3</v>
      </c>
      <c r="L169">
        <f t="shared" si="29"/>
        <v>0.02</v>
      </c>
      <c r="M169" s="4">
        <f t="shared" si="39"/>
        <v>3.5000000000000001E-3</v>
      </c>
      <c r="N169" s="4">
        <f t="shared" si="40"/>
        <v>0.02</v>
      </c>
    </row>
    <row r="170" spans="1:14">
      <c r="A170" t="str">
        <f t="shared" si="30"/>
        <v>alp_ecom</v>
      </c>
      <c r="B170" t="str">
        <f t="shared" si="31"/>
        <v>facebook.com.br</v>
      </c>
      <c r="C170" t="str">
        <f t="shared" si="32"/>
        <v>alp_ecom_conversao_ecom_facebook_social_video-social_social_stranger-things_look-1-desk_cpm_de-5s-ate-10s_111215</v>
      </c>
      <c r="D170" t="str">
        <f t="shared" si="33"/>
        <v>250155800</v>
      </c>
      <c r="E170" t="str">
        <f>IF(Table1[[#This Row],[Impressions]]&gt;Table1[[#This Row],[Clicks]],"Standard",VLOOKUP(CONCATENATE(bd_adtype,"_",bd_creativetype),tabela,2,FALSE))</f>
        <v>Dynamic Click</v>
      </c>
      <c r="F170" t="str">
        <f t="shared" si="34"/>
        <v>alp_ecom_conversao_ecom_facebook_social_video-social_social_stranger-things_look-1-desk_cpm_de-5s-ate-10s_111215</v>
      </c>
      <c r="G170" t="str">
        <f t="shared" si="35"/>
        <v>446691616</v>
      </c>
      <c r="H170" t="str">
        <f t="shared" si="36"/>
        <v>Tracking</v>
      </c>
      <c r="I170">
        <f t="shared" si="37"/>
        <v>0</v>
      </c>
      <c r="J170">
        <f t="shared" si="38"/>
        <v>1</v>
      </c>
      <c r="K170" s="4">
        <f t="shared" si="28"/>
        <v>3.5000000000000001E-3</v>
      </c>
      <c r="L170">
        <f t="shared" si="29"/>
        <v>0.02</v>
      </c>
      <c r="M170" s="4">
        <f t="shared" si="39"/>
        <v>3.5000000000000001E-3</v>
      </c>
      <c r="N170" s="4">
        <f t="shared" si="40"/>
        <v>0.02</v>
      </c>
    </row>
    <row r="171" spans="1:14">
      <c r="A171" t="str">
        <f t="shared" si="30"/>
        <v>alp_ecom</v>
      </c>
      <c r="B171" t="str">
        <f t="shared" si="31"/>
        <v>facebook.com.br</v>
      </c>
      <c r="C171" t="str">
        <f t="shared" si="32"/>
        <v>alp_ecom_conversao_ecom_facebook_social_video-social_social_stranger-things_look-1-desk_cpm_de-5s-ate-10s_111218</v>
      </c>
      <c r="D171" t="str">
        <f t="shared" si="33"/>
        <v>250255577</v>
      </c>
      <c r="E171" t="str">
        <f>IF(Table1[[#This Row],[Impressions]]&gt;Table1[[#This Row],[Clicks]],"Standard",VLOOKUP(CONCATENATE(bd_adtype,"_",bd_creativetype),tabela,2,FALSE))</f>
        <v>Dynamic Click</v>
      </c>
      <c r="F171" t="str">
        <f t="shared" si="34"/>
        <v>alp_ecom_conversao_ecom_facebook_social_video-social_social_stranger-things_look-1-desk_cpm_de-5s-ate-10s_111218</v>
      </c>
      <c r="G171" t="str">
        <f t="shared" si="35"/>
        <v>446786707</v>
      </c>
      <c r="H171" t="str">
        <f t="shared" si="36"/>
        <v>Tracking</v>
      </c>
      <c r="I171">
        <f t="shared" si="37"/>
        <v>0</v>
      </c>
      <c r="J171">
        <f t="shared" si="38"/>
        <v>1</v>
      </c>
      <c r="K171" s="4">
        <f t="shared" si="28"/>
        <v>3.5000000000000001E-3</v>
      </c>
      <c r="L171">
        <f t="shared" si="29"/>
        <v>0.02</v>
      </c>
      <c r="M171" s="4">
        <f t="shared" si="39"/>
        <v>3.5000000000000001E-3</v>
      </c>
      <c r="N171" s="4">
        <f t="shared" si="40"/>
        <v>0.02</v>
      </c>
    </row>
    <row r="172" spans="1:14">
      <c r="A172" t="str">
        <f t="shared" si="30"/>
        <v>alp_ecom</v>
      </c>
      <c r="B172" t="str">
        <f t="shared" si="31"/>
        <v>facebook.com.br</v>
      </c>
      <c r="C172" t="str">
        <f t="shared" si="32"/>
        <v>alp_ecom_conversao_ecom_facebook_social_video-social_social_stranger-things_look-1-mobile_cpm_de-5s-ate-10s_111216</v>
      </c>
      <c r="D172" t="str">
        <f t="shared" si="33"/>
        <v>250561308</v>
      </c>
      <c r="E172" t="str">
        <f>IF(Table1[[#This Row],[Impressions]]&gt;Table1[[#This Row],[Clicks]],"Standard",VLOOKUP(CONCATENATE(bd_adtype,"_",bd_creativetype),tabela,2,FALSE))</f>
        <v>Dynamic Click</v>
      </c>
      <c r="F172" t="str">
        <f t="shared" si="34"/>
        <v>alp_ecom_conversao_ecom_facebook_social_video-social_social_stranger-things_look-1-mobile_cpm_de-5s-ate-10s_111216</v>
      </c>
      <c r="G172" t="str">
        <f t="shared" si="35"/>
        <v>446675980</v>
      </c>
      <c r="H172" t="str">
        <f t="shared" si="36"/>
        <v>Tracking</v>
      </c>
      <c r="I172">
        <f t="shared" si="37"/>
        <v>0</v>
      </c>
      <c r="J172">
        <f t="shared" si="38"/>
        <v>20</v>
      </c>
      <c r="K172" s="4">
        <f t="shared" ref="K172:K235" si="41">IF(LEFT(B172,3)="DBM",0,VLOOKUP(E172,tabela,2,FALSE))</f>
        <v>3.5000000000000001E-3</v>
      </c>
      <c r="L172">
        <f t="shared" ref="L172:L235" si="42">VLOOKUP(E172,tabela,3,FALSE)</f>
        <v>0.02</v>
      </c>
      <c r="M172" s="4">
        <f t="shared" si="39"/>
        <v>7.0000000000000007E-2</v>
      </c>
      <c r="N172" s="4">
        <f t="shared" si="40"/>
        <v>0.4</v>
      </c>
    </row>
    <row r="173" spans="1:14">
      <c r="A173" t="str">
        <f t="shared" si="30"/>
        <v>alp_ecom</v>
      </c>
      <c r="B173" t="str">
        <f t="shared" si="31"/>
        <v>facebook.com.br</v>
      </c>
      <c r="C173" t="str">
        <f t="shared" si="32"/>
        <v>alp_ecom_conversao_ecom_facebook_social_video-social_social_stranger-things_look-2-desk_cpm_de-5s-ate-10s_111218</v>
      </c>
      <c r="D173" t="str">
        <f t="shared" si="33"/>
        <v>250255571</v>
      </c>
      <c r="E173" t="str">
        <f>IF(Table1[[#This Row],[Impressions]]&gt;Table1[[#This Row],[Clicks]],"Standard",VLOOKUP(CONCATENATE(bd_adtype,"_",bd_creativetype),tabela,2,FALSE))</f>
        <v>Dynamic Click</v>
      </c>
      <c r="F173" t="str">
        <f t="shared" si="34"/>
        <v>alp_ecom_conversao_ecom_facebook_social_video-social_social_stranger-things_look-2-desk_cpm_de-5s-ate-10s_111218</v>
      </c>
      <c r="G173" t="str">
        <f t="shared" si="35"/>
        <v>446786701</v>
      </c>
      <c r="H173" t="str">
        <f t="shared" si="36"/>
        <v>Tracking</v>
      </c>
      <c r="I173">
        <f t="shared" si="37"/>
        <v>0</v>
      </c>
      <c r="J173">
        <f t="shared" si="38"/>
        <v>1</v>
      </c>
      <c r="K173" s="4">
        <f t="shared" si="41"/>
        <v>3.5000000000000001E-3</v>
      </c>
      <c r="L173">
        <f t="shared" si="42"/>
        <v>0.02</v>
      </c>
      <c r="M173" s="4">
        <f t="shared" si="39"/>
        <v>3.5000000000000001E-3</v>
      </c>
      <c r="N173" s="4">
        <f t="shared" si="40"/>
        <v>0.02</v>
      </c>
    </row>
    <row r="174" spans="1:14">
      <c r="A174" t="str">
        <f t="shared" si="30"/>
        <v>alp_ecom</v>
      </c>
      <c r="B174" t="str">
        <f t="shared" si="31"/>
        <v>facebook.com.br</v>
      </c>
      <c r="C174" t="str">
        <f t="shared" si="32"/>
        <v>alp_ecom_conversao_ecom_facebook_social_video-social_social_stranger-things_look-2-mobile_cpm_de-5s-ate-10s_111215</v>
      </c>
      <c r="D174" t="str">
        <f t="shared" si="33"/>
        <v>250155791</v>
      </c>
      <c r="E174" t="str">
        <f>IF(Table1[[#This Row],[Impressions]]&gt;Table1[[#This Row],[Clicks]],"Standard",VLOOKUP(CONCATENATE(bd_adtype,"_",bd_creativetype),tabela,2,FALSE))</f>
        <v>Dynamic Click</v>
      </c>
      <c r="F174" t="str">
        <f t="shared" si="34"/>
        <v>alp_ecom_conversao_ecom_facebook_social_video-social_social_stranger-things_look-2-mobile_cpm_de-5s-ate-10s_111215</v>
      </c>
      <c r="G174" t="str">
        <f t="shared" si="35"/>
        <v>446691625</v>
      </c>
      <c r="H174" t="str">
        <f t="shared" si="36"/>
        <v>Tracking</v>
      </c>
      <c r="I174">
        <f t="shared" si="37"/>
        <v>0</v>
      </c>
      <c r="J174">
        <f t="shared" si="38"/>
        <v>1</v>
      </c>
      <c r="K174" s="4">
        <f t="shared" si="41"/>
        <v>3.5000000000000001E-3</v>
      </c>
      <c r="L174">
        <f t="shared" si="42"/>
        <v>0.02</v>
      </c>
      <c r="M174" s="4">
        <f t="shared" si="39"/>
        <v>3.5000000000000001E-3</v>
      </c>
      <c r="N174" s="4">
        <f t="shared" si="40"/>
        <v>0.02</v>
      </c>
    </row>
    <row r="175" spans="1:14">
      <c r="A175" t="str">
        <f t="shared" si="30"/>
        <v>alp_ecom</v>
      </c>
      <c r="B175" t="str">
        <f t="shared" si="31"/>
        <v>facebook.com.br</v>
      </c>
      <c r="C175" t="str">
        <f t="shared" si="32"/>
        <v>alp_ecom_conversao_ecom_facebook_social_video-social_social_stranger-things_look-2-mobile_cpm_de-5s-ate-10s_111216</v>
      </c>
      <c r="D175" t="str">
        <f t="shared" si="33"/>
        <v>250561296</v>
      </c>
      <c r="E175" t="str">
        <f>IF(Table1[[#This Row],[Impressions]]&gt;Table1[[#This Row],[Clicks]],"Standard",VLOOKUP(CONCATENATE(bd_adtype,"_",bd_creativetype),tabela,2,FALSE))</f>
        <v>Dynamic Click</v>
      </c>
      <c r="F175" t="str">
        <f t="shared" si="34"/>
        <v>alp_ecom_conversao_ecom_facebook_social_video-social_social_stranger-things_look-2-mobile_cpm_de-5s-ate-10s_111216</v>
      </c>
      <c r="G175" t="str">
        <f t="shared" si="35"/>
        <v>446675992</v>
      </c>
      <c r="H175" t="str">
        <f t="shared" si="36"/>
        <v>Tracking</v>
      </c>
      <c r="I175">
        <f t="shared" si="37"/>
        <v>0</v>
      </c>
      <c r="J175">
        <f t="shared" si="38"/>
        <v>1</v>
      </c>
      <c r="K175" s="4">
        <f t="shared" si="41"/>
        <v>3.5000000000000001E-3</v>
      </c>
      <c r="L175">
        <f t="shared" si="42"/>
        <v>0.02</v>
      </c>
      <c r="M175" s="4">
        <f t="shared" si="39"/>
        <v>3.5000000000000001E-3</v>
      </c>
      <c r="N175" s="4">
        <f t="shared" si="40"/>
        <v>0.02</v>
      </c>
    </row>
    <row r="176" spans="1:14">
      <c r="A176" t="str">
        <f t="shared" si="30"/>
        <v>alp_ecom</v>
      </c>
      <c r="B176" t="str">
        <f t="shared" si="31"/>
        <v>facebook.com.br</v>
      </c>
      <c r="C176" t="str">
        <f t="shared" si="32"/>
        <v>alp_ecom_conversao_ecom_facebook_social_video-social_social_stranger-things_look-2-mobile_cpm_de-5s-ate-10s_111218</v>
      </c>
      <c r="D176" t="str">
        <f t="shared" si="33"/>
        <v>250255568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alp_ecom_conversao_ecom_facebook_social_video-social_social_stranger-things_look-2-mobile_cpm_de-5s-ate-10s_111218</v>
      </c>
      <c r="G176" t="str">
        <f t="shared" si="35"/>
        <v>446786698</v>
      </c>
      <c r="H176" t="str">
        <f t="shared" si="36"/>
        <v>Tracking</v>
      </c>
      <c r="I176">
        <f t="shared" si="37"/>
        <v>0</v>
      </c>
      <c r="J176">
        <f t="shared" si="38"/>
        <v>1</v>
      </c>
      <c r="K176" s="4">
        <f t="shared" si="41"/>
        <v>3.5000000000000001E-3</v>
      </c>
      <c r="L176">
        <f t="shared" si="42"/>
        <v>0.02</v>
      </c>
      <c r="M176" s="4">
        <f t="shared" si="39"/>
        <v>3.5000000000000001E-3</v>
      </c>
      <c r="N176" s="4">
        <f t="shared" si="40"/>
        <v>0.02</v>
      </c>
    </row>
    <row r="177" spans="1:14">
      <c r="A177" t="str">
        <f t="shared" si="30"/>
        <v>alp_ecom</v>
      </c>
      <c r="B177" t="str">
        <f t="shared" si="31"/>
        <v>facebook.com.br</v>
      </c>
      <c r="C177" t="str">
        <f t="shared" si="32"/>
        <v>alp_ecom_conversao_ecom_facebook_social_video-social_social_stranger-things_rmk-30-mobile_cpm_de-5s-ate-10s_111215</v>
      </c>
      <c r="D177" t="str">
        <f t="shared" si="33"/>
        <v>250155785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alp_ecom_conversao_ecom_facebook_social_video-social_social_stranger-things_rmk-30-mobile_cpm_de-5s-ate-10s_111215</v>
      </c>
      <c r="G177" t="str">
        <f t="shared" si="35"/>
        <v>446691631</v>
      </c>
      <c r="H177" t="str">
        <f t="shared" si="36"/>
        <v>Tracking</v>
      </c>
      <c r="I177">
        <f t="shared" si="37"/>
        <v>0</v>
      </c>
      <c r="J177">
        <f t="shared" si="38"/>
        <v>17</v>
      </c>
      <c r="K177" s="4">
        <f t="shared" si="41"/>
        <v>3.5000000000000001E-3</v>
      </c>
      <c r="L177">
        <f t="shared" si="42"/>
        <v>0.02</v>
      </c>
      <c r="M177" s="4">
        <f t="shared" si="39"/>
        <v>5.9500000000000004E-2</v>
      </c>
      <c r="N177" s="4">
        <f t="shared" si="40"/>
        <v>0.34</v>
      </c>
    </row>
    <row r="178" spans="1:14">
      <c r="A178" t="str">
        <f t="shared" si="30"/>
        <v>alp_ecom</v>
      </c>
      <c r="B178" t="str">
        <f t="shared" si="31"/>
        <v>facebook.com.br</v>
      </c>
      <c r="C178" t="str">
        <f t="shared" si="32"/>
        <v>alp_ecom_conversao_ecom_facebook_social_video-social_social_stranger-things_rmk-30-mobile_cpm_de-5s-ate-10s_111216</v>
      </c>
      <c r="D178" t="str">
        <f t="shared" si="33"/>
        <v>250155812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alp_ecom_conversao_ecom_facebook_social_video-social_social_stranger-things_rmk-30-mobile_cpm_de-5s-ate-10s_111216</v>
      </c>
      <c r="G178" t="str">
        <f t="shared" si="35"/>
        <v>446691604</v>
      </c>
      <c r="H178" t="str">
        <f t="shared" si="36"/>
        <v>Tracking</v>
      </c>
      <c r="I178">
        <f t="shared" si="37"/>
        <v>0</v>
      </c>
      <c r="J178">
        <f t="shared" si="38"/>
        <v>15</v>
      </c>
      <c r="K178" s="4">
        <f t="shared" si="41"/>
        <v>3.5000000000000001E-3</v>
      </c>
      <c r="L178">
        <f t="shared" si="42"/>
        <v>0.02</v>
      </c>
      <c r="M178" s="4">
        <f t="shared" si="39"/>
        <v>5.2499999999999998E-2</v>
      </c>
      <c r="N178" s="4">
        <f t="shared" si="40"/>
        <v>0.3</v>
      </c>
    </row>
    <row r="179" spans="1:14">
      <c r="A179" t="str">
        <f t="shared" si="30"/>
        <v>alp_ecom</v>
      </c>
      <c r="B179" t="str">
        <f t="shared" si="31"/>
        <v>facebook.com.br</v>
      </c>
      <c r="C179" t="str">
        <f t="shared" si="32"/>
        <v>alp_ecom_conversao_ecom_facebook_social_video-social_social_stranger-things_rmk-30-mobile_cpm_de-5s-ate-10s_111218</v>
      </c>
      <c r="D179" t="str">
        <f t="shared" si="33"/>
        <v>250255562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alp_ecom_conversao_ecom_facebook_social_video-social_social_stranger-things_rmk-30-mobile_cpm_de-5s-ate-10s_111218</v>
      </c>
      <c r="G179" t="str">
        <f t="shared" si="35"/>
        <v>446786692</v>
      </c>
      <c r="H179" t="str">
        <f t="shared" si="36"/>
        <v>Tracking</v>
      </c>
      <c r="I179">
        <f t="shared" si="37"/>
        <v>0</v>
      </c>
      <c r="J179">
        <f t="shared" si="38"/>
        <v>1</v>
      </c>
      <c r="K179" s="4">
        <f t="shared" si="41"/>
        <v>3.5000000000000001E-3</v>
      </c>
      <c r="L179">
        <f t="shared" si="42"/>
        <v>0.02</v>
      </c>
      <c r="M179" s="4">
        <f t="shared" si="39"/>
        <v>3.5000000000000001E-3</v>
      </c>
      <c r="N179" s="4">
        <f t="shared" si="40"/>
        <v>0.02</v>
      </c>
    </row>
    <row r="180" spans="1:14">
      <c r="A180" t="str">
        <f t="shared" si="30"/>
        <v>alp_ecom</v>
      </c>
      <c r="B180" t="str">
        <f t="shared" si="31"/>
        <v>facebook.com.br</v>
      </c>
      <c r="C180" t="str">
        <f t="shared" si="32"/>
        <v>alp_ecom_conversao_ecom_facebook_social_video-social_social_stranger-things_rmk-30_cpm_de-5s-ate-10s_111215</v>
      </c>
      <c r="D180" t="str">
        <f t="shared" si="33"/>
        <v>250155788</v>
      </c>
      <c r="E180" t="str">
        <f>IF(Table1[[#This Row],[Impressions]]&gt;Table1[[#This Row],[Clicks]],"Standard",VLOOKUP(CONCATENATE(bd_adtype,"_",bd_creativetype),tabela,2,FALSE))</f>
        <v>Dynamic Click</v>
      </c>
      <c r="F180" t="str">
        <f t="shared" si="34"/>
        <v>alp_ecom_conversao_ecom_facebook_social_video-social_social_stranger-things_rmk-30_cpm_de-5s-ate-10s_111215</v>
      </c>
      <c r="G180" t="str">
        <f t="shared" si="35"/>
        <v>446691628</v>
      </c>
      <c r="H180" t="str">
        <f t="shared" si="36"/>
        <v>Tracking</v>
      </c>
      <c r="I180">
        <f t="shared" si="37"/>
        <v>0</v>
      </c>
      <c r="J180">
        <f t="shared" si="38"/>
        <v>1</v>
      </c>
      <c r="K180" s="4">
        <f t="shared" si="41"/>
        <v>3.5000000000000001E-3</v>
      </c>
      <c r="L180">
        <f t="shared" si="42"/>
        <v>0.02</v>
      </c>
      <c r="M180" s="4">
        <f t="shared" si="39"/>
        <v>3.5000000000000001E-3</v>
      </c>
      <c r="N180" s="4">
        <f t="shared" si="40"/>
        <v>0.02</v>
      </c>
    </row>
    <row r="181" spans="1:14">
      <c r="A181" t="str">
        <f t="shared" si="30"/>
        <v>alp_marca</v>
      </c>
      <c r="B181" t="str">
        <f t="shared" si="31"/>
        <v>Editora Globo</v>
      </c>
      <c r="C181" t="str">
        <f t="shared" si="32"/>
        <v>alp_marca_alcance_feminino_editora-globo_display_retangulo_ros_rasteiras_fashion_cpm_300x250_111341</v>
      </c>
      <c r="D181" t="str">
        <f t="shared" si="33"/>
        <v>251923660</v>
      </c>
      <c r="E181" t="str">
        <f>IF(Table1[[#This Row],[Impressions]]&gt;Table1[[#This Row],[Clicks]],"Standard",VLOOKUP(CONCATENATE(bd_adtype,"_",bd_creativetype),tabela,2,FALSE))</f>
        <v>Standard</v>
      </c>
      <c r="F181" t="str">
        <f t="shared" si="34"/>
        <v>alp_marca_alcance_feminino_editora-globo_display_retangulo_ros_rasteiras_fashion_cpm_300x250_111341</v>
      </c>
      <c r="G181" t="str">
        <f t="shared" si="35"/>
        <v>448013603</v>
      </c>
      <c r="H181" t="str">
        <f t="shared" si="36"/>
        <v>Tracking</v>
      </c>
      <c r="I181">
        <f t="shared" si="37"/>
        <v>45014</v>
      </c>
      <c r="J181">
        <f t="shared" si="38"/>
        <v>16</v>
      </c>
      <c r="K181" s="4">
        <f t="shared" si="41"/>
        <v>3.8199999999999998E-2</v>
      </c>
      <c r="L181">
        <f t="shared" si="42"/>
        <v>0.09</v>
      </c>
      <c r="M181" s="4">
        <f t="shared" si="39"/>
        <v>1.7195347999999999</v>
      </c>
      <c r="N181" s="4">
        <f t="shared" si="40"/>
        <v>4.0512600000000001</v>
      </c>
    </row>
    <row r="182" spans="1:14">
      <c r="A182" t="str">
        <f t="shared" si="30"/>
        <v>alp_marca</v>
      </c>
      <c r="B182" t="str">
        <f t="shared" si="31"/>
        <v>Editora Globo</v>
      </c>
      <c r="C182" t="str">
        <f t="shared" si="32"/>
        <v>alp_marca_alcance_feminino_editora-globo_display_retangulo_ros_rasteiras_funcional_cpm_300x250_111340</v>
      </c>
      <c r="D182" t="str">
        <f t="shared" si="33"/>
        <v>251617343</v>
      </c>
      <c r="E182" t="str">
        <f>IF(Table1[[#This Row],[Impressions]]&gt;Table1[[#This Row],[Clicks]],"Standard",VLOOKUP(CONCATENATE(bd_adtype,"_",bd_creativetype),tabela,2,FALSE))</f>
        <v>Standard</v>
      </c>
      <c r="F182" t="str">
        <f t="shared" si="34"/>
        <v>alp_marca_alcance_feminino_editora-globo_display_retangulo_ros_rasteiras_funcional_cpm_300x250_111340</v>
      </c>
      <c r="G182" t="str">
        <f t="shared" si="35"/>
        <v>448013573</v>
      </c>
      <c r="H182" t="str">
        <f t="shared" si="36"/>
        <v>Tracking</v>
      </c>
      <c r="I182">
        <f t="shared" si="37"/>
        <v>192108</v>
      </c>
      <c r="J182">
        <f t="shared" si="38"/>
        <v>109</v>
      </c>
      <c r="K182" s="4">
        <f t="shared" si="41"/>
        <v>3.8199999999999998E-2</v>
      </c>
      <c r="L182">
        <f t="shared" si="42"/>
        <v>0.09</v>
      </c>
      <c r="M182" s="4">
        <f t="shared" si="39"/>
        <v>7.3385255999999996</v>
      </c>
      <c r="N182" s="4">
        <f t="shared" si="40"/>
        <v>17.289720000000003</v>
      </c>
    </row>
    <row r="183" spans="1:14">
      <c r="A183" t="str">
        <f t="shared" si="30"/>
        <v>alp_marca</v>
      </c>
      <c r="B183" t="str">
        <f t="shared" si="31"/>
        <v>Editora Globo</v>
      </c>
      <c r="C183" t="str">
        <f t="shared" si="32"/>
        <v>alp_marca_alcance_feminino_editora-globo_display_superbanner_ros_rasteiras_fashion_cpm_728x90_111341</v>
      </c>
      <c r="D183" t="str">
        <f t="shared" si="33"/>
        <v>252022254</v>
      </c>
      <c r="E183" t="str">
        <f>IF(Table1[[#This Row],[Impressions]]&gt;Table1[[#This Row],[Clicks]],"Standard",VLOOKUP(CONCATENATE(bd_adtype,"_",bd_creativetype),tabela,2,FALSE))</f>
        <v>Standard</v>
      </c>
      <c r="F183" t="str">
        <f t="shared" si="34"/>
        <v>alp_marca_alcance_feminino_editora-globo_display_superbanner_ros_rasteiras_fashion_cpm_728x90_111341</v>
      </c>
      <c r="G183" t="str">
        <f t="shared" si="35"/>
        <v>448014857</v>
      </c>
      <c r="H183" t="str">
        <f t="shared" si="36"/>
        <v>Tracking</v>
      </c>
      <c r="I183">
        <f t="shared" si="37"/>
        <v>45118</v>
      </c>
      <c r="J183">
        <f t="shared" si="38"/>
        <v>12</v>
      </c>
      <c r="K183" s="4">
        <f t="shared" si="41"/>
        <v>3.8199999999999998E-2</v>
      </c>
      <c r="L183">
        <f t="shared" si="42"/>
        <v>0.09</v>
      </c>
      <c r="M183" s="4">
        <f t="shared" si="39"/>
        <v>1.7235075999999998</v>
      </c>
      <c r="N183" s="4">
        <f t="shared" si="40"/>
        <v>4.0606200000000001</v>
      </c>
    </row>
    <row r="184" spans="1:14">
      <c r="A184" t="str">
        <f t="shared" si="30"/>
        <v>alp_marca</v>
      </c>
      <c r="B184" t="str">
        <f t="shared" si="31"/>
        <v>Editora Globo</v>
      </c>
      <c r="C184" t="str">
        <f t="shared" si="32"/>
        <v>alp_marca_alcance_feminino_editora-globo_display_superbanner_ros_rasteiras_funcional_cpm_728x90_111340</v>
      </c>
      <c r="D184" t="str">
        <f t="shared" si="33"/>
        <v>251942962</v>
      </c>
      <c r="E184" t="str">
        <f>IF(Table1[[#This Row],[Impressions]]&gt;Table1[[#This Row],[Clicks]],"Standard",VLOOKUP(CONCATENATE(bd_adtype,"_",bd_creativetype),tabela,2,FALSE))</f>
        <v>Standard</v>
      </c>
      <c r="F184" t="str">
        <f t="shared" si="34"/>
        <v>alp_marca_alcance_feminino_editora-globo_display_superbanner_ros_rasteiras_funcional_cpm_728x90_111340</v>
      </c>
      <c r="G184" t="str">
        <f t="shared" si="35"/>
        <v>448013588</v>
      </c>
      <c r="H184" t="str">
        <f t="shared" si="36"/>
        <v>Tracking</v>
      </c>
      <c r="I184">
        <f t="shared" si="37"/>
        <v>43527</v>
      </c>
      <c r="J184">
        <f t="shared" si="38"/>
        <v>12</v>
      </c>
      <c r="K184" s="4">
        <f t="shared" si="41"/>
        <v>3.8199999999999998E-2</v>
      </c>
      <c r="L184">
        <f t="shared" si="42"/>
        <v>0.09</v>
      </c>
      <c r="M184" s="4">
        <f t="shared" si="39"/>
        <v>1.6627314</v>
      </c>
      <c r="N184" s="4">
        <f t="shared" si="40"/>
        <v>3.91743</v>
      </c>
    </row>
    <row r="185" spans="1:14">
      <c r="A185" t="str">
        <f t="shared" si="30"/>
        <v>alp_marca</v>
      </c>
      <c r="B185" t="str">
        <f t="shared" si="31"/>
        <v>Elhombre_Puig</v>
      </c>
      <c r="C185" t="str">
        <f t="shared" si="32"/>
        <v>alp_marca_alcance_masculino_el-hombre_conteudo-veiculo_publieditorial_lifestyle_rotacional_all_cpc_no-size_111118</v>
      </c>
      <c r="D185" t="str">
        <f t="shared" si="33"/>
        <v>241629483</v>
      </c>
      <c r="E185" t="str">
        <f>IF(Table1[[#This Row],[Impressions]]&gt;Table1[[#This Row],[Clicks]],"Standard",VLOOKUP(CONCATENATE(bd_adtype,"_",bd_creativetype),tabela,2,FALSE))</f>
        <v>Dynamic Click</v>
      </c>
      <c r="F185" t="str">
        <f t="shared" si="34"/>
        <v>alp_marca_alcance_masculino_el-hombre_conteudo-veiculo_publieditorial_lifestyle_rotacional_all_cpc_no-size_111118</v>
      </c>
      <c r="G185" t="str">
        <f t="shared" si="35"/>
        <v>438245550</v>
      </c>
      <c r="H185" t="str">
        <f t="shared" si="36"/>
        <v>Tracking</v>
      </c>
      <c r="I185">
        <f t="shared" si="37"/>
        <v>0</v>
      </c>
      <c r="J185">
        <f t="shared" si="38"/>
        <v>1</v>
      </c>
      <c r="K185" s="4">
        <f t="shared" si="41"/>
        <v>3.5000000000000001E-3</v>
      </c>
      <c r="L185">
        <f t="shared" si="42"/>
        <v>0.02</v>
      </c>
      <c r="M185" s="4">
        <f t="shared" si="39"/>
        <v>3.5000000000000001E-3</v>
      </c>
      <c r="N185" s="4">
        <f t="shared" si="40"/>
        <v>0.02</v>
      </c>
    </row>
    <row r="186" spans="1:14">
      <c r="A186" t="str">
        <f t="shared" si="30"/>
        <v>alp_marca</v>
      </c>
      <c r="B186" t="str">
        <f t="shared" si="31"/>
        <v>Elhombre_Puig</v>
      </c>
      <c r="C186" t="str">
        <f t="shared" si="32"/>
        <v>alp_marca_alcance_masculino_el-hombre_display_diaria-bg_home_havaianas-urban_all_cpm_1900x1020_111132</v>
      </c>
      <c r="D186" t="str">
        <f t="shared" si="33"/>
        <v>243862051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alp_marca_alcance_masculino_el-hombre_display_diaria-bg_home_havaianas-urban_all_cpm_1900x1020_111132</v>
      </c>
      <c r="G186" t="str">
        <f t="shared" si="35"/>
        <v>440590061</v>
      </c>
      <c r="H186" t="str">
        <f t="shared" si="36"/>
        <v>Tracking</v>
      </c>
      <c r="I186">
        <f t="shared" si="37"/>
        <v>2</v>
      </c>
      <c r="J186">
        <f t="shared" si="38"/>
        <v>0</v>
      </c>
      <c r="K186" s="4">
        <f t="shared" si="41"/>
        <v>3.8199999999999998E-2</v>
      </c>
      <c r="L186">
        <f t="shared" si="42"/>
        <v>0.09</v>
      </c>
      <c r="M186" s="4">
        <f t="shared" si="39"/>
        <v>7.64E-5</v>
      </c>
      <c r="N186" s="4">
        <f t="shared" si="40"/>
        <v>1.7999999999999998E-4</v>
      </c>
    </row>
    <row r="187" spans="1:14">
      <c r="A187" t="str">
        <f t="shared" si="30"/>
        <v>alp_marca</v>
      </c>
      <c r="B187" t="str">
        <f t="shared" si="31"/>
        <v>Elhombre_Puig</v>
      </c>
      <c r="C187" t="str">
        <f t="shared" si="32"/>
        <v>alp_marca_alcance_masculino_el-hombre_display_diaria-bg_home_havaianas-urban_all_cpm_1900x1020_111217</v>
      </c>
      <c r="D187" t="str">
        <f t="shared" si="33"/>
        <v>248744191</v>
      </c>
      <c r="E187" t="str">
        <f>IF(Table1[[#This Row],[Impressions]]&gt;Table1[[#This Row],[Clicks]],"Standard",VLOOKUP(CONCATENATE(bd_adtype,"_",bd_creativetype),tabela,2,FALSE))</f>
        <v>Dynamic Click</v>
      </c>
      <c r="F187" t="str">
        <f t="shared" si="34"/>
        <v>alp_marca_alcance_masculino_el-hombre_display_diaria-bg_home_havaianas-urban_all_cpm_1900x1020_111217</v>
      </c>
      <c r="G187" t="str">
        <f t="shared" si="35"/>
        <v>444928407</v>
      </c>
      <c r="H187" t="str">
        <f t="shared" si="36"/>
        <v>Tracking</v>
      </c>
      <c r="I187">
        <f t="shared" si="37"/>
        <v>0</v>
      </c>
      <c r="J187">
        <f t="shared" si="38"/>
        <v>1</v>
      </c>
      <c r="K187" s="4">
        <f t="shared" si="41"/>
        <v>3.5000000000000001E-3</v>
      </c>
      <c r="L187">
        <f t="shared" si="42"/>
        <v>0.02</v>
      </c>
      <c r="M187" s="4">
        <f t="shared" si="39"/>
        <v>3.5000000000000001E-3</v>
      </c>
      <c r="N187" s="4">
        <f t="shared" si="40"/>
        <v>0.02</v>
      </c>
    </row>
    <row r="188" spans="1:14">
      <c r="A188" t="str">
        <f t="shared" si="30"/>
        <v>alp_marca</v>
      </c>
      <c r="B188" t="str">
        <f t="shared" si="31"/>
        <v>Elhombre_Puig</v>
      </c>
      <c r="C188" t="str">
        <f t="shared" si="32"/>
        <v>alp_marca_alcance_masculino_el-hombre_display_superheader-mobile_home_havaianas-urban_all_cpm_320x100_111218</v>
      </c>
      <c r="D188" t="str">
        <f t="shared" si="33"/>
        <v>248914512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1x1 Default Web Ad</v>
      </c>
      <c r="G188" t="str">
        <f t="shared" si="35"/>
        <v>438503523</v>
      </c>
      <c r="H188" t="str">
        <f t="shared" si="36"/>
        <v>Display</v>
      </c>
      <c r="I188">
        <f t="shared" si="37"/>
        <v>2</v>
      </c>
      <c r="J188">
        <f t="shared" si="38"/>
        <v>0</v>
      </c>
      <c r="K188" s="4">
        <f t="shared" si="41"/>
        <v>3.8199999999999998E-2</v>
      </c>
      <c r="L188">
        <f t="shared" si="42"/>
        <v>0.09</v>
      </c>
      <c r="M188" s="4">
        <f t="shared" si="39"/>
        <v>7.64E-5</v>
      </c>
      <c r="N188" s="4">
        <f t="shared" si="40"/>
        <v>1.7999999999999998E-4</v>
      </c>
    </row>
    <row r="189" spans="1:14">
      <c r="A189" t="str">
        <f t="shared" si="30"/>
        <v>alp_marca</v>
      </c>
      <c r="B189" t="str">
        <f t="shared" si="31"/>
        <v>Flix Media</v>
      </c>
      <c r="C189" t="str">
        <f t="shared" si="32"/>
        <v>alp_marca_alcance_jovem_flix-media_display_retangulo-cineclick_ros_rei-leao_all_fixo_300x250_111344</v>
      </c>
      <c r="D189" t="str">
        <f t="shared" si="33"/>
        <v>251722911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alp_marca_alcance_jovem_flix-media_display_retangulo-cineclick_ros_rei-leao_all_fixo_300x250_111344</v>
      </c>
      <c r="G189" t="str">
        <f t="shared" si="35"/>
        <v>447647799</v>
      </c>
      <c r="H189" t="str">
        <f t="shared" si="36"/>
        <v>Tracking</v>
      </c>
      <c r="I189">
        <f t="shared" si="37"/>
        <v>23875</v>
      </c>
      <c r="J189">
        <f t="shared" si="38"/>
        <v>1</v>
      </c>
      <c r="K189" s="4">
        <f t="shared" si="41"/>
        <v>3.8199999999999998E-2</v>
      </c>
      <c r="L189">
        <f t="shared" si="42"/>
        <v>0.09</v>
      </c>
      <c r="M189" s="4">
        <f t="shared" si="39"/>
        <v>0.91202499999999997</v>
      </c>
      <c r="N189" s="4">
        <f t="shared" si="40"/>
        <v>2.1487500000000002</v>
      </c>
    </row>
    <row r="190" spans="1:14">
      <c r="A190" t="str">
        <f t="shared" si="30"/>
        <v>alp_marca</v>
      </c>
      <c r="B190" t="str">
        <f t="shared" si="31"/>
        <v>Flix Media</v>
      </c>
      <c r="C190" t="str">
        <f t="shared" si="32"/>
        <v>alp_marca_alcance_jovem_flix-media_display_retangulo-cinemark_ros_rei-leao_all_fixo_300x250_111344</v>
      </c>
      <c r="D190" t="str">
        <f t="shared" si="33"/>
        <v>251723094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alp_marca_alcance_jovem_flix-media_display_retangulo-cinemark_ros_rei-leao_all_fixo_300x250_111344</v>
      </c>
      <c r="G190" t="str">
        <f t="shared" si="35"/>
        <v>447699821</v>
      </c>
      <c r="H190" t="str">
        <f t="shared" si="36"/>
        <v>Tracking</v>
      </c>
      <c r="I190">
        <f t="shared" si="37"/>
        <v>570169</v>
      </c>
      <c r="J190">
        <f t="shared" si="38"/>
        <v>861</v>
      </c>
      <c r="K190" s="4">
        <f t="shared" si="41"/>
        <v>3.8199999999999998E-2</v>
      </c>
      <c r="L190">
        <f t="shared" si="42"/>
        <v>0.09</v>
      </c>
      <c r="M190" s="4">
        <f t="shared" si="39"/>
        <v>21.780455799999999</v>
      </c>
      <c r="N190" s="4">
        <f t="shared" si="40"/>
        <v>51.31521</v>
      </c>
    </row>
    <row r="191" spans="1:14">
      <c r="A191" t="str">
        <f t="shared" si="30"/>
        <v>alp_marca</v>
      </c>
      <c r="B191" t="str">
        <f t="shared" si="31"/>
        <v>Flix Media</v>
      </c>
      <c r="C191" t="str">
        <f t="shared" si="32"/>
        <v>alp_marca_alcance_jovem_flix-media_display_retangulo-cinemark_ros_toy-story_all_fixo_300x250_111239</v>
      </c>
      <c r="D191" t="str">
        <f t="shared" si="33"/>
        <v>249420466</v>
      </c>
      <c r="E191" t="str">
        <f>IF(Table1[[#This Row],[Impressions]]&gt;Table1[[#This Row],[Clicks]],"Standard",VLOOKUP(CONCATENATE(bd_adtype,"_",bd_creativetype),tabela,2,FALSE))</f>
        <v>Dynamic Click</v>
      </c>
      <c r="F191" t="str">
        <f t="shared" si="34"/>
        <v>alp_marca_alcance_jovem_flix-media_display_retangulo-cinemark_ros_toy-story_all_fixo_300x250_111239</v>
      </c>
      <c r="G191" t="str">
        <f t="shared" si="35"/>
        <v>445573125</v>
      </c>
      <c r="H191" t="str">
        <f t="shared" si="36"/>
        <v>Tracking</v>
      </c>
      <c r="I191">
        <f t="shared" si="37"/>
        <v>0</v>
      </c>
      <c r="J191">
        <f t="shared" si="38"/>
        <v>1</v>
      </c>
      <c r="K191" s="4">
        <f t="shared" si="41"/>
        <v>3.5000000000000001E-3</v>
      </c>
      <c r="L191">
        <f t="shared" si="42"/>
        <v>0.02</v>
      </c>
      <c r="M191" s="4">
        <f t="shared" si="39"/>
        <v>3.5000000000000001E-3</v>
      </c>
      <c r="N191" s="4">
        <f t="shared" si="40"/>
        <v>0.02</v>
      </c>
    </row>
    <row r="192" spans="1:14">
      <c r="A192" t="str">
        <f t="shared" si="30"/>
        <v>alp_marca</v>
      </c>
      <c r="B192" t="str">
        <f t="shared" si="31"/>
        <v>Flix Media</v>
      </c>
      <c r="C192" t="str">
        <f t="shared" si="32"/>
        <v>alp_marca_alcance_jovem_flix-media_display_retangulo-cinepolis_ros_rei-leao_all_fixo_300x250_111344</v>
      </c>
      <c r="D192" t="str">
        <f t="shared" si="33"/>
        <v>251721657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alp_marca_alcance_jovem_flix-media_display_retangulo-cinepolis_ros_rei-leao_all_fixo_300x250_111344</v>
      </c>
      <c r="G192" t="str">
        <f t="shared" si="35"/>
        <v>447647634</v>
      </c>
      <c r="H192" t="str">
        <f t="shared" si="36"/>
        <v>Tracking</v>
      </c>
      <c r="I192">
        <f t="shared" si="37"/>
        <v>212876</v>
      </c>
      <c r="J192">
        <f t="shared" si="38"/>
        <v>621</v>
      </c>
      <c r="K192" s="4">
        <f t="shared" si="41"/>
        <v>3.8199999999999998E-2</v>
      </c>
      <c r="L192">
        <f t="shared" si="42"/>
        <v>0.09</v>
      </c>
      <c r="M192" s="4">
        <f t="shared" si="39"/>
        <v>8.1318631999999997</v>
      </c>
      <c r="N192" s="4">
        <f t="shared" si="40"/>
        <v>19.158840000000001</v>
      </c>
    </row>
    <row r="193" spans="1:14">
      <c r="A193" t="str">
        <f t="shared" si="30"/>
        <v>alp_marca</v>
      </c>
      <c r="B193" t="str">
        <f t="shared" si="31"/>
        <v>Flix Media</v>
      </c>
      <c r="C193" t="str">
        <f t="shared" si="32"/>
        <v>alp_marca_alcance_jovem_flix-media_display_retangulo-cinesystem_ros_rei-leao_all_fixo_300x250_111344</v>
      </c>
      <c r="D193" t="str">
        <f t="shared" si="33"/>
        <v>251293541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alp_marca_alcance_jovem_flix-media_display_retangulo-cinesystem_ros_rei-leao_all_fixo_300x250_111344</v>
      </c>
      <c r="G193" t="str">
        <f t="shared" si="35"/>
        <v>447785431</v>
      </c>
      <c r="H193" t="str">
        <f t="shared" si="36"/>
        <v>Tracking</v>
      </c>
      <c r="I193">
        <f t="shared" si="37"/>
        <v>37731</v>
      </c>
      <c r="J193">
        <f t="shared" si="38"/>
        <v>61</v>
      </c>
      <c r="K193" s="4">
        <f t="shared" si="41"/>
        <v>3.8199999999999998E-2</v>
      </c>
      <c r="L193">
        <f t="shared" si="42"/>
        <v>0.09</v>
      </c>
      <c r="M193" s="4">
        <f t="shared" si="39"/>
        <v>1.4413241999999999</v>
      </c>
      <c r="N193" s="4">
        <f t="shared" si="40"/>
        <v>3.3957899999999999</v>
      </c>
    </row>
    <row r="194" spans="1:14">
      <c r="A194" t="str">
        <f t="shared" ref="A194:A257" si="43">bd_campaign</f>
        <v>alp_marca</v>
      </c>
      <c r="B194" t="str">
        <f t="shared" ref="B194:B257" si="44">bd_site</f>
        <v>Flix Media</v>
      </c>
      <c r="C194" t="str">
        <f t="shared" ref="C194:C257" si="45">bd_placement</f>
        <v>alp_marca_alcance_jovem_flix-media_display_retangulo-ingressocom_ros_rei-leao_all_fixo_300x250_111344</v>
      </c>
      <c r="D194" t="str">
        <f t="shared" ref="D194:D257" si="46">bd_placementID</f>
        <v>251723427</v>
      </c>
      <c r="E194" t="str">
        <f>IF(Table1[[#This Row],[Impressions]]&gt;Table1[[#This Row],[Clicks]],"Standard",VLOOKUP(CONCATENATE(bd_adtype,"_",bd_creativetype),tabela,2,FALSE))</f>
        <v>Standard</v>
      </c>
      <c r="F194" t="str">
        <f t="shared" ref="F194:F257" si="47">bd_ad</f>
        <v>alp_marca_alcance_jovem_flix-media_display_retangulo-ingressocom_ros_rei-leao_all_fixo_300x250_111344</v>
      </c>
      <c r="G194" t="str">
        <f t="shared" ref="G194:G257" si="48">bd_adid</f>
        <v>447647796</v>
      </c>
      <c r="H194" t="str">
        <f t="shared" ref="H194:H257" si="49">bd_creativetype</f>
        <v>Tracking</v>
      </c>
      <c r="I194">
        <f t="shared" ref="I194:I257" si="50">bd_impression</f>
        <v>408825</v>
      </c>
      <c r="J194">
        <f t="shared" ref="J194:J257" si="51">bd_clicks</f>
        <v>737</v>
      </c>
      <c r="K194" s="4">
        <f t="shared" si="41"/>
        <v>3.8199999999999998E-2</v>
      </c>
      <c r="L194">
        <f t="shared" si="42"/>
        <v>0.09</v>
      </c>
      <c r="M194" s="4">
        <f t="shared" si="39"/>
        <v>15.617115</v>
      </c>
      <c r="N194" s="4">
        <f t="shared" si="40"/>
        <v>36.794249999999998</v>
      </c>
    </row>
    <row r="195" spans="1:14">
      <c r="A195" t="str">
        <f t="shared" si="43"/>
        <v>alp_marca</v>
      </c>
      <c r="B195" t="str">
        <f t="shared" si="44"/>
        <v>Flix Media</v>
      </c>
      <c r="C195" t="str">
        <f t="shared" si="45"/>
        <v>alp_marca_alcance_jovem_flix-media_display_retangulo-ingressocom_ros_toy-story_all_fixo_300x250_111239</v>
      </c>
      <c r="D195" t="str">
        <f t="shared" si="46"/>
        <v>249382964</v>
      </c>
      <c r="E195" t="str">
        <f>IF(Table1[[#This Row],[Impressions]]&gt;Table1[[#This Row],[Clicks]],"Standard",VLOOKUP(CONCATENATE(bd_adtype,"_",bd_creativetype),tabela,2,FALSE))</f>
        <v>Dynamic Click</v>
      </c>
      <c r="F195" t="str">
        <f t="shared" si="47"/>
        <v>alp_marca_alcance_jovem_flix-media_display_retangulo-ingressocom_ros_toy-story_all_fixo_300x250_111239</v>
      </c>
      <c r="G195" t="str">
        <f t="shared" si="48"/>
        <v>445751718</v>
      </c>
      <c r="H195" t="str">
        <f t="shared" si="49"/>
        <v>Tracking</v>
      </c>
      <c r="I195">
        <f t="shared" si="50"/>
        <v>0</v>
      </c>
      <c r="J195">
        <f t="shared" si="51"/>
        <v>1</v>
      </c>
      <c r="K195" s="4">
        <f t="shared" si="41"/>
        <v>3.5000000000000001E-3</v>
      </c>
      <c r="L195">
        <f t="shared" si="42"/>
        <v>0.02</v>
      </c>
      <c r="M195" s="4">
        <f t="shared" si="39"/>
        <v>3.5000000000000001E-3</v>
      </c>
      <c r="N195" s="4">
        <f t="shared" si="40"/>
        <v>0.02</v>
      </c>
    </row>
    <row r="196" spans="1:14">
      <c r="A196" t="str">
        <f t="shared" si="43"/>
        <v>alp_marca</v>
      </c>
      <c r="B196" t="str">
        <f t="shared" si="44"/>
        <v>Flix Media</v>
      </c>
      <c r="C196" t="str">
        <f t="shared" si="45"/>
        <v>alp_marca_alcance_jovem_flix-media_display_superbanner-cineclick_ros_rei-leao_all_fixo_728x90_111345</v>
      </c>
      <c r="D196" t="str">
        <f t="shared" si="46"/>
        <v>251293490</v>
      </c>
      <c r="E196" t="str">
        <f>IF(Table1[[#This Row],[Impressions]]&gt;Table1[[#This Row],[Clicks]],"Standard",VLOOKUP(CONCATENATE(bd_adtype,"_",bd_creativetype),tabela,2,FALSE))</f>
        <v>Standard</v>
      </c>
      <c r="F196" t="str">
        <f t="shared" si="47"/>
        <v>alp_marca_alcance_jovem_flix-media_display_superbanner-cineclick_ros_rei-leao_all_fixo_728x90_111345</v>
      </c>
      <c r="G196" t="str">
        <f t="shared" si="48"/>
        <v>447777193</v>
      </c>
      <c r="H196" t="str">
        <f t="shared" si="49"/>
        <v>Tracking</v>
      </c>
      <c r="I196">
        <f t="shared" si="50"/>
        <v>62737</v>
      </c>
      <c r="J196">
        <f t="shared" si="51"/>
        <v>47</v>
      </c>
      <c r="K196" s="4">
        <f t="shared" si="41"/>
        <v>3.8199999999999998E-2</v>
      </c>
      <c r="L196">
        <f t="shared" si="42"/>
        <v>0.09</v>
      </c>
      <c r="M196" s="4">
        <f t="shared" si="39"/>
        <v>2.3965533999999997</v>
      </c>
      <c r="N196" s="4">
        <f t="shared" si="40"/>
        <v>5.6463299999999998</v>
      </c>
    </row>
    <row r="197" spans="1:14">
      <c r="A197" t="str">
        <f t="shared" si="43"/>
        <v>alp_marca</v>
      </c>
      <c r="B197" t="str">
        <f t="shared" si="44"/>
        <v>Flix Media</v>
      </c>
      <c r="C197" t="str">
        <f t="shared" si="45"/>
        <v>alp_marca_alcance_jovem_flix-media_display_superbanner-cinemark_ros_rei-leao_all_fixo_728x90_111345</v>
      </c>
      <c r="D197" t="str">
        <f t="shared" si="46"/>
        <v>251722629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alp_marca_alcance_jovem_flix-media_display_superbanner-cinemark_ros_rei-leao_all_fixo_728x90_111345</v>
      </c>
      <c r="G197" t="str">
        <f t="shared" si="48"/>
        <v>447787393</v>
      </c>
      <c r="H197" t="str">
        <f t="shared" si="49"/>
        <v>Tracking</v>
      </c>
      <c r="I197">
        <f t="shared" si="50"/>
        <v>199997</v>
      </c>
      <c r="J197">
        <f t="shared" si="51"/>
        <v>692</v>
      </c>
      <c r="K197" s="4">
        <f t="shared" si="41"/>
        <v>3.8199999999999998E-2</v>
      </c>
      <c r="L197">
        <f t="shared" si="42"/>
        <v>0.09</v>
      </c>
      <c r="M197" s="4">
        <f t="shared" si="39"/>
        <v>7.6398853999999989</v>
      </c>
      <c r="N197" s="4">
        <f t="shared" si="40"/>
        <v>17.99973</v>
      </c>
    </row>
    <row r="198" spans="1:14">
      <c r="A198" t="str">
        <f t="shared" si="43"/>
        <v>alp_marca</v>
      </c>
      <c r="B198" t="str">
        <f t="shared" si="44"/>
        <v>Flix Media</v>
      </c>
      <c r="C198" t="str">
        <f t="shared" si="45"/>
        <v>alp_marca_alcance_jovem_flix-media_display_superbanner-cinepolis_ros_rei-leao_all_fixo_728x90_111345</v>
      </c>
      <c r="D198" t="str">
        <f t="shared" si="46"/>
        <v>251298485</v>
      </c>
      <c r="E198" t="str">
        <f>IF(Table1[[#This Row],[Impressions]]&gt;Table1[[#This Row],[Clicks]],"Standard",VLOOKUP(CONCATENATE(bd_adtype,"_",bd_creativetype),tabela,2,FALSE))</f>
        <v>Standard</v>
      </c>
      <c r="F198" t="str">
        <f t="shared" si="47"/>
        <v>alp_marca_alcance_jovem_flix-media_display_superbanner-cinepolis_ros_rei-leao_all_fixo_728x90_111345</v>
      </c>
      <c r="G198" t="str">
        <f t="shared" si="48"/>
        <v>447785461</v>
      </c>
      <c r="H198" t="str">
        <f t="shared" si="49"/>
        <v>Tracking</v>
      </c>
      <c r="I198">
        <f t="shared" si="50"/>
        <v>73721</v>
      </c>
      <c r="J198">
        <f t="shared" si="51"/>
        <v>376</v>
      </c>
      <c r="K198" s="4">
        <f t="shared" si="41"/>
        <v>3.8199999999999998E-2</v>
      </c>
      <c r="L198">
        <f t="shared" si="42"/>
        <v>0.09</v>
      </c>
      <c r="M198" s="4">
        <f t="shared" si="39"/>
        <v>2.8161421999999998</v>
      </c>
      <c r="N198" s="4">
        <f t="shared" si="40"/>
        <v>6.6348899999999995</v>
      </c>
    </row>
    <row r="199" spans="1:14">
      <c r="A199" t="str">
        <f t="shared" si="43"/>
        <v>alp_marca</v>
      </c>
      <c r="B199" t="str">
        <f t="shared" si="44"/>
        <v>Flix Media</v>
      </c>
      <c r="C199" t="str">
        <f t="shared" si="45"/>
        <v>alp_marca_alcance_jovem_flix-media_display_superbanner-cinesystem_ros_rei-leao_all_fixo_728x90_111345</v>
      </c>
      <c r="D199" t="str">
        <f t="shared" si="46"/>
        <v>251717361</v>
      </c>
      <c r="E199" t="str">
        <f>IF(Table1[[#This Row],[Impressions]]&gt;Table1[[#This Row],[Clicks]],"Standard",VLOOKUP(CONCATENATE(bd_adtype,"_",bd_creativetype),tabela,2,FALSE))</f>
        <v>Standard</v>
      </c>
      <c r="F199" t="str">
        <f t="shared" si="47"/>
        <v>alp_marca_alcance_jovem_flix-media_display_superbanner-cinesystem_ros_rei-leao_all_fixo_728x90_111345</v>
      </c>
      <c r="G199" t="str">
        <f t="shared" si="48"/>
        <v>447780430</v>
      </c>
      <c r="H199" t="str">
        <f t="shared" si="49"/>
        <v>Tracking</v>
      </c>
      <c r="I199">
        <f t="shared" si="50"/>
        <v>22713</v>
      </c>
      <c r="J199">
        <f t="shared" si="51"/>
        <v>105</v>
      </c>
      <c r="K199" s="4">
        <f t="shared" si="41"/>
        <v>3.8199999999999998E-2</v>
      </c>
      <c r="L199">
        <f t="shared" si="42"/>
        <v>0.09</v>
      </c>
      <c r="M199" s="4">
        <f t="shared" si="39"/>
        <v>0.86763659999999998</v>
      </c>
      <c r="N199" s="4">
        <f t="shared" si="40"/>
        <v>2.0441699999999998</v>
      </c>
    </row>
    <row r="200" spans="1:14">
      <c r="A200" t="str">
        <f t="shared" si="43"/>
        <v>alp_marca</v>
      </c>
      <c r="B200" t="str">
        <f t="shared" si="44"/>
        <v>Flix Media</v>
      </c>
      <c r="C200" t="str">
        <f t="shared" si="45"/>
        <v>alp_marca_alcance_jovem_flix-media_display_superbanner-ingressocom_ros_rei-leao_all_fixo_728x90_111345</v>
      </c>
      <c r="D200" t="str">
        <f t="shared" si="46"/>
        <v>251694786</v>
      </c>
      <c r="E200" t="str">
        <f>IF(Table1[[#This Row],[Impressions]]&gt;Table1[[#This Row],[Clicks]],"Standard",VLOOKUP(CONCATENATE(bd_adtype,"_",bd_creativetype),tabela,2,FALSE))</f>
        <v>Standard</v>
      </c>
      <c r="F200" t="str">
        <f t="shared" si="47"/>
        <v>alp_marca_alcance_jovem_flix-media_display_superbanner-ingressocom_ros_rei-leao_all_fixo_728x90_111345</v>
      </c>
      <c r="G200" t="str">
        <f t="shared" si="48"/>
        <v>447685718</v>
      </c>
      <c r="H200" t="str">
        <f t="shared" si="49"/>
        <v>Tracking</v>
      </c>
      <c r="I200">
        <f t="shared" si="50"/>
        <v>246590</v>
      </c>
      <c r="J200">
        <f t="shared" si="51"/>
        <v>483</v>
      </c>
      <c r="K200" s="4">
        <f t="shared" si="41"/>
        <v>3.8199999999999998E-2</v>
      </c>
      <c r="L200">
        <f t="shared" si="42"/>
        <v>0.09</v>
      </c>
      <c r="M200" s="4">
        <f t="shared" si="39"/>
        <v>9.4197379999999988</v>
      </c>
      <c r="N200" s="4">
        <f t="shared" si="40"/>
        <v>22.193099999999998</v>
      </c>
    </row>
    <row r="201" spans="1:14">
      <c r="A201" t="str">
        <f t="shared" si="43"/>
        <v>alp_marca</v>
      </c>
      <c r="B201" t="str">
        <f t="shared" si="44"/>
        <v>Flix Media</v>
      </c>
      <c r="C201" t="str">
        <f t="shared" si="45"/>
        <v>alp_marca_alcance_jovem_flix-media_display_superbanner-kinoplex_ros_rei-leao_all_fixo_728x90_111345</v>
      </c>
      <c r="D201" t="str">
        <f t="shared" si="46"/>
        <v>251601343</v>
      </c>
      <c r="E201" t="str">
        <f>IF(Table1[[#This Row],[Impressions]]&gt;Table1[[#This Row],[Clicks]],"Standard",VLOOKUP(CONCATENATE(bd_adtype,"_",bd_creativetype),tabela,2,FALSE))</f>
        <v>Dynamic Click</v>
      </c>
      <c r="F201" t="str">
        <f t="shared" si="47"/>
        <v>alp_marca_alcance_jovem_flix-media_display_superbanner-kinoplex_ros_rei-leao_all_fixo_728x90_111345</v>
      </c>
      <c r="G201" t="str">
        <f t="shared" si="48"/>
        <v>447780358</v>
      </c>
      <c r="H201" t="str">
        <f t="shared" si="49"/>
        <v>Tracking</v>
      </c>
      <c r="I201">
        <f t="shared" si="50"/>
        <v>0</v>
      </c>
      <c r="J201">
        <f t="shared" si="51"/>
        <v>1</v>
      </c>
      <c r="K201" s="4">
        <f t="shared" si="41"/>
        <v>3.5000000000000001E-3</v>
      </c>
      <c r="L201">
        <f t="shared" si="42"/>
        <v>0.02</v>
      </c>
      <c r="M201" s="4">
        <f t="shared" si="39"/>
        <v>3.5000000000000001E-3</v>
      </c>
      <c r="N201" s="4">
        <f t="shared" si="40"/>
        <v>0.02</v>
      </c>
    </row>
    <row r="202" spans="1:14">
      <c r="A202" t="str">
        <f t="shared" si="43"/>
        <v>alp_marca</v>
      </c>
      <c r="B202" t="str">
        <f t="shared" si="44"/>
        <v>Instagram</v>
      </c>
      <c r="C202" t="str">
        <f t="shared" si="45"/>
        <v>alp_marca_alcance_jovem_instagram_social_pagepost_social_buff-moster_all_cpm_1080x1080_111312</v>
      </c>
      <c r="D202" t="str">
        <f t="shared" si="46"/>
        <v>250442011</v>
      </c>
      <c r="E202" t="str">
        <f>IF(Table1[[#This Row],[Impressions]]&gt;Table1[[#This Row],[Clicks]],"Standard",VLOOKUP(CONCATENATE(bd_adtype,"_",bd_creativetype),tabela,2,FALSE))</f>
        <v>Dynamic Click</v>
      </c>
      <c r="F202" t="str">
        <f t="shared" si="47"/>
        <v>alp_marca_alcance_jovem_instagram_social_pagepost_social_buff-moster_all_cpm_1080x1080_111312</v>
      </c>
      <c r="G202" t="str">
        <f t="shared" si="48"/>
        <v>446561228</v>
      </c>
      <c r="H202" t="str">
        <f t="shared" si="49"/>
        <v>Tracking</v>
      </c>
      <c r="I202">
        <f t="shared" si="50"/>
        <v>324</v>
      </c>
      <c r="J202">
        <f t="shared" si="51"/>
        <v>431</v>
      </c>
      <c r="K202" s="4">
        <f t="shared" si="41"/>
        <v>3.5000000000000001E-3</v>
      </c>
      <c r="L202">
        <f t="shared" si="42"/>
        <v>0.02</v>
      </c>
      <c r="M202" s="4">
        <f t="shared" si="39"/>
        <v>1.5085</v>
      </c>
      <c r="N202" s="4">
        <f t="shared" si="40"/>
        <v>8.620000000000001</v>
      </c>
    </row>
    <row r="203" spans="1:14">
      <c r="A203" t="str">
        <f t="shared" si="43"/>
        <v>alp_marca</v>
      </c>
      <c r="B203" t="str">
        <f t="shared" si="44"/>
        <v>Instagram</v>
      </c>
      <c r="C203" t="str">
        <f t="shared" si="45"/>
        <v>alp_marca_alcance_jovem_instagram_social_pagepost_social_buff-moster_all_cpm_1080x1080_111314</v>
      </c>
      <c r="D203" t="str">
        <f t="shared" si="46"/>
        <v>250442005</v>
      </c>
      <c r="E203" t="str">
        <f>IF(Table1[[#This Row],[Impressions]]&gt;Table1[[#This Row],[Clicks]],"Standard",VLOOKUP(CONCATENATE(bd_adtype,"_",bd_creativetype),tabela,2,FALSE))</f>
        <v>Dynamic Click</v>
      </c>
      <c r="F203" t="str">
        <f t="shared" si="47"/>
        <v>alp_marca_alcance_jovem_instagram_social_pagepost_social_buff-moster_all_cpm_1080x1080_111314</v>
      </c>
      <c r="G203" t="str">
        <f t="shared" si="48"/>
        <v>446561222</v>
      </c>
      <c r="H203" t="str">
        <f t="shared" si="49"/>
        <v>Tracking</v>
      </c>
      <c r="I203">
        <f t="shared" si="50"/>
        <v>227</v>
      </c>
      <c r="J203">
        <f t="shared" si="51"/>
        <v>340</v>
      </c>
      <c r="K203" s="4">
        <f t="shared" si="41"/>
        <v>3.5000000000000001E-3</v>
      </c>
      <c r="L203">
        <f t="shared" si="42"/>
        <v>0.02</v>
      </c>
      <c r="M203" s="4">
        <f t="shared" si="39"/>
        <v>1.19</v>
      </c>
      <c r="N203" s="4">
        <f t="shared" si="40"/>
        <v>6.8</v>
      </c>
    </row>
    <row r="204" spans="1:14">
      <c r="A204" t="str">
        <f t="shared" si="43"/>
        <v>alp_marca</v>
      </c>
      <c r="B204" t="str">
        <f t="shared" si="44"/>
        <v>Instagram</v>
      </c>
      <c r="C204" t="str">
        <f t="shared" si="45"/>
        <v>alp_marca_alcance_jovem_instagram_social_stories_social_buff-moster_all_cpm_de-11s-ate-29s_111316</v>
      </c>
      <c r="D204" t="str">
        <f t="shared" si="46"/>
        <v>250441999</v>
      </c>
      <c r="E204" t="str">
        <f>IF(Table1[[#This Row],[Impressions]]&gt;Table1[[#This Row],[Clicks]],"Standard",VLOOKUP(CONCATENATE(bd_adtype,"_",bd_creativetype),tabela,2,FALSE))</f>
        <v>Dynamic Click</v>
      </c>
      <c r="F204" t="str">
        <f t="shared" si="47"/>
        <v>alp_marca_alcance_jovem_instagram_social_stories_social_buff-moster_all_cpm_de-11s-ate-29s_111316</v>
      </c>
      <c r="G204" t="str">
        <f t="shared" si="48"/>
        <v>446561216</v>
      </c>
      <c r="H204" t="str">
        <f t="shared" si="49"/>
        <v>Tracking</v>
      </c>
      <c r="I204">
        <f t="shared" si="50"/>
        <v>312</v>
      </c>
      <c r="J204">
        <f t="shared" si="51"/>
        <v>1027</v>
      </c>
      <c r="K204" s="4">
        <f t="shared" si="41"/>
        <v>3.5000000000000001E-3</v>
      </c>
      <c r="L204">
        <f t="shared" si="42"/>
        <v>0.02</v>
      </c>
      <c r="M204" s="4">
        <f t="shared" si="39"/>
        <v>3.5945</v>
      </c>
      <c r="N204" s="4">
        <f t="shared" si="40"/>
        <v>20.54</v>
      </c>
    </row>
    <row r="205" spans="1:14">
      <c r="A205" t="str">
        <f t="shared" si="43"/>
        <v>alp_marca</v>
      </c>
      <c r="B205" t="str">
        <f t="shared" si="44"/>
        <v>Instagram</v>
      </c>
      <c r="C205" t="str">
        <f t="shared" si="45"/>
        <v>alp_marca_alcance_jovem_instagram_social_stories_social_rei-leao_all_cpm_de-5s-ate-10s_111343</v>
      </c>
      <c r="D205" t="str">
        <f t="shared" si="46"/>
        <v>251298464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alp_marca_alcance_jovem_instagram_social_stories_social_rei-leao_all_cpm_de-5s-ate-10s_111343</v>
      </c>
      <c r="G205" t="str">
        <f t="shared" si="48"/>
        <v>447785986</v>
      </c>
      <c r="H205" t="str">
        <f t="shared" si="49"/>
        <v>Tracking</v>
      </c>
      <c r="I205">
        <f t="shared" si="50"/>
        <v>3552</v>
      </c>
      <c r="J205">
        <f t="shared" si="51"/>
        <v>12182</v>
      </c>
      <c r="K205" s="4">
        <f t="shared" si="41"/>
        <v>3.5000000000000001E-3</v>
      </c>
      <c r="L205">
        <f t="shared" si="42"/>
        <v>0.02</v>
      </c>
      <c r="M205" s="4">
        <f t="shared" si="39"/>
        <v>42.637</v>
      </c>
      <c r="N205" s="4">
        <f t="shared" si="40"/>
        <v>243.64000000000001</v>
      </c>
    </row>
    <row r="206" spans="1:14">
      <c r="A206" t="str">
        <f t="shared" si="43"/>
        <v>alp_marca</v>
      </c>
      <c r="B206" t="str">
        <f t="shared" si="44"/>
        <v>Instagram</v>
      </c>
      <c r="C206" t="str">
        <f t="shared" si="45"/>
        <v>alp_marca_alcance_jovem_instagram_social_stories_social_stranger-things_all_cpm_de-11s-ate-29s_111319</v>
      </c>
      <c r="D206" t="str">
        <f t="shared" si="46"/>
        <v>250660887</v>
      </c>
      <c r="E206" t="str">
        <f>IF(Table1[[#This Row],[Impressions]]&gt;Table1[[#This Row],[Clicks]],"Standard",VLOOKUP(CONCATENATE(bd_adtype,"_",bd_creativetype),tabela,2,FALSE))</f>
        <v>Dynamic Click</v>
      </c>
      <c r="F206" t="str">
        <f t="shared" si="47"/>
        <v>alp_marca_alcance_jovem_instagram_social_stories_social_stranger-things_all_cpm_de-11s-ate-29s_111319</v>
      </c>
      <c r="G206" t="str">
        <f t="shared" si="48"/>
        <v>446775331</v>
      </c>
      <c r="H206" t="str">
        <f t="shared" si="49"/>
        <v>Tracking</v>
      </c>
      <c r="I206">
        <f t="shared" si="50"/>
        <v>2711</v>
      </c>
      <c r="J206">
        <f t="shared" si="51"/>
        <v>6566</v>
      </c>
      <c r="K206" s="4">
        <f t="shared" si="41"/>
        <v>3.5000000000000001E-3</v>
      </c>
      <c r="L206">
        <f t="shared" si="42"/>
        <v>0.02</v>
      </c>
      <c r="M206" s="4">
        <f t="shared" si="39"/>
        <v>22.981000000000002</v>
      </c>
      <c r="N206" s="4">
        <f t="shared" si="40"/>
        <v>131.32</v>
      </c>
    </row>
    <row r="207" spans="1:14">
      <c r="A207" t="str">
        <f t="shared" si="43"/>
        <v>alp_marca</v>
      </c>
      <c r="B207" t="str">
        <f t="shared" si="44"/>
        <v>Instagram</v>
      </c>
      <c r="C207" t="str">
        <f t="shared" si="45"/>
        <v>alp_marca_alcance_masculino_instagram_social_pagepost_social_havaianas-urban-rubinho_all_cpm_1080x1080_111331</v>
      </c>
      <c r="D207" t="str">
        <f t="shared" si="46"/>
        <v>251320189</v>
      </c>
      <c r="E207" t="str">
        <f>IF(Table1[[#This Row],[Impressions]]&gt;Table1[[#This Row],[Clicks]],"Standard",VLOOKUP(CONCATENATE(bd_adtype,"_",bd_creativetype),tabela,2,FALSE))</f>
        <v>Dynamic Click</v>
      </c>
      <c r="F207" t="str">
        <f t="shared" si="47"/>
        <v>alp_marca_alcance_masculino_instagram_social_pagepost_social_havaianas-urban-rubinho_all_cpm_1080x1080_111331</v>
      </c>
      <c r="G207" t="str">
        <f t="shared" si="48"/>
        <v>447398568</v>
      </c>
      <c r="H207" t="str">
        <f t="shared" si="49"/>
        <v>Tracking</v>
      </c>
      <c r="I207">
        <f t="shared" si="50"/>
        <v>0</v>
      </c>
      <c r="J207">
        <f t="shared" si="51"/>
        <v>1</v>
      </c>
      <c r="K207" s="4">
        <f t="shared" si="41"/>
        <v>3.5000000000000001E-3</v>
      </c>
      <c r="L207">
        <f t="shared" si="42"/>
        <v>0.02</v>
      </c>
      <c r="M207" s="4">
        <f t="shared" si="39"/>
        <v>3.5000000000000001E-3</v>
      </c>
      <c r="N207" s="4">
        <f t="shared" si="40"/>
        <v>0.02</v>
      </c>
    </row>
    <row r="208" spans="1:14">
      <c r="A208" t="str">
        <f t="shared" si="43"/>
        <v>alp_marca</v>
      </c>
      <c r="B208" t="str">
        <f t="shared" si="44"/>
        <v>Instagram</v>
      </c>
      <c r="C208" t="str">
        <f t="shared" si="45"/>
        <v>alp_marca_alcance_masculino_instagram_social_stories_social_havaianas-urban-rubinho_all_cpm_de-5s-ate-10s_111330</v>
      </c>
      <c r="D208" t="str">
        <f t="shared" si="46"/>
        <v>251320150</v>
      </c>
      <c r="E208" t="str">
        <f>IF(Table1[[#This Row],[Impressions]]&gt;Table1[[#This Row],[Clicks]],"Standard",VLOOKUP(CONCATENATE(bd_adtype,"_",bd_creativetype),tabela,2,FALSE))</f>
        <v>Dynamic Click</v>
      </c>
      <c r="F208" t="str">
        <f t="shared" si="47"/>
        <v>alp_marca_alcance_masculino_instagram_social_stories_social_havaianas-urban-rubinho_all_cpm_de-5s-ate-10s_111330</v>
      </c>
      <c r="G208" t="str">
        <f t="shared" si="48"/>
        <v>447520354</v>
      </c>
      <c r="H208" t="str">
        <f t="shared" si="49"/>
        <v>Tracking</v>
      </c>
      <c r="I208">
        <f t="shared" si="50"/>
        <v>1090</v>
      </c>
      <c r="J208">
        <f t="shared" si="51"/>
        <v>5952</v>
      </c>
      <c r="K208" s="4">
        <f t="shared" si="41"/>
        <v>3.5000000000000001E-3</v>
      </c>
      <c r="L208">
        <f t="shared" si="42"/>
        <v>0.02</v>
      </c>
      <c r="M208" s="4">
        <f t="shared" si="39"/>
        <v>20.832000000000001</v>
      </c>
      <c r="N208" s="4">
        <f t="shared" si="40"/>
        <v>119.04</v>
      </c>
    </row>
    <row r="209" spans="1:14">
      <c r="A209" t="str">
        <f t="shared" si="43"/>
        <v>alp_marca</v>
      </c>
      <c r="B209" t="str">
        <f t="shared" si="44"/>
        <v>Instagram</v>
      </c>
      <c r="C209" t="str">
        <f t="shared" si="45"/>
        <v>alp_marca_alcance_todos_instagram_social_pagepost_social_hype-wsl_all_cpm_1080x1080_111250</v>
      </c>
      <c r="D209" t="str">
        <f t="shared" si="46"/>
        <v>249646258</v>
      </c>
      <c r="E209" t="str">
        <f>IF(Table1[[#This Row],[Impressions]]&gt;Table1[[#This Row],[Clicks]],"Standard",VLOOKUP(CONCATENATE(bd_adtype,"_",bd_creativetype),tabela,2,FALSE))</f>
        <v>Standard</v>
      </c>
      <c r="F209" t="str">
        <f t="shared" si="47"/>
        <v>alp_marca_alcance_todos_instagram_social_pagepost_social_hype-wsl_all_cpm_1080x1080_111250</v>
      </c>
      <c r="G209" t="str">
        <f t="shared" si="48"/>
        <v>445740333</v>
      </c>
      <c r="H209" t="str">
        <f t="shared" si="49"/>
        <v>Tracking</v>
      </c>
      <c r="I209">
        <f t="shared" si="50"/>
        <v>5733197</v>
      </c>
      <c r="J209">
        <f t="shared" si="51"/>
        <v>29775</v>
      </c>
      <c r="K209" s="4">
        <f t="shared" si="41"/>
        <v>3.8199999999999998E-2</v>
      </c>
      <c r="L209">
        <f t="shared" si="42"/>
        <v>0.09</v>
      </c>
      <c r="M209" s="4">
        <f t="shared" si="39"/>
        <v>219.00812539999998</v>
      </c>
      <c r="N209" s="4">
        <f t="shared" si="40"/>
        <v>515.98772999999994</v>
      </c>
    </row>
    <row r="210" spans="1:14">
      <c r="A210" t="str">
        <f t="shared" si="43"/>
        <v>alp_marca</v>
      </c>
      <c r="B210" t="str">
        <f t="shared" si="44"/>
        <v>Instagram</v>
      </c>
      <c r="C210" t="str">
        <f t="shared" si="45"/>
        <v>alp_marca_alcance_todos_instagram_social_stories_social_havaianas-ipe_all_cpm_de-11s-ate-29s_111223</v>
      </c>
      <c r="D210" t="str">
        <f t="shared" si="46"/>
        <v>248790550</v>
      </c>
      <c r="E210" t="str">
        <f>IF(Table1[[#This Row],[Impressions]]&gt;Table1[[#This Row],[Clicks]],"Standard",VLOOKUP(CONCATENATE(bd_adtype,"_",bd_creativetype),tabela,2,FALSE))</f>
        <v>Dynamic Click</v>
      </c>
      <c r="F210" t="str">
        <f t="shared" si="47"/>
        <v>alp_marca_alcance_todos_instagram_social_stories_social_havaianas-ipe_all_cpm_de-11s-ate-29s_111223</v>
      </c>
      <c r="G210" t="str">
        <f t="shared" si="48"/>
        <v>445056386</v>
      </c>
      <c r="H210" t="str">
        <f t="shared" si="49"/>
        <v>Tracking</v>
      </c>
      <c r="I210">
        <f t="shared" si="50"/>
        <v>0</v>
      </c>
      <c r="J210">
        <f t="shared" si="51"/>
        <v>16</v>
      </c>
      <c r="K210" s="4">
        <f t="shared" si="41"/>
        <v>3.5000000000000001E-3</v>
      </c>
      <c r="L210">
        <f t="shared" si="42"/>
        <v>0.02</v>
      </c>
      <c r="M210" s="4">
        <f t="shared" si="39"/>
        <v>5.6000000000000001E-2</v>
      </c>
      <c r="N210" s="4">
        <f t="shared" si="40"/>
        <v>0.32</v>
      </c>
    </row>
    <row r="211" spans="1:14">
      <c r="A211" t="str">
        <f t="shared" si="43"/>
        <v>alp_marca</v>
      </c>
      <c r="B211" t="str">
        <f t="shared" si="44"/>
        <v>Instagram</v>
      </c>
      <c r="C211" t="str">
        <f t="shared" si="45"/>
        <v>alp_marca_alcance_todos_instagram_social_stories_social_hype-wsl_all_cpm_de-5s-ate-10s_111249</v>
      </c>
      <c r="D211" t="str">
        <f t="shared" si="46"/>
        <v>249646264</v>
      </c>
      <c r="E211" t="str">
        <f>IF(Table1[[#This Row],[Impressions]]&gt;Table1[[#This Row],[Clicks]],"Standard",VLOOKUP(CONCATENATE(bd_adtype,"_",bd_creativetype),tabela,2,FALSE))</f>
        <v>Dynamic Click</v>
      </c>
      <c r="F211" t="str">
        <f t="shared" si="47"/>
        <v>alp_marca_alcance_todos_instagram_social_stories_social_hype-wsl_all_cpm_de-5s-ate-10s_111249</v>
      </c>
      <c r="G211" t="str">
        <f t="shared" si="48"/>
        <v>445740339</v>
      </c>
      <c r="H211" t="str">
        <f t="shared" si="49"/>
        <v>Tracking</v>
      </c>
      <c r="I211">
        <f t="shared" si="50"/>
        <v>1950</v>
      </c>
      <c r="J211">
        <f t="shared" si="51"/>
        <v>9831</v>
      </c>
      <c r="K211" s="4">
        <f t="shared" si="41"/>
        <v>3.5000000000000001E-3</v>
      </c>
      <c r="L211">
        <f t="shared" si="42"/>
        <v>0.02</v>
      </c>
      <c r="M211" s="4">
        <f t="shared" si="39"/>
        <v>34.408500000000004</v>
      </c>
      <c r="N211" s="4">
        <f t="shared" si="40"/>
        <v>196.62</v>
      </c>
    </row>
    <row r="212" spans="1:14">
      <c r="A212" t="str">
        <f t="shared" si="43"/>
        <v>alp_marca</v>
      </c>
      <c r="B212" t="str">
        <f t="shared" si="44"/>
        <v>Instagram</v>
      </c>
      <c r="C212" t="str">
        <f t="shared" si="45"/>
        <v>alp_marca_conversao_todos_instagram_social_stories_social_sao-joao_all_cpm_de-11s-ate-29s_111230</v>
      </c>
      <c r="D212" t="str">
        <f t="shared" si="46"/>
        <v>250249900</v>
      </c>
      <c r="E212" t="str">
        <f>IF(Table1[[#This Row],[Impressions]]&gt;Table1[[#This Row],[Clicks]],"Standard",VLOOKUP(CONCATENATE(bd_adtype,"_",bd_creativetype),tabela,2,FALSE))</f>
        <v>Dynamic Click</v>
      </c>
      <c r="F212" t="str">
        <f t="shared" si="47"/>
        <v>alp_marca_conversao_todos_instagram_social_stories_social_sao-joao_all_cpm_de-11s-ate-29s_111230</v>
      </c>
      <c r="G212" t="str">
        <f t="shared" si="48"/>
        <v>446489548</v>
      </c>
      <c r="H212" t="str">
        <f t="shared" si="49"/>
        <v>Tracking</v>
      </c>
      <c r="I212">
        <f t="shared" si="50"/>
        <v>0</v>
      </c>
      <c r="J212">
        <f t="shared" si="51"/>
        <v>1</v>
      </c>
      <c r="K212" s="4">
        <f t="shared" si="41"/>
        <v>3.5000000000000001E-3</v>
      </c>
      <c r="L212">
        <f t="shared" si="42"/>
        <v>0.02</v>
      </c>
      <c r="M212" s="4">
        <f t="shared" si="39"/>
        <v>3.5000000000000001E-3</v>
      </c>
      <c r="N212" s="4">
        <f t="shared" si="40"/>
        <v>0.02</v>
      </c>
    </row>
    <row r="213" spans="1:14">
      <c r="A213" t="str">
        <f t="shared" si="43"/>
        <v>alp_marca</v>
      </c>
      <c r="B213" t="str">
        <f t="shared" si="44"/>
        <v>LoganMedia</v>
      </c>
      <c r="C213" t="str">
        <f t="shared" si="45"/>
        <v>alp_marca_alcance_jovem_logan_video_pre-roll_ros_toy-story_all_fixo_de-5s-ate-10s_111237</v>
      </c>
      <c r="D213" t="str">
        <f t="shared" si="46"/>
        <v>249420478</v>
      </c>
      <c r="E213" t="str">
        <f>IF(Table1[[#This Row],[Impressions]]&gt;Table1[[#This Row],[Clicks]],"Standard",VLOOKUP(CONCATENATE(bd_adtype,"_",bd_creativetype),tabela,2,FALSE))</f>
        <v>Standard</v>
      </c>
      <c r="F213" t="str">
        <f t="shared" si="47"/>
        <v>alp_marca_alcance_jovem_logan_video_pre-roll_ros_toy-story_all_fixo_de-5s-ate-10s_111237</v>
      </c>
      <c r="G213" t="str">
        <f t="shared" si="48"/>
        <v>445573137</v>
      </c>
      <c r="H213" t="str">
        <f t="shared" si="49"/>
        <v>Tracking</v>
      </c>
      <c r="I213">
        <f t="shared" si="50"/>
        <v>9</v>
      </c>
      <c r="J213">
        <f t="shared" si="51"/>
        <v>1</v>
      </c>
      <c r="K213" s="4">
        <f t="shared" si="41"/>
        <v>3.8199999999999998E-2</v>
      </c>
      <c r="L213">
        <f t="shared" si="42"/>
        <v>0.09</v>
      </c>
      <c r="M213" s="4">
        <f t="shared" si="39"/>
        <v>3.4380000000000001E-4</v>
      </c>
      <c r="N213" s="4">
        <f t="shared" si="40"/>
        <v>8.0999999999999996E-4</v>
      </c>
    </row>
    <row r="214" spans="1:14">
      <c r="A214" t="str">
        <f t="shared" si="43"/>
        <v>alp_marca</v>
      </c>
      <c r="B214" t="str">
        <f t="shared" si="44"/>
        <v>MTV Brasil</v>
      </c>
      <c r="C214" t="str">
        <f t="shared" si="45"/>
        <v>alp_marca_engajamentos_jovem_mtv_display_header-mobile_ros_slim-hits-vma_all_cpm_320x50_111306</v>
      </c>
      <c r="D214" t="str">
        <f t="shared" si="46"/>
        <v>250299607</v>
      </c>
      <c r="E214" t="str">
        <f>IF(Table1[[#This Row],[Impressions]]&gt;Table1[[#This Row],[Clicks]],"Standard",VLOOKUP(CONCATENATE(bd_adtype,"_",bd_creativetype),tabela,2,FALSE))</f>
        <v>Standard</v>
      </c>
      <c r="F214" t="str">
        <f t="shared" si="47"/>
        <v>alp_marca_engajamentos_jovem_mtv_display_header-mobile_ros_slim-hits-vma_all_cpm_320x50_111306</v>
      </c>
      <c r="G214" t="str">
        <f t="shared" si="48"/>
        <v>446459630</v>
      </c>
      <c r="H214" t="str">
        <f t="shared" si="49"/>
        <v>Display</v>
      </c>
      <c r="I214">
        <f t="shared" si="50"/>
        <v>304</v>
      </c>
      <c r="J214">
        <f t="shared" si="51"/>
        <v>0</v>
      </c>
      <c r="K214" s="4">
        <f t="shared" si="41"/>
        <v>3.8199999999999998E-2</v>
      </c>
      <c r="L214">
        <f t="shared" si="42"/>
        <v>0.09</v>
      </c>
      <c r="M214" s="4">
        <f t="shared" si="39"/>
        <v>1.16128E-2</v>
      </c>
      <c r="N214" s="4">
        <f t="shared" si="40"/>
        <v>2.7359999999999999E-2</v>
      </c>
    </row>
    <row r="215" spans="1:14">
      <c r="A215" t="str">
        <f t="shared" si="43"/>
        <v>alp_marca</v>
      </c>
      <c r="B215" t="str">
        <f t="shared" si="44"/>
        <v>MTV Brasil</v>
      </c>
      <c r="C215" t="str">
        <f t="shared" si="45"/>
        <v>alp_marca_engajamentos_jovem_mtv_display_header-mobile_ros_slim-hits_all_cpm_320x50_111222</v>
      </c>
      <c r="D215" t="str">
        <f t="shared" si="46"/>
        <v>248582888</v>
      </c>
      <c r="E215" t="str">
        <f>IF(Table1[[#This Row],[Impressions]]&gt;Table1[[#This Row],[Clicks]],"Standard",VLOOKUP(CONCATENATE(bd_adtype,"_",bd_creativetype),tabela,2,FALSE))</f>
        <v>Standard</v>
      </c>
      <c r="F215" t="str">
        <f t="shared" si="47"/>
        <v>alp_marca_engajamentos_jovem_mtv_display_header-mobile_ros_slim-hits_all_cpm_320x50_111222</v>
      </c>
      <c r="G215" t="str">
        <f t="shared" si="48"/>
        <v>445055795</v>
      </c>
      <c r="H215" t="str">
        <f t="shared" si="49"/>
        <v>Display</v>
      </c>
      <c r="I215">
        <f t="shared" si="50"/>
        <v>126130</v>
      </c>
      <c r="J215">
        <f t="shared" si="51"/>
        <v>70</v>
      </c>
      <c r="K215" s="4">
        <f t="shared" si="41"/>
        <v>3.8199999999999998E-2</v>
      </c>
      <c r="L215">
        <f t="shared" si="42"/>
        <v>0.09</v>
      </c>
      <c r="M215" s="4">
        <f t="shared" si="39"/>
        <v>4.8181659999999997</v>
      </c>
      <c r="N215" s="4">
        <f t="shared" si="40"/>
        <v>11.351699999999999</v>
      </c>
    </row>
    <row r="216" spans="1:14">
      <c r="A216" t="str">
        <f t="shared" si="43"/>
        <v>alp_marca</v>
      </c>
      <c r="B216" t="str">
        <f t="shared" si="44"/>
        <v>MTV Brasil</v>
      </c>
      <c r="C216" t="str">
        <f t="shared" si="45"/>
        <v>alp_marca_engajamentos_jovem_mtv_display_logo_ros_logo-vma_all_cpm_no-size_111308</v>
      </c>
      <c r="D216" t="str">
        <f t="shared" si="46"/>
        <v>249991874</v>
      </c>
      <c r="E216" t="str">
        <f>IF(Table1[[#This Row],[Impressions]]&gt;Table1[[#This Row],[Clicks]],"Standard",VLOOKUP(CONCATENATE(bd_adtype,"_",bd_creativetype),tabela,2,FALSE))</f>
        <v>Dynamic Click</v>
      </c>
      <c r="F216" t="str">
        <f t="shared" si="47"/>
        <v>alp_marca_engajamentos_jovem_mtv_display_logo_ros_logo-vma_all_cpm_no-size_111308</v>
      </c>
      <c r="G216" t="str">
        <f t="shared" si="48"/>
        <v>446368266</v>
      </c>
      <c r="H216" t="str">
        <f t="shared" si="49"/>
        <v>Tracking</v>
      </c>
      <c r="I216">
        <f t="shared" si="50"/>
        <v>0</v>
      </c>
      <c r="J216">
        <f t="shared" si="51"/>
        <v>1</v>
      </c>
      <c r="K216" s="4">
        <f t="shared" si="41"/>
        <v>3.5000000000000001E-3</v>
      </c>
      <c r="L216">
        <f t="shared" si="42"/>
        <v>0.02</v>
      </c>
      <c r="M216" s="4">
        <f t="shared" si="39"/>
        <v>3.5000000000000001E-3</v>
      </c>
      <c r="N216" s="4">
        <f t="shared" si="40"/>
        <v>0.02</v>
      </c>
    </row>
    <row r="217" spans="1:14">
      <c r="A217" t="str">
        <f t="shared" si="43"/>
        <v>alp_marca</v>
      </c>
      <c r="B217" t="str">
        <f t="shared" si="44"/>
        <v>MTV Brasil</v>
      </c>
      <c r="C217" t="str">
        <f t="shared" si="45"/>
        <v>alp_marca_engajamentos_jovem_mtv_display_logo_ros_logo_all_cpm_no-size_111117</v>
      </c>
      <c r="D217" t="str">
        <f t="shared" si="46"/>
        <v>243403010</v>
      </c>
      <c r="E217" t="str">
        <f>IF(Table1[[#This Row],[Impressions]]&gt;Table1[[#This Row],[Clicks]],"Standard",VLOOKUP(CONCATENATE(bd_adtype,"_",bd_creativetype),tabela,2,FALSE))</f>
        <v>Standard</v>
      </c>
      <c r="F217" t="str">
        <f t="shared" si="47"/>
        <v>alp_marca_engajamentos_jovem_mtv_display_logo_ros_logo_all_cpm_no-size_111117</v>
      </c>
      <c r="G217" t="str">
        <f t="shared" si="48"/>
        <v>440229374</v>
      </c>
      <c r="H217" t="str">
        <f t="shared" si="49"/>
        <v>Tracking</v>
      </c>
      <c r="I217">
        <f t="shared" si="50"/>
        <v>162146</v>
      </c>
      <c r="J217">
        <f t="shared" si="51"/>
        <v>1666</v>
      </c>
      <c r="K217" s="4">
        <f t="shared" si="41"/>
        <v>3.8199999999999998E-2</v>
      </c>
      <c r="L217">
        <f t="shared" si="42"/>
        <v>0.09</v>
      </c>
      <c r="M217" s="4">
        <f t="shared" si="39"/>
        <v>6.1939771999999991</v>
      </c>
      <c r="N217" s="4">
        <f t="shared" si="40"/>
        <v>14.59314</v>
      </c>
    </row>
    <row r="218" spans="1:14">
      <c r="A218" t="str">
        <f t="shared" si="43"/>
        <v>alp_marca</v>
      </c>
      <c r="B218" t="str">
        <f t="shared" si="44"/>
        <v>MTV Brasil</v>
      </c>
      <c r="C218" t="str">
        <f t="shared" si="45"/>
        <v>alp_marca_engajamentos_jovem_mtv_display_retangulo_ros_slim-hits-vma_all_cpm_300x250_111304</v>
      </c>
      <c r="D218" t="str">
        <f t="shared" si="46"/>
        <v>250394535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alp_marca_engajamentos_jovem_mtv_display_retangulo_ros_slim-hits-vma_all_cpm_300x250_111304</v>
      </c>
      <c r="G218" t="str">
        <f t="shared" si="48"/>
        <v>446519932</v>
      </c>
      <c r="H218" t="str">
        <f t="shared" si="49"/>
        <v>Display</v>
      </c>
      <c r="I218">
        <f t="shared" si="50"/>
        <v>36</v>
      </c>
      <c r="J218">
        <f t="shared" si="51"/>
        <v>0</v>
      </c>
      <c r="K218" s="4">
        <f t="shared" si="41"/>
        <v>3.8199999999999998E-2</v>
      </c>
      <c r="L218">
        <f t="shared" si="42"/>
        <v>0.09</v>
      </c>
      <c r="M218" s="4">
        <f t="shared" si="39"/>
        <v>1.3752E-3</v>
      </c>
      <c r="N218" s="4">
        <f t="shared" si="40"/>
        <v>3.2399999999999998E-3</v>
      </c>
    </row>
    <row r="219" spans="1:14">
      <c r="A219" t="str">
        <f t="shared" si="43"/>
        <v>alp_marca</v>
      </c>
      <c r="B219" t="str">
        <f t="shared" si="44"/>
        <v>MTV Brasil</v>
      </c>
      <c r="C219" t="str">
        <f t="shared" si="45"/>
        <v>alp_marca_engajamentos_jovem_mtv_display_retangulo_ros_slim-hits_all_cpm_300x250_111219</v>
      </c>
      <c r="D219" t="str">
        <f t="shared" si="46"/>
        <v>248915829</v>
      </c>
      <c r="E219" t="str">
        <f>IF(Table1[[#This Row],[Impressions]]&gt;Table1[[#This Row],[Clicks]],"Standard",VLOOKUP(CONCATENATE(bd_adtype,"_",bd_creativetype),tabela,2,FALSE))</f>
        <v>Standard</v>
      </c>
      <c r="F219" t="str">
        <f t="shared" si="47"/>
        <v>alp_marca_engajamentos_jovem_mtv_display_retangulo_ros_slim-hits_all_cpm_300x250_111219</v>
      </c>
      <c r="G219" t="str">
        <f t="shared" si="48"/>
        <v>444931185</v>
      </c>
      <c r="H219" t="str">
        <f t="shared" si="49"/>
        <v>Display</v>
      </c>
      <c r="I219">
        <f t="shared" si="50"/>
        <v>268545</v>
      </c>
      <c r="J219">
        <f t="shared" si="51"/>
        <v>1140</v>
      </c>
      <c r="K219" s="4">
        <f t="shared" si="41"/>
        <v>3.8199999999999998E-2</v>
      </c>
      <c r="L219">
        <f t="shared" si="42"/>
        <v>0.09</v>
      </c>
      <c r="M219" s="4">
        <f t="shared" si="39"/>
        <v>10.258419</v>
      </c>
      <c r="N219" s="4">
        <f t="shared" si="40"/>
        <v>24.169049999999999</v>
      </c>
    </row>
    <row r="220" spans="1:14">
      <c r="A220" t="str">
        <f t="shared" si="43"/>
        <v>alp_marca</v>
      </c>
      <c r="B220" t="str">
        <f t="shared" si="44"/>
        <v>MTV Brasil</v>
      </c>
      <c r="C220" t="str">
        <f t="shared" si="45"/>
        <v>alp_marca_engajamentos_jovem_mtv_display_superbanner_ros_slim-hits-vma_all_cpm_728x90_111305</v>
      </c>
      <c r="D220" t="str">
        <f t="shared" si="46"/>
        <v>250299088</v>
      </c>
      <c r="E220" t="str">
        <f>IF(Table1[[#This Row],[Impressions]]&gt;Table1[[#This Row],[Clicks]],"Standard",VLOOKUP(CONCATENATE(bd_adtype,"_",bd_creativetype),tabela,2,FALSE))</f>
        <v>Standard</v>
      </c>
      <c r="F220" t="str">
        <f t="shared" si="47"/>
        <v>alp_marca_engajamentos_jovem_mtv_display_superbanner_ros_slim-hits-vma_all_cpm_728x90_111305</v>
      </c>
      <c r="G220" t="str">
        <f t="shared" si="48"/>
        <v>446519953</v>
      </c>
      <c r="H220" t="str">
        <f t="shared" si="49"/>
        <v>Display</v>
      </c>
      <c r="I220">
        <f t="shared" si="50"/>
        <v>248</v>
      </c>
      <c r="J220">
        <f t="shared" si="51"/>
        <v>0</v>
      </c>
      <c r="K220" s="4">
        <f t="shared" si="41"/>
        <v>3.8199999999999998E-2</v>
      </c>
      <c r="L220">
        <f t="shared" si="42"/>
        <v>0.09</v>
      </c>
      <c r="M220" s="4">
        <f t="shared" si="39"/>
        <v>9.4735999999999987E-3</v>
      </c>
      <c r="N220" s="4">
        <f t="shared" si="40"/>
        <v>2.232E-2</v>
      </c>
    </row>
    <row r="221" spans="1:14">
      <c r="A221" t="str">
        <f t="shared" si="43"/>
        <v>alp_marca</v>
      </c>
      <c r="B221" t="str">
        <f t="shared" si="44"/>
        <v>MTV Brasil</v>
      </c>
      <c r="C221" t="str">
        <f t="shared" si="45"/>
        <v>alp_marca_engajamentos_jovem_mtv_display_superbanner_ros_slim-hits_all_cpm_728x90_111220</v>
      </c>
      <c r="D221" t="str">
        <f t="shared" si="46"/>
        <v>248515058</v>
      </c>
      <c r="E221" t="str">
        <f>IF(Table1[[#This Row],[Impressions]]&gt;Table1[[#This Row],[Clicks]],"Standard",VLOOKUP(CONCATENATE(bd_adtype,"_",bd_creativetype),tabela,2,FALSE))</f>
        <v>Standard</v>
      </c>
      <c r="F221" t="str">
        <f t="shared" si="47"/>
        <v>alp_marca_engajamentos_jovem_mtv_display_superbanner_ros_slim-hits_all_cpm_728x90_111220</v>
      </c>
      <c r="G221" t="str">
        <f t="shared" si="48"/>
        <v>444998387</v>
      </c>
      <c r="H221" t="str">
        <f t="shared" si="49"/>
        <v>Display</v>
      </c>
      <c r="I221">
        <f t="shared" si="50"/>
        <v>17489</v>
      </c>
      <c r="J221">
        <f t="shared" si="51"/>
        <v>17</v>
      </c>
      <c r="K221" s="4">
        <f t="shared" si="41"/>
        <v>3.8199999999999998E-2</v>
      </c>
      <c r="L221">
        <f t="shared" si="42"/>
        <v>0.09</v>
      </c>
      <c r="M221" s="4">
        <f t="shared" si="39"/>
        <v>0.6680798</v>
      </c>
      <c r="N221" s="4">
        <f t="shared" si="40"/>
        <v>1.5740099999999999</v>
      </c>
    </row>
    <row r="222" spans="1:14">
      <c r="A222" t="str">
        <f t="shared" si="43"/>
        <v>alp_marca</v>
      </c>
      <c r="B222" t="str">
        <f t="shared" si="44"/>
        <v>MTV Brasil</v>
      </c>
      <c r="C222" t="str">
        <f t="shared" si="45"/>
        <v>alp_marca_engajamentos_jovem_mtv_influenciador_stories-jonathan-neguebites_social_havaianas-top-max_all_fixo_de-11s-ate-29s_111327</v>
      </c>
      <c r="D222" t="str">
        <f t="shared" si="46"/>
        <v>250818865</v>
      </c>
      <c r="E222" t="str">
        <f>IF(Table1[[#This Row],[Impressions]]&gt;Table1[[#This Row],[Clicks]],"Standard",VLOOKUP(CONCATENATE(bd_adtype,"_",bd_creativetype),tabela,2,FALSE))</f>
        <v>Dynamic Click</v>
      </c>
      <c r="F222" t="str">
        <f t="shared" si="47"/>
        <v>alp_marca_engajamentos_jovem_mtv_influenciador_stories-jonathan-neguebites_social_havaianas-top-max_all_fixo_de-11s-ate-29s_111327</v>
      </c>
      <c r="G222" t="str">
        <f t="shared" si="48"/>
        <v>447013237</v>
      </c>
      <c r="H222" t="str">
        <f t="shared" si="49"/>
        <v>Tracking</v>
      </c>
      <c r="I222">
        <f t="shared" si="50"/>
        <v>0</v>
      </c>
      <c r="J222">
        <f t="shared" si="51"/>
        <v>7</v>
      </c>
      <c r="K222" s="4">
        <f t="shared" si="41"/>
        <v>3.5000000000000001E-3</v>
      </c>
      <c r="L222">
        <f t="shared" si="42"/>
        <v>0.02</v>
      </c>
      <c r="M222" s="4">
        <f t="shared" si="39"/>
        <v>2.4500000000000001E-2</v>
      </c>
      <c r="N222" s="4">
        <f t="shared" si="40"/>
        <v>0.14000000000000001</v>
      </c>
    </row>
    <row r="223" spans="1:14">
      <c r="A223" t="str">
        <f t="shared" si="43"/>
        <v>alp_marca</v>
      </c>
      <c r="B223" t="str">
        <f t="shared" si="44"/>
        <v>MTV Brasil</v>
      </c>
      <c r="C223" t="str">
        <f t="shared" si="45"/>
        <v>alp_marca_engajamentos_jovem_mtv_influenciador_stories-karolconka_social_rasteiras-you_all_fixo_de-11s-ate-29s_111326</v>
      </c>
      <c r="D223" t="str">
        <f t="shared" si="46"/>
        <v>250898058</v>
      </c>
      <c r="E223" t="str">
        <f>IF(Table1[[#This Row],[Impressions]]&gt;Table1[[#This Row],[Clicks]],"Standard",VLOOKUP(CONCATENATE(bd_adtype,"_",bd_creativetype),tabela,2,FALSE))</f>
        <v>Dynamic Click</v>
      </c>
      <c r="F223" t="str">
        <f t="shared" si="47"/>
        <v>alp_marca_engajamentos_jovem_mtv_stories-karolconka_rasteiras-you_all_fixo_de-11s-ate-29s_111326</v>
      </c>
      <c r="G223" t="str">
        <f t="shared" si="48"/>
        <v>446926007</v>
      </c>
      <c r="H223" t="str">
        <f t="shared" si="49"/>
        <v>Tracking</v>
      </c>
      <c r="I223">
        <f t="shared" si="50"/>
        <v>0</v>
      </c>
      <c r="J223">
        <f t="shared" si="51"/>
        <v>123</v>
      </c>
      <c r="K223" s="4">
        <f t="shared" si="41"/>
        <v>3.5000000000000001E-3</v>
      </c>
      <c r="L223">
        <f t="shared" si="42"/>
        <v>0.02</v>
      </c>
      <c r="M223" s="4">
        <f t="shared" si="39"/>
        <v>0.43049999999999999</v>
      </c>
      <c r="N223" s="4">
        <f t="shared" si="40"/>
        <v>2.46</v>
      </c>
    </row>
    <row r="224" spans="1:14">
      <c r="A224" t="str">
        <f t="shared" si="43"/>
        <v>alp_marca</v>
      </c>
      <c r="B224" t="str">
        <f t="shared" si="44"/>
        <v>MTV Brasil</v>
      </c>
      <c r="C224" t="str">
        <f t="shared" si="45"/>
        <v>alp_marca_engajamentos_jovem_mtv_influenciador_stories-sabrinasato_social_slim-hits_all_fixo_de-11s-ate-29s_111325</v>
      </c>
      <c r="D224" t="str">
        <f t="shared" si="46"/>
        <v>250818304</v>
      </c>
      <c r="E224" t="str">
        <f>IF(Table1[[#This Row],[Impressions]]&gt;Table1[[#This Row],[Clicks]],"Standard",VLOOKUP(CONCATENATE(bd_adtype,"_",bd_creativetype),tabela,2,FALSE))</f>
        <v>Dynamic Click</v>
      </c>
      <c r="F224" t="str">
        <f t="shared" si="47"/>
        <v>alp_marca_engajamentos_jovem_mtv_influenciador_stories-sabrinasato_social_slim-hits_all_fixo_de-11s-ate-29s_111325</v>
      </c>
      <c r="G224" t="str">
        <f t="shared" si="48"/>
        <v>446926763</v>
      </c>
      <c r="H224" t="str">
        <f t="shared" si="49"/>
        <v>Tracking</v>
      </c>
      <c r="I224">
        <f t="shared" si="50"/>
        <v>0</v>
      </c>
      <c r="J224">
        <f t="shared" si="51"/>
        <v>728</v>
      </c>
      <c r="K224" s="4">
        <f t="shared" si="41"/>
        <v>3.5000000000000001E-3</v>
      </c>
      <c r="L224">
        <f t="shared" si="42"/>
        <v>0.02</v>
      </c>
      <c r="M224" s="4">
        <f t="shared" si="39"/>
        <v>2.548</v>
      </c>
      <c r="N224" s="4">
        <f t="shared" si="40"/>
        <v>14.56</v>
      </c>
    </row>
    <row r="225" spans="1:14">
      <c r="A225" t="str">
        <f t="shared" si="43"/>
        <v>alp_marca</v>
      </c>
      <c r="B225" t="str">
        <f t="shared" si="44"/>
        <v>MTV Brasil</v>
      </c>
      <c r="C225" t="str">
        <f t="shared" si="45"/>
        <v>alp_marca_engajamentos_jovem_mtv_video_pre-roll_ros_hype-vma_all_cpm_de-11s-ate-29s_111309</v>
      </c>
      <c r="D225" t="str">
        <f t="shared" si="46"/>
        <v>249995243</v>
      </c>
      <c r="E225" t="str">
        <f>IF(Table1[[#This Row],[Impressions]]&gt;Table1[[#This Row],[Clicks]],"Standard",VLOOKUP(CONCATENATE(bd_adtype,"_",bd_creativetype),tabela,2,FALSE))</f>
        <v>Dynamic Click</v>
      </c>
      <c r="F225" t="str">
        <f t="shared" si="47"/>
        <v>alp_marca_engajamentos_jovem_mtv_video_pre-roll_ros_hype-vma_all_cpm_de-11s-ate-29s_111309</v>
      </c>
      <c r="G225" t="str">
        <f t="shared" si="48"/>
        <v>446428979</v>
      </c>
      <c r="H225" t="str">
        <f t="shared" si="49"/>
        <v>Tracking</v>
      </c>
      <c r="I225">
        <f t="shared" si="50"/>
        <v>12</v>
      </c>
      <c r="J225">
        <f t="shared" si="51"/>
        <v>12</v>
      </c>
      <c r="K225" s="4">
        <f t="shared" si="41"/>
        <v>3.5000000000000001E-3</v>
      </c>
      <c r="L225">
        <f t="shared" si="42"/>
        <v>0.02</v>
      </c>
      <c r="M225" s="4">
        <f t="shared" si="39"/>
        <v>4.2000000000000003E-2</v>
      </c>
      <c r="N225" s="4">
        <f t="shared" si="40"/>
        <v>0.24</v>
      </c>
    </row>
    <row r="226" spans="1:14">
      <c r="A226" t="str">
        <f t="shared" si="43"/>
        <v>alp_marca</v>
      </c>
      <c r="B226" t="str">
        <f t="shared" si="44"/>
        <v>MTV Brasil</v>
      </c>
      <c r="C226" t="str">
        <f t="shared" si="45"/>
        <v>alp_marca_engajamentos_jovem_mtv_video_pre-roll_ros_hype_all_cpm_de-11s-ate-29s_111171</v>
      </c>
      <c r="D226" t="str">
        <f t="shared" si="46"/>
        <v>246698169</v>
      </c>
      <c r="E226" t="str">
        <f>IF(Table1[[#This Row],[Impressions]]&gt;Table1[[#This Row],[Clicks]],"Standard",VLOOKUP(CONCATENATE(bd_adtype,"_",bd_creativetype),tabela,2,FALSE))</f>
        <v>Standard</v>
      </c>
      <c r="F226" t="str">
        <f t="shared" si="47"/>
        <v>alp_marca_engajamentos_jovem_mtv_video_pre-roll_ros_hype_all_cpm_de-11s-ate-29s_111171</v>
      </c>
      <c r="G226" t="str">
        <f t="shared" si="48"/>
        <v>443048503</v>
      </c>
      <c r="H226" t="str">
        <f t="shared" si="49"/>
        <v>Tracking</v>
      </c>
      <c r="I226">
        <f t="shared" si="50"/>
        <v>3640</v>
      </c>
      <c r="J226">
        <f t="shared" si="51"/>
        <v>220</v>
      </c>
      <c r="K226" s="4">
        <f t="shared" si="41"/>
        <v>3.8199999999999998E-2</v>
      </c>
      <c r="L226">
        <f t="shared" si="42"/>
        <v>0.09</v>
      </c>
      <c r="M226" s="4">
        <f t="shared" si="39"/>
        <v>0.139048</v>
      </c>
      <c r="N226" s="4">
        <f t="shared" si="40"/>
        <v>0.32759999999999995</v>
      </c>
    </row>
    <row r="227" spans="1:14">
      <c r="A227" t="str">
        <f t="shared" si="43"/>
        <v>alp_marca</v>
      </c>
      <c r="B227" t="str">
        <f t="shared" si="44"/>
        <v>MTV Brasil</v>
      </c>
      <c r="C227" t="str">
        <f t="shared" si="45"/>
        <v>alp_marca_engajamentos_jovem_mtv_video_pre-roll_ros_slim-hibisco-vma_all_cpm_de-11s-ate-29s_111307</v>
      </c>
      <c r="D227" t="str">
        <f t="shared" si="46"/>
        <v>249992882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alp_marca_engajamentos_jovem_mtv_video_pre-roll_ros_slim-hibisco-vma_all_cpm_de-11s-ate-29s_111307</v>
      </c>
      <c r="G227" t="str">
        <f t="shared" si="48"/>
        <v>446368218</v>
      </c>
      <c r="H227" t="str">
        <f t="shared" si="49"/>
        <v>Tracking</v>
      </c>
      <c r="I227">
        <f t="shared" si="50"/>
        <v>0</v>
      </c>
      <c r="J227">
        <f t="shared" si="51"/>
        <v>1</v>
      </c>
      <c r="K227" s="4">
        <f t="shared" si="41"/>
        <v>3.5000000000000001E-3</v>
      </c>
      <c r="L227">
        <f t="shared" si="42"/>
        <v>0.02</v>
      </c>
      <c r="M227" s="4">
        <f t="shared" ref="M227:M290" si="52">IF(E227="Dynamic Click",J227*K227,K227*$I227/1000)</f>
        <v>3.5000000000000001E-3</v>
      </c>
      <c r="N227" s="4">
        <f t="shared" ref="N227:N290" si="53">IF(E227="Dynamic Click",J227*L227,L227*$I227/1000)</f>
        <v>0.02</v>
      </c>
    </row>
    <row r="228" spans="1:14">
      <c r="A228" t="str">
        <f t="shared" si="43"/>
        <v>alp_marca</v>
      </c>
      <c r="B228" t="str">
        <f t="shared" si="44"/>
        <v>MTV Brasil</v>
      </c>
      <c r="C228" t="str">
        <f t="shared" si="45"/>
        <v>alp_marca_engajamentos_jovem_mtv_video_pre-roll_ros_slim-hibisco_all_cpm_de-11s-ate-29s_111172</v>
      </c>
      <c r="D228" t="str">
        <f t="shared" si="46"/>
        <v>246346778</v>
      </c>
      <c r="E228" t="str">
        <f>IF(Table1[[#This Row],[Impressions]]&gt;Table1[[#This Row],[Clicks]],"Standard",VLOOKUP(CONCATENATE(bd_adtype,"_",bd_creativetype),tabela,2,FALSE))</f>
        <v>Standard</v>
      </c>
      <c r="F228" t="str">
        <f t="shared" si="47"/>
        <v>alp_marca_engajamentos_jovem_mtv_video_pre-roll_ros_slim-hibisco_all_cpm_de-11s-ate-29s_111172</v>
      </c>
      <c r="G228" t="str">
        <f t="shared" si="48"/>
        <v>443031713</v>
      </c>
      <c r="H228" t="str">
        <f t="shared" si="49"/>
        <v>Tracking</v>
      </c>
      <c r="I228">
        <f t="shared" si="50"/>
        <v>3555</v>
      </c>
      <c r="J228">
        <f t="shared" si="51"/>
        <v>236</v>
      </c>
      <c r="K228" s="4">
        <f t="shared" si="41"/>
        <v>3.8199999999999998E-2</v>
      </c>
      <c r="L228">
        <f t="shared" si="42"/>
        <v>0.09</v>
      </c>
      <c r="M228" s="4">
        <f t="shared" si="52"/>
        <v>0.13580099999999998</v>
      </c>
      <c r="N228" s="4">
        <f t="shared" si="53"/>
        <v>0.31995000000000001</v>
      </c>
    </row>
    <row r="229" spans="1:14">
      <c r="A229" t="str">
        <f t="shared" si="43"/>
        <v>alp_marca</v>
      </c>
      <c r="B229" t="str">
        <f t="shared" si="44"/>
        <v>Marie Claire (Brazil)</v>
      </c>
      <c r="C229" t="str">
        <f t="shared" si="45"/>
        <v>alp_marca_alcance_feminino_marie-claire_display_billboard_ros_rasteiras_fashion_cpm_970x250_111341</v>
      </c>
      <c r="D229" t="str">
        <f t="shared" si="46"/>
        <v>251705546</v>
      </c>
      <c r="E229" t="str">
        <f>IF(Table1[[#This Row],[Impressions]]&gt;Table1[[#This Row],[Clicks]],"Standard",VLOOKUP(CONCATENATE(bd_adtype,"_",bd_creativetype),tabela,2,FALSE))</f>
        <v>Standard</v>
      </c>
      <c r="F229" t="str">
        <f t="shared" si="47"/>
        <v>alp_marca_alcance_feminino_marie-claire_display_billboard_ros_rasteiras_fashion_cpm_970x250_111341</v>
      </c>
      <c r="G229" t="str">
        <f t="shared" si="48"/>
        <v>448030590</v>
      </c>
      <c r="H229" t="str">
        <f t="shared" si="49"/>
        <v>Tracking</v>
      </c>
      <c r="I229">
        <f t="shared" si="50"/>
        <v>759473</v>
      </c>
      <c r="J229">
        <f t="shared" si="51"/>
        <v>732</v>
      </c>
      <c r="K229" s="4">
        <f t="shared" si="41"/>
        <v>3.8199999999999998E-2</v>
      </c>
      <c r="L229">
        <f t="shared" si="42"/>
        <v>0.09</v>
      </c>
      <c r="M229" s="4">
        <f t="shared" si="52"/>
        <v>29.0118686</v>
      </c>
      <c r="N229" s="4">
        <f t="shared" si="53"/>
        <v>68.352569999999986</v>
      </c>
    </row>
    <row r="230" spans="1:14">
      <c r="A230" t="str">
        <f t="shared" si="43"/>
        <v>alp_marca</v>
      </c>
      <c r="B230" t="str">
        <f t="shared" si="44"/>
        <v>Marie Claire (Brazil)</v>
      </c>
      <c r="C230" t="str">
        <f t="shared" si="45"/>
        <v>alp_marca_alcance_feminino_marie-claire_display_billboard_ros_rasteiras_funcional_cpm_970x250_111340</v>
      </c>
      <c r="D230" t="str">
        <f t="shared" si="46"/>
        <v>252109170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alp_marca_alcance_feminino_marie-claire_display_billboard_ros_rasteiras_funcional_cpm_970x250_111340</v>
      </c>
      <c r="G230" t="str">
        <f t="shared" si="48"/>
        <v>448044843</v>
      </c>
      <c r="H230" t="str">
        <f t="shared" si="49"/>
        <v>Tracking</v>
      </c>
      <c r="I230">
        <f t="shared" si="50"/>
        <v>0</v>
      </c>
      <c r="J230">
        <f t="shared" si="51"/>
        <v>1</v>
      </c>
      <c r="K230" s="4">
        <f t="shared" si="41"/>
        <v>3.5000000000000001E-3</v>
      </c>
      <c r="L230">
        <f t="shared" si="42"/>
        <v>0.02</v>
      </c>
      <c r="M230" s="4">
        <f t="shared" si="52"/>
        <v>3.5000000000000001E-3</v>
      </c>
      <c r="N230" s="4">
        <f t="shared" si="53"/>
        <v>0.02</v>
      </c>
    </row>
    <row r="231" spans="1:14">
      <c r="A231" t="str">
        <f t="shared" si="43"/>
        <v>alp_marca</v>
      </c>
      <c r="B231" t="str">
        <f t="shared" si="44"/>
        <v>Marie Claire (Brazil)</v>
      </c>
      <c r="C231" t="str">
        <f t="shared" si="45"/>
        <v>alp_marca_alcance_feminino_marie-claire_display_half-page_ros_rasteiras_fashion_cpm_300x600_111341</v>
      </c>
      <c r="D231" t="str">
        <f t="shared" si="46"/>
        <v>251713850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alp_marca_alcance_feminino_marie-claire_display_half-page_ros_rasteiras_fashion_cpm_300x600_111341</v>
      </c>
      <c r="G231" t="str">
        <f t="shared" si="48"/>
        <v>448102064</v>
      </c>
      <c r="H231" t="str">
        <f t="shared" si="49"/>
        <v>Tracking</v>
      </c>
      <c r="I231">
        <f t="shared" si="50"/>
        <v>0</v>
      </c>
      <c r="J231">
        <f t="shared" si="51"/>
        <v>1</v>
      </c>
      <c r="K231" s="4">
        <f t="shared" si="41"/>
        <v>3.5000000000000001E-3</v>
      </c>
      <c r="L231">
        <f t="shared" si="42"/>
        <v>0.02</v>
      </c>
      <c r="M231" s="4">
        <f t="shared" si="52"/>
        <v>3.5000000000000001E-3</v>
      </c>
      <c r="N231" s="4">
        <f t="shared" si="53"/>
        <v>0.02</v>
      </c>
    </row>
    <row r="232" spans="1:14">
      <c r="A232" t="str">
        <f t="shared" si="43"/>
        <v>alp_marca</v>
      </c>
      <c r="B232" t="str">
        <f t="shared" si="44"/>
        <v>Marie Claire (Brazil)</v>
      </c>
      <c r="C232" t="str">
        <f t="shared" si="45"/>
        <v>alp_marca_alcance_feminino_marie-claire_display_half-page_ros_rasteiras_funcional_cpm_300x600_111340</v>
      </c>
      <c r="D232" t="str">
        <f t="shared" si="46"/>
        <v>252038203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alp_marca_alcance_feminino_marie-claire_display_half-page_ros_rasteiras_funcional_cpm_300x600_111340</v>
      </c>
      <c r="G232" t="str">
        <f t="shared" si="48"/>
        <v>448183864</v>
      </c>
      <c r="H232" t="str">
        <f t="shared" si="49"/>
        <v>Tracking</v>
      </c>
      <c r="I232">
        <f t="shared" si="50"/>
        <v>0</v>
      </c>
      <c r="J232">
        <f t="shared" si="51"/>
        <v>1</v>
      </c>
      <c r="K232" s="4">
        <f t="shared" si="41"/>
        <v>3.5000000000000001E-3</v>
      </c>
      <c r="L232">
        <f t="shared" si="42"/>
        <v>0.02</v>
      </c>
      <c r="M232" s="4">
        <f t="shared" si="52"/>
        <v>3.5000000000000001E-3</v>
      </c>
      <c r="N232" s="4">
        <f t="shared" si="53"/>
        <v>0.02</v>
      </c>
    </row>
    <row r="233" spans="1:14">
      <c r="A233" t="str">
        <f t="shared" si="43"/>
        <v>alp_marca</v>
      </c>
      <c r="B233" t="str">
        <f t="shared" si="44"/>
        <v>Marie Claire (Brazil)</v>
      </c>
      <c r="C233" t="str">
        <f t="shared" si="45"/>
        <v>alp_marca_alcance_feminino_marie-claire_display_retangulo_ros_rasteiras_fashion_cpm_300x250_111341</v>
      </c>
      <c r="D233" t="str">
        <f t="shared" si="46"/>
        <v>252108897</v>
      </c>
      <c r="E233" t="str">
        <f>IF(Table1[[#This Row],[Impressions]]&gt;Table1[[#This Row],[Clicks]],"Standard",VLOOKUP(CONCATENATE(bd_adtype,"_",bd_creativetype),tabela,2,FALSE))</f>
        <v>Standard</v>
      </c>
      <c r="F233" t="str">
        <f t="shared" si="47"/>
        <v>alp_marca_alcance_feminino_marie-claire_display_retangulo_ros_rasteiras_fashion_cpm_300x250_111341</v>
      </c>
      <c r="G233" t="str">
        <f t="shared" si="48"/>
        <v>448185619</v>
      </c>
      <c r="H233" t="str">
        <f t="shared" si="49"/>
        <v>Tracking</v>
      </c>
      <c r="I233">
        <f t="shared" si="50"/>
        <v>86718</v>
      </c>
      <c r="J233">
        <f t="shared" si="51"/>
        <v>40</v>
      </c>
      <c r="K233" s="4">
        <f t="shared" si="41"/>
        <v>3.8199999999999998E-2</v>
      </c>
      <c r="L233">
        <f t="shared" si="42"/>
        <v>0.09</v>
      </c>
      <c r="M233" s="4">
        <f t="shared" si="52"/>
        <v>3.3126275999999999</v>
      </c>
      <c r="N233" s="4">
        <f t="shared" si="53"/>
        <v>7.8046199999999999</v>
      </c>
    </row>
    <row r="234" spans="1:14">
      <c r="A234" t="str">
        <f t="shared" si="43"/>
        <v>alp_marca</v>
      </c>
      <c r="B234" t="str">
        <f t="shared" si="44"/>
        <v>Marie Claire (Brazil)</v>
      </c>
      <c r="C234" t="str">
        <f t="shared" si="45"/>
        <v>alp_marca_alcance_feminino_marie-claire_display_retangulo_ros_rasteiras_funcional_cpm_300x250_111340</v>
      </c>
      <c r="D234" t="str">
        <f t="shared" si="46"/>
        <v>252038179</v>
      </c>
      <c r="E234" t="str">
        <f>IF(Table1[[#This Row],[Impressions]]&gt;Table1[[#This Row],[Clicks]],"Standard",VLOOKUP(CONCATENATE(bd_adtype,"_",bd_creativetype),tabela,2,FALSE))</f>
        <v>Dynamic Click</v>
      </c>
      <c r="F234" t="str">
        <f t="shared" si="47"/>
        <v>alp_marca_alcance_feminino_marie-claire_display_retangulo_ros_rasteiras_funcional_cpm_300x250_111340</v>
      </c>
      <c r="G234" t="str">
        <f t="shared" si="48"/>
        <v>448100054</v>
      </c>
      <c r="H234" t="str">
        <f t="shared" si="49"/>
        <v>Tracking</v>
      </c>
      <c r="I234">
        <f t="shared" si="50"/>
        <v>0</v>
      </c>
      <c r="J234">
        <f t="shared" si="51"/>
        <v>1</v>
      </c>
      <c r="K234" s="4">
        <f t="shared" si="41"/>
        <v>3.5000000000000001E-3</v>
      </c>
      <c r="L234">
        <f t="shared" si="42"/>
        <v>0.02</v>
      </c>
      <c r="M234" s="4">
        <f t="shared" si="52"/>
        <v>3.5000000000000001E-3</v>
      </c>
      <c r="N234" s="4">
        <f t="shared" si="53"/>
        <v>0.02</v>
      </c>
    </row>
    <row r="235" spans="1:14">
      <c r="A235" t="str">
        <f t="shared" si="43"/>
        <v>alp_marca</v>
      </c>
      <c r="B235" t="str">
        <f t="shared" si="44"/>
        <v>Marie Claire (Brazil)</v>
      </c>
      <c r="C235" t="str">
        <f t="shared" si="45"/>
        <v>alp_marca_alcance_feminino_marie-claire_display_superbanner_ros_rasteiras_fashion_cpm_728x90_111341</v>
      </c>
      <c r="D235" t="str">
        <f t="shared" si="46"/>
        <v>252038263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alp_marca_alcance_feminino_marie-claire_display_superbanner_ros_rasteiras_fashion_cpm_728x90_111341</v>
      </c>
      <c r="G235" t="str">
        <f t="shared" si="48"/>
        <v>448102070</v>
      </c>
      <c r="H235" t="str">
        <f t="shared" si="49"/>
        <v>Tracking</v>
      </c>
      <c r="I235">
        <f t="shared" si="50"/>
        <v>62356</v>
      </c>
      <c r="J235">
        <f t="shared" si="51"/>
        <v>29</v>
      </c>
      <c r="K235" s="4">
        <f t="shared" si="41"/>
        <v>3.8199999999999998E-2</v>
      </c>
      <c r="L235">
        <f t="shared" si="42"/>
        <v>0.09</v>
      </c>
      <c r="M235" s="4">
        <f t="shared" si="52"/>
        <v>2.3819991999999997</v>
      </c>
      <c r="N235" s="4">
        <f t="shared" si="53"/>
        <v>5.6120400000000004</v>
      </c>
    </row>
    <row r="236" spans="1:14">
      <c r="A236" t="str">
        <f t="shared" si="43"/>
        <v>alp_marca</v>
      </c>
      <c r="B236" t="str">
        <f t="shared" si="44"/>
        <v>Marie Claire (Brazil)</v>
      </c>
      <c r="C236" t="str">
        <f t="shared" si="45"/>
        <v>alp_marca_alcance_feminino_marie-claire_display_superbanner_ros_rasteiras_funcional_cpm_728x90_111340</v>
      </c>
      <c r="D236" t="str">
        <f t="shared" si="46"/>
        <v>251713829</v>
      </c>
      <c r="E236" t="str">
        <f>IF(Table1[[#This Row],[Impressions]]&gt;Table1[[#This Row],[Clicks]],"Standard",VLOOKUP(CONCATENATE(bd_adtype,"_",bd_creativetype),tabela,2,FALSE))</f>
        <v>Dynamic Click</v>
      </c>
      <c r="F236" t="str">
        <f t="shared" si="47"/>
        <v>alp_marca_alcance_feminino_marie-claire_display_superbanner_ros_rasteiras_funcional_cpm_728x90_111340</v>
      </c>
      <c r="G236" t="str">
        <f t="shared" si="48"/>
        <v>448044489</v>
      </c>
      <c r="H236" t="str">
        <f t="shared" si="49"/>
        <v>Tracking</v>
      </c>
      <c r="I236">
        <f t="shared" si="50"/>
        <v>0</v>
      </c>
      <c r="J236">
        <f t="shared" si="51"/>
        <v>1</v>
      </c>
      <c r="K236" s="4">
        <f t="shared" ref="K236:K299" si="54">IF(LEFT(B236,3)="DBM",0,VLOOKUP(E236,tabela,2,FALSE))</f>
        <v>3.5000000000000001E-3</v>
      </c>
      <c r="L236">
        <f t="shared" ref="L236:L299" si="55">VLOOKUP(E236,tabela,3,FALSE)</f>
        <v>0.02</v>
      </c>
      <c r="M236" s="4">
        <f t="shared" si="52"/>
        <v>3.5000000000000001E-3</v>
      </c>
      <c r="N236" s="4">
        <f t="shared" si="53"/>
        <v>0.02</v>
      </c>
    </row>
    <row r="237" spans="1:14">
      <c r="A237" t="str">
        <f t="shared" si="43"/>
        <v>alp_marca</v>
      </c>
      <c r="B237" t="str">
        <f t="shared" si="44"/>
        <v>Oath BR</v>
      </c>
      <c r="C237" t="str">
        <f t="shared" si="45"/>
        <v>alp_marca_alcance_feminino_oath-verizon_display_arranha-ceu_ros_rasteiras_fashion_cpm_160x600_111341</v>
      </c>
      <c r="D237" t="str">
        <f t="shared" si="46"/>
        <v>251525998</v>
      </c>
      <c r="E237" t="str">
        <f>IF(Table1[[#This Row],[Impressions]]&gt;Table1[[#This Row],[Clicks]],"Standard",VLOOKUP(CONCATENATE(bd_adtype,"_",bd_creativetype),tabela,2,FALSE))</f>
        <v>Standard</v>
      </c>
      <c r="F237" t="str">
        <f t="shared" si="47"/>
        <v>1x1 Default Web Ad</v>
      </c>
      <c r="G237" t="str">
        <f t="shared" si="48"/>
        <v>438503523</v>
      </c>
      <c r="H237" t="str">
        <f t="shared" si="49"/>
        <v>Display</v>
      </c>
      <c r="I237">
        <f t="shared" si="50"/>
        <v>6</v>
      </c>
      <c r="J237">
        <f t="shared" si="51"/>
        <v>0</v>
      </c>
      <c r="K237" s="4">
        <f t="shared" si="54"/>
        <v>3.8199999999999998E-2</v>
      </c>
      <c r="L237">
        <f t="shared" si="55"/>
        <v>0.09</v>
      </c>
      <c r="M237" s="4">
        <f t="shared" si="52"/>
        <v>2.2919999999999999E-4</v>
      </c>
      <c r="N237" s="4">
        <f t="shared" si="53"/>
        <v>5.4000000000000001E-4</v>
      </c>
    </row>
    <row r="238" spans="1:14">
      <c r="A238" t="str">
        <f t="shared" si="43"/>
        <v>alp_marca</v>
      </c>
      <c r="B238" t="str">
        <f t="shared" si="44"/>
        <v>Oath BR</v>
      </c>
      <c r="C238" t="str">
        <f t="shared" si="45"/>
        <v>alp_marca_alcance_feminino_oath-verizon_display_arranha-ceu_ros_rasteiras_funcional_cpm_160x600_111340</v>
      </c>
      <c r="D238" t="str">
        <f t="shared" si="46"/>
        <v>251622879</v>
      </c>
      <c r="E238" t="str">
        <f>IF(Table1[[#This Row],[Impressions]]&gt;Table1[[#This Row],[Clicks]],"Standard",VLOOKUP(CONCATENATE(bd_adtype,"_",bd_creativetype),tabela,2,FALSE))</f>
        <v>Standard</v>
      </c>
      <c r="F238" t="str">
        <f t="shared" si="47"/>
        <v>1x1 Default Web Ad</v>
      </c>
      <c r="G238" t="str">
        <f t="shared" si="48"/>
        <v>438503523</v>
      </c>
      <c r="H238" t="str">
        <f t="shared" si="49"/>
        <v>Display</v>
      </c>
      <c r="I238">
        <f t="shared" si="50"/>
        <v>2</v>
      </c>
      <c r="J238">
        <f t="shared" si="51"/>
        <v>0</v>
      </c>
      <c r="K238" s="4">
        <f t="shared" si="54"/>
        <v>3.8199999999999998E-2</v>
      </c>
      <c r="L238">
        <f t="shared" si="55"/>
        <v>0.09</v>
      </c>
      <c r="M238" s="4">
        <f t="shared" si="52"/>
        <v>7.64E-5</v>
      </c>
      <c r="N238" s="4">
        <f t="shared" si="53"/>
        <v>1.7999999999999998E-4</v>
      </c>
    </row>
    <row r="239" spans="1:14">
      <c r="A239" t="str">
        <f t="shared" si="43"/>
        <v>alp_marca</v>
      </c>
      <c r="B239" t="str">
        <f t="shared" si="44"/>
        <v>Oath BR</v>
      </c>
      <c r="C239" t="str">
        <f t="shared" si="45"/>
        <v>alp_marca_alcance_feminino_oath-verizon_display_arranha-ceu_ros_rasteiras_funcional_cpm_160x600_111340</v>
      </c>
      <c r="D239" t="str">
        <f t="shared" si="46"/>
        <v>251622879</v>
      </c>
      <c r="E239" t="str">
        <f>IF(Table1[[#This Row],[Impressions]]&gt;Table1[[#This Row],[Clicks]],"Standard",VLOOKUP(CONCATENATE(bd_adtype,"_",bd_creativetype),tabela,2,FALSE))</f>
        <v>Standard</v>
      </c>
      <c r="F239" t="str">
        <f t="shared" si="47"/>
        <v>alp_marca_alcance_feminino_oath-verizon_display_arranha-ceu_ros_rasteiras_funcional_cpm_160x600_111340</v>
      </c>
      <c r="G239" t="str">
        <f t="shared" si="48"/>
        <v>447709207</v>
      </c>
      <c r="H239" t="str">
        <f t="shared" si="49"/>
        <v>Tracking</v>
      </c>
      <c r="I239">
        <f t="shared" si="50"/>
        <v>30</v>
      </c>
      <c r="J239">
        <f t="shared" si="51"/>
        <v>0</v>
      </c>
      <c r="K239" s="4">
        <f t="shared" si="54"/>
        <v>3.8199999999999998E-2</v>
      </c>
      <c r="L239">
        <f t="shared" si="55"/>
        <v>0.09</v>
      </c>
      <c r="M239" s="4">
        <f t="shared" si="52"/>
        <v>1.1459999999999999E-3</v>
      </c>
      <c r="N239" s="4">
        <f t="shared" si="53"/>
        <v>2.6999999999999997E-3</v>
      </c>
    </row>
    <row r="240" spans="1:14">
      <c r="A240" t="str">
        <f t="shared" si="43"/>
        <v>alp_marca</v>
      </c>
      <c r="B240" t="str">
        <f t="shared" si="44"/>
        <v>Oath BR</v>
      </c>
      <c r="C240" t="str">
        <f t="shared" si="45"/>
        <v>alp_marca_alcance_feminino_oath-verizon_display_banner_ros_rasteiras_fashion_cpm_468x60_111341</v>
      </c>
      <c r="D240" t="str">
        <f t="shared" si="46"/>
        <v>251527363</v>
      </c>
      <c r="E240" t="str">
        <f>IF(Table1[[#This Row],[Impressions]]&gt;Table1[[#This Row],[Clicks]],"Standard",VLOOKUP(CONCATENATE(bd_adtype,"_",bd_creativetype),tabela,2,FALSE))</f>
        <v>Standard</v>
      </c>
      <c r="F240" t="str">
        <f t="shared" si="47"/>
        <v>1x1 Default Web Ad</v>
      </c>
      <c r="G240" t="str">
        <f t="shared" si="48"/>
        <v>438503523</v>
      </c>
      <c r="H240" t="str">
        <f t="shared" si="49"/>
        <v>Display</v>
      </c>
      <c r="I240">
        <f t="shared" si="50"/>
        <v>3</v>
      </c>
      <c r="J240">
        <f t="shared" si="51"/>
        <v>0</v>
      </c>
      <c r="K240" s="4">
        <f t="shared" si="54"/>
        <v>3.8199999999999998E-2</v>
      </c>
      <c r="L240">
        <f t="shared" si="55"/>
        <v>0.09</v>
      </c>
      <c r="M240" s="4">
        <f t="shared" si="52"/>
        <v>1.1459999999999999E-4</v>
      </c>
      <c r="N240" s="4">
        <f t="shared" si="53"/>
        <v>2.7E-4</v>
      </c>
    </row>
    <row r="241" spans="1:14">
      <c r="A241" t="str">
        <f t="shared" si="43"/>
        <v>alp_marca</v>
      </c>
      <c r="B241" t="str">
        <f t="shared" si="44"/>
        <v>Oath BR</v>
      </c>
      <c r="C241" t="str">
        <f t="shared" si="45"/>
        <v>alp_marca_alcance_feminino_oath-verizon_display_banner_ros_rasteiras_fashion_cpm_468x60_111341</v>
      </c>
      <c r="D241" t="str">
        <f t="shared" si="46"/>
        <v>251527363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alp_marca_alcance_feminino_oath-verizon_display_banner_ros_rasteiras_fashion_cpm_468x60_111341</v>
      </c>
      <c r="G241" t="str">
        <f t="shared" si="48"/>
        <v>447711241</v>
      </c>
      <c r="H241" t="str">
        <f t="shared" si="49"/>
        <v>Tracking</v>
      </c>
      <c r="I241">
        <f t="shared" si="50"/>
        <v>0</v>
      </c>
      <c r="J241">
        <f t="shared" si="51"/>
        <v>1</v>
      </c>
      <c r="K241" s="4">
        <f t="shared" si="54"/>
        <v>3.5000000000000001E-3</v>
      </c>
      <c r="L241">
        <f t="shared" si="55"/>
        <v>0.02</v>
      </c>
      <c r="M241" s="4">
        <f t="shared" si="52"/>
        <v>3.5000000000000001E-3</v>
      </c>
      <c r="N241" s="4">
        <f t="shared" si="53"/>
        <v>0.02</v>
      </c>
    </row>
    <row r="242" spans="1:14">
      <c r="A242" t="str">
        <f t="shared" si="43"/>
        <v>alp_marca</v>
      </c>
      <c r="B242" t="str">
        <f t="shared" si="44"/>
        <v>Oath BR</v>
      </c>
      <c r="C242" t="str">
        <f t="shared" si="45"/>
        <v>alp_marca_alcance_feminino_oath-verizon_display_banner_ros_rasteiras_funcional_cpm_468x60_111340</v>
      </c>
      <c r="D242" t="str">
        <f t="shared" si="46"/>
        <v>251625366</v>
      </c>
      <c r="E242" t="str">
        <f>IF(Table1[[#This Row],[Impressions]]&gt;Table1[[#This Row],[Clicks]],"Standard",VLOOKUP(CONCATENATE(bd_adtype,"_",bd_creativetype),tabela,2,FALSE))</f>
        <v>Standard</v>
      </c>
      <c r="F242" t="str">
        <f t="shared" si="47"/>
        <v>1x1 Default Web Ad</v>
      </c>
      <c r="G242" t="str">
        <f t="shared" si="48"/>
        <v>438503523</v>
      </c>
      <c r="H242" t="str">
        <f t="shared" si="49"/>
        <v>Display</v>
      </c>
      <c r="I242">
        <f t="shared" si="50"/>
        <v>2</v>
      </c>
      <c r="J242">
        <f t="shared" si="51"/>
        <v>0</v>
      </c>
      <c r="K242" s="4">
        <f t="shared" si="54"/>
        <v>3.8199999999999998E-2</v>
      </c>
      <c r="L242">
        <f t="shared" si="55"/>
        <v>0.09</v>
      </c>
      <c r="M242" s="4">
        <f t="shared" si="52"/>
        <v>7.64E-5</v>
      </c>
      <c r="N242" s="4">
        <f t="shared" si="53"/>
        <v>1.7999999999999998E-4</v>
      </c>
    </row>
    <row r="243" spans="1:14">
      <c r="A243" t="str">
        <f t="shared" si="43"/>
        <v>alp_marca</v>
      </c>
      <c r="B243" t="str">
        <f t="shared" si="44"/>
        <v>Oath BR</v>
      </c>
      <c r="C243" t="str">
        <f t="shared" si="45"/>
        <v>alp_marca_alcance_feminino_oath-verizon_display_banner_ros_rasteiras_funcional_cpm_468x60_111340</v>
      </c>
      <c r="D243" t="str">
        <f t="shared" si="46"/>
        <v>251625366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alp_marca_alcance_feminino_oath-verizon_display_banner_ros_rasteiras_funcional_cpm_468x60_111340</v>
      </c>
      <c r="G243" t="str">
        <f t="shared" si="48"/>
        <v>447710446</v>
      </c>
      <c r="H243" t="str">
        <f t="shared" si="49"/>
        <v>Tracking</v>
      </c>
      <c r="I243">
        <f t="shared" si="50"/>
        <v>8</v>
      </c>
      <c r="J243">
        <f t="shared" si="51"/>
        <v>0</v>
      </c>
      <c r="K243" s="4">
        <f t="shared" si="54"/>
        <v>3.8199999999999998E-2</v>
      </c>
      <c r="L243">
        <f t="shared" si="55"/>
        <v>0.09</v>
      </c>
      <c r="M243" s="4">
        <f t="shared" si="52"/>
        <v>3.056E-4</v>
      </c>
      <c r="N243" s="4">
        <f t="shared" si="53"/>
        <v>7.1999999999999994E-4</v>
      </c>
    </row>
    <row r="244" spans="1:14">
      <c r="A244" t="str">
        <f t="shared" si="43"/>
        <v>alp_marca</v>
      </c>
      <c r="B244" t="str">
        <f t="shared" si="44"/>
        <v>Oath BR</v>
      </c>
      <c r="C244" t="str">
        <f t="shared" si="45"/>
        <v>alp_marca_alcance_feminino_oath-verizon_display_billboard_ros_rasteiras_fashion_cpm_970x250_111341</v>
      </c>
      <c r="D244" t="str">
        <f t="shared" si="46"/>
        <v>251230706</v>
      </c>
      <c r="E244" t="str">
        <f>IF(Table1[[#This Row],[Impressions]]&gt;Table1[[#This Row],[Clicks]],"Standard",VLOOKUP(CONCATENATE(bd_adtype,"_",bd_creativetype),tabela,2,FALSE))</f>
        <v>Standard</v>
      </c>
      <c r="F244" t="str">
        <f t="shared" si="47"/>
        <v>1x1 Default Web Ad</v>
      </c>
      <c r="G244" t="str">
        <f t="shared" si="48"/>
        <v>438503523</v>
      </c>
      <c r="H244" t="str">
        <f t="shared" si="49"/>
        <v>Display</v>
      </c>
      <c r="I244">
        <f t="shared" si="50"/>
        <v>1</v>
      </c>
      <c r="J244">
        <f t="shared" si="51"/>
        <v>0</v>
      </c>
      <c r="K244" s="4">
        <f t="shared" si="54"/>
        <v>3.8199999999999998E-2</v>
      </c>
      <c r="L244">
        <f t="shared" si="55"/>
        <v>0.09</v>
      </c>
      <c r="M244" s="4">
        <f t="shared" si="52"/>
        <v>3.82E-5</v>
      </c>
      <c r="N244" s="4">
        <f t="shared" si="53"/>
        <v>8.9999999999999992E-5</v>
      </c>
    </row>
    <row r="245" spans="1:14">
      <c r="A245" t="str">
        <f t="shared" si="43"/>
        <v>alp_marca</v>
      </c>
      <c r="B245" t="str">
        <f t="shared" si="44"/>
        <v>Oath BR</v>
      </c>
      <c r="C245" t="str">
        <f t="shared" si="45"/>
        <v>alp_marca_alcance_feminino_oath-verizon_display_billboard_ros_rasteiras_fashion_cpm_970x250_111341</v>
      </c>
      <c r="D245" t="str">
        <f t="shared" si="46"/>
        <v>251230706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alp_marca_alcance_feminino_oath-verizon_display_billboard_ros_rasteiras_fashion_cpm_970x250_111341</v>
      </c>
      <c r="G245" t="str">
        <f t="shared" si="48"/>
        <v>447627221</v>
      </c>
      <c r="H245" t="str">
        <f t="shared" si="49"/>
        <v>Tracking</v>
      </c>
      <c r="I245">
        <f t="shared" si="50"/>
        <v>588611</v>
      </c>
      <c r="J245">
        <f t="shared" si="51"/>
        <v>965</v>
      </c>
      <c r="K245" s="4">
        <f t="shared" si="54"/>
        <v>3.8199999999999998E-2</v>
      </c>
      <c r="L245">
        <f t="shared" si="55"/>
        <v>0.09</v>
      </c>
      <c r="M245" s="4">
        <f t="shared" si="52"/>
        <v>22.484940199999997</v>
      </c>
      <c r="N245" s="4">
        <f t="shared" si="53"/>
        <v>52.974989999999998</v>
      </c>
    </row>
    <row r="246" spans="1:14">
      <c r="A246" t="str">
        <f t="shared" si="43"/>
        <v>alp_marca</v>
      </c>
      <c r="B246" t="str">
        <f t="shared" si="44"/>
        <v>Oath BR</v>
      </c>
      <c r="C246" t="str">
        <f t="shared" si="45"/>
        <v>alp_marca_alcance_feminino_oath-verizon_display_billboard_ros_rasteiras_funcional_cpm_970x250_111340</v>
      </c>
      <c r="D246" t="str">
        <f t="shared" si="46"/>
        <v>251625105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1x1 Default Web Ad</v>
      </c>
      <c r="G246" t="str">
        <f t="shared" si="48"/>
        <v>438503523</v>
      </c>
      <c r="H246" t="str">
        <f t="shared" si="49"/>
        <v>Display</v>
      </c>
      <c r="I246">
        <f t="shared" si="50"/>
        <v>2</v>
      </c>
      <c r="J246">
        <f t="shared" si="51"/>
        <v>0</v>
      </c>
      <c r="K246" s="4">
        <f t="shared" si="54"/>
        <v>3.8199999999999998E-2</v>
      </c>
      <c r="L246">
        <f t="shared" si="55"/>
        <v>0.09</v>
      </c>
      <c r="M246" s="4">
        <f t="shared" si="52"/>
        <v>7.64E-5</v>
      </c>
      <c r="N246" s="4">
        <f t="shared" si="53"/>
        <v>1.7999999999999998E-4</v>
      </c>
    </row>
    <row r="247" spans="1:14">
      <c r="A247" t="str">
        <f t="shared" si="43"/>
        <v>alp_marca</v>
      </c>
      <c r="B247" t="str">
        <f t="shared" si="44"/>
        <v>Oath BR</v>
      </c>
      <c r="C247" t="str">
        <f t="shared" si="45"/>
        <v>alp_marca_alcance_feminino_oath-verizon_display_billboard_ros_rasteiras_funcional_cpm_970x250_111340</v>
      </c>
      <c r="D247" t="str">
        <f t="shared" si="46"/>
        <v>251625105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alp_marca_alcance_feminino_oath-verizon_display_billboard_ros_rasteiras_funcional_cpm_970x250_111340</v>
      </c>
      <c r="G247" t="str">
        <f t="shared" si="48"/>
        <v>447711070</v>
      </c>
      <c r="H247" t="str">
        <f t="shared" si="49"/>
        <v>Tracking</v>
      </c>
      <c r="I247">
        <f t="shared" si="50"/>
        <v>395359</v>
      </c>
      <c r="J247">
        <f t="shared" si="51"/>
        <v>774</v>
      </c>
      <c r="K247" s="4">
        <f t="shared" si="54"/>
        <v>3.8199999999999998E-2</v>
      </c>
      <c r="L247">
        <f t="shared" si="55"/>
        <v>0.09</v>
      </c>
      <c r="M247" s="4">
        <f t="shared" si="52"/>
        <v>15.1027138</v>
      </c>
      <c r="N247" s="4">
        <f t="shared" si="53"/>
        <v>35.58231</v>
      </c>
    </row>
    <row r="248" spans="1:14">
      <c r="A248" t="str">
        <f t="shared" si="43"/>
        <v>alp_marca</v>
      </c>
      <c r="B248" t="str">
        <f t="shared" si="44"/>
        <v>Oath BR</v>
      </c>
      <c r="C248" t="str">
        <f t="shared" si="45"/>
        <v>alp_marca_alcance_feminino_oath-verizon_display_half-page_ros_rasteiras_fashion_cpm_300x600_111341</v>
      </c>
      <c r="D248" t="str">
        <f t="shared" si="46"/>
        <v>251527147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1x1 Default Web Ad</v>
      </c>
      <c r="G248" t="str">
        <f t="shared" si="48"/>
        <v>438503523</v>
      </c>
      <c r="H248" t="str">
        <f t="shared" si="49"/>
        <v>Display</v>
      </c>
      <c r="I248">
        <f t="shared" si="50"/>
        <v>2</v>
      </c>
      <c r="J248">
        <f t="shared" si="51"/>
        <v>0</v>
      </c>
      <c r="K248" s="4">
        <f t="shared" si="54"/>
        <v>3.8199999999999998E-2</v>
      </c>
      <c r="L248">
        <f t="shared" si="55"/>
        <v>0.09</v>
      </c>
      <c r="M248" s="4">
        <f t="shared" si="52"/>
        <v>7.64E-5</v>
      </c>
      <c r="N248" s="4">
        <f t="shared" si="53"/>
        <v>1.7999999999999998E-4</v>
      </c>
    </row>
    <row r="249" spans="1:14">
      <c r="A249" t="str">
        <f t="shared" si="43"/>
        <v>alp_marca</v>
      </c>
      <c r="B249" t="str">
        <f t="shared" si="44"/>
        <v>Oath BR</v>
      </c>
      <c r="C249" t="str">
        <f t="shared" si="45"/>
        <v>alp_marca_alcance_feminino_oath-verizon_display_half-page_ros_rasteiras_fashion_cpm_300x600_111341</v>
      </c>
      <c r="D249" t="str">
        <f t="shared" si="46"/>
        <v>251527147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alp_marca_alcance_feminino_oath-verizon_display_half-page_ros_rasteiras_fashion_cpm_300x600_111341</v>
      </c>
      <c r="G249" t="str">
        <f t="shared" si="48"/>
        <v>447625571</v>
      </c>
      <c r="H249" t="str">
        <f t="shared" si="49"/>
        <v>Tracking</v>
      </c>
      <c r="I249">
        <f t="shared" si="50"/>
        <v>751936</v>
      </c>
      <c r="J249">
        <f t="shared" si="51"/>
        <v>1144</v>
      </c>
      <c r="K249" s="4">
        <f t="shared" si="54"/>
        <v>3.8199999999999998E-2</v>
      </c>
      <c r="L249">
        <f t="shared" si="55"/>
        <v>0.09</v>
      </c>
      <c r="M249" s="4">
        <f t="shared" si="52"/>
        <v>28.723955199999995</v>
      </c>
      <c r="N249" s="4">
        <f t="shared" si="53"/>
        <v>67.674239999999998</v>
      </c>
    </row>
    <row r="250" spans="1:14">
      <c r="A250" t="str">
        <f t="shared" si="43"/>
        <v>alp_marca</v>
      </c>
      <c r="B250" t="str">
        <f t="shared" si="44"/>
        <v>Oath BR</v>
      </c>
      <c r="C250" t="str">
        <f t="shared" si="45"/>
        <v>alp_marca_alcance_feminino_oath-verizon_display_half-page_ros_rasteiras_funcional_cpm_300x600_111340</v>
      </c>
      <c r="D250" t="str">
        <f t="shared" si="46"/>
        <v>251625273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1x1 Default Web Ad</v>
      </c>
      <c r="G250" t="str">
        <f t="shared" si="48"/>
        <v>438503523</v>
      </c>
      <c r="H250" t="str">
        <f t="shared" si="49"/>
        <v>Display</v>
      </c>
      <c r="I250">
        <f t="shared" si="50"/>
        <v>4</v>
      </c>
      <c r="J250">
        <f t="shared" si="51"/>
        <v>0</v>
      </c>
      <c r="K250" s="4">
        <f t="shared" si="54"/>
        <v>3.8199999999999998E-2</v>
      </c>
      <c r="L250">
        <f t="shared" si="55"/>
        <v>0.09</v>
      </c>
      <c r="M250" s="4">
        <f t="shared" si="52"/>
        <v>1.528E-4</v>
      </c>
      <c r="N250" s="4">
        <f t="shared" si="53"/>
        <v>3.5999999999999997E-4</v>
      </c>
    </row>
    <row r="251" spans="1:14">
      <c r="A251" t="str">
        <f t="shared" si="43"/>
        <v>alp_marca</v>
      </c>
      <c r="B251" t="str">
        <f t="shared" si="44"/>
        <v>Oath BR</v>
      </c>
      <c r="C251" t="str">
        <f t="shared" si="45"/>
        <v>alp_marca_alcance_feminino_oath-verizon_display_half-page_ros_rasteiras_funcional_cpm_300x600_111340</v>
      </c>
      <c r="D251" t="str">
        <f t="shared" si="46"/>
        <v>251625273</v>
      </c>
      <c r="E251" t="str">
        <f>IF(Table1[[#This Row],[Impressions]]&gt;Table1[[#This Row],[Clicks]],"Standard",VLOOKUP(CONCATENATE(bd_adtype,"_",bd_creativetype),tabela,2,FALSE))</f>
        <v>Standard</v>
      </c>
      <c r="F251" t="str">
        <f t="shared" si="47"/>
        <v>alp_marca_alcance_feminino_oath-verizon_display_half-page_ros_rasteiras_funcional_cpm_300x600_111340</v>
      </c>
      <c r="G251" t="str">
        <f t="shared" si="48"/>
        <v>447709690</v>
      </c>
      <c r="H251" t="str">
        <f t="shared" si="49"/>
        <v>Tracking</v>
      </c>
      <c r="I251">
        <f t="shared" si="50"/>
        <v>389066</v>
      </c>
      <c r="J251">
        <f t="shared" si="51"/>
        <v>702</v>
      </c>
      <c r="K251" s="4">
        <f t="shared" si="54"/>
        <v>3.8199999999999998E-2</v>
      </c>
      <c r="L251">
        <f t="shared" si="55"/>
        <v>0.09</v>
      </c>
      <c r="M251" s="4">
        <f t="shared" si="52"/>
        <v>14.862321199999998</v>
      </c>
      <c r="N251" s="4">
        <f t="shared" si="53"/>
        <v>35.015940000000001</v>
      </c>
    </row>
    <row r="252" spans="1:14">
      <c r="A252" t="str">
        <f t="shared" si="43"/>
        <v>alp_marca</v>
      </c>
      <c r="B252" t="str">
        <f t="shared" si="44"/>
        <v>Oath BR</v>
      </c>
      <c r="C252" t="str">
        <f t="shared" si="45"/>
        <v>alp_marca_alcance_feminino_oath-verizon_display_header-mobile_ros_rasteiras_fashion_cpm_320x50_111341</v>
      </c>
      <c r="D252" t="str">
        <f t="shared" si="46"/>
        <v>251229551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1x1 Default Web Ad</v>
      </c>
      <c r="G252" t="str">
        <f t="shared" si="48"/>
        <v>438503523</v>
      </c>
      <c r="H252" t="str">
        <f t="shared" si="49"/>
        <v>Display</v>
      </c>
      <c r="I252">
        <f t="shared" si="50"/>
        <v>1</v>
      </c>
      <c r="J252">
        <f t="shared" si="51"/>
        <v>0</v>
      </c>
      <c r="K252" s="4">
        <f t="shared" si="54"/>
        <v>3.8199999999999998E-2</v>
      </c>
      <c r="L252">
        <f t="shared" si="55"/>
        <v>0.09</v>
      </c>
      <c r="M252" s="4">
        <f t="shared" si="52"/>
        <v>3.82E-5</v>
      </c>
      <c r="N252" s="4">
        <f t="shared" si="53"/>
        <v>8.9999999999999992E-5</v>
      </c>
    </row>
    <row r="253" spans="1:14">
      <c r="A253" t="str">
        <f t="shared" si="43"/>
        <v>alp_marca</v>
      </c>
      <c r="B253" t="str">
        <f t="shared" si="44"/>
        <v>Oath BR</v>
      </c>
      <c r="C253" t="str">
        <f t="shared" si="45"/>
        <v>alp_marca_alcance_feminino_oath-verizon_display_header-mobile_ros_rasteiras_fashion_cpm_320x50_111341</v>
      </c>
      <c r="D253" t="str">
        <f t="shared" si="46"/>
        <v>251229551</v>
      </c>
      <c r="E253" t="str">
        <f>IF(Table1[[#This Row],[Impressions]]&gt;Table1[[#This Row],[Clicks]],"Standard",VLOOKUP(CONCATENATE(bd_adtype,"_",bd_creativetype),tabela,2,FALSE))</f>
        <v>Dynamic Click</v>
      </c>
      <c r="F253" t="str">
        <f t="shared" si="47"/>
        <v>alp_marca_alcance_feminino_oath-verizon_display_header-mobile_ros_rasteiras_fashion_cpm_320x50_111341</v>
      </c>
      <c r="G253" t="str">
        <f t="shared" si="48"/>
        <v>447710638</v>
      </c>
      <c r="H253" t="str">
        <f t="shared" si="49"/>
        <v>Tracking</v>
      </c>
      <c r="I253">
        <f t="shared" si="50"/>
        <v>0</v>
      </c>
      <c r="J253">
        <f t="shared" si="51"/>
        <v>1</v>
      </c>
      <c r="K253" s="4">
        <f t="shared" si="54"/>
        <v>3.5000000000000001E-3</v>
      </c>
      <c r="L253">
        <f t="shared" si="55"/>
        <v>0.02</v>
      </c>
      <c r="M253" s="4">
        <f t="shared" si="52"/>
        <v>3.5000000000000001E-3</v>
      </c>
      <c r="N253" s="4">
        <f t="shared" si="53"/>
        <v>0.02</v>
      </c>
    </row>
    <row r="254" spans="1:14">
      <c r="A254" t="str">
        <f t="shared" si="43"/>
        <v>alp_marca</v>
      </c>
      <c r="B254" t="str">
        <f t="shared" si="44"/>
        <v>Oath BR</v>
      </c>
      <c r="C254" t="str">
        <f t="shared" si="45"/>
        <v>alp_marca_alcance_feminino_oath-verizon_display_header-mobile_ros_rasteiras_funcional_cpm_320x50_111340</v>
      </c>
      <c r="D254" t="str">
        <f t="shared" si="46"/>
        <v>251524300</v>
      </c>
      <c r="E254" t="str">
        <f>IF(Table1[[#This Row],[Impressions]]&gt;Table1[[#This Row],[Clicks]],"Standard",VLOOKUP(CONCATENATE(bd_adtype,"_",bd_creativetype),tabela,2,FALSE))</f>
        <v>Standard</v>
      </c>
      <c r="F254" t="str">
        <f t="shared" si="47"/>
        <v>1x1 Default Web Ad</v>
      </c>
      <c r="G254" t="str">
        <f t="shared" si="48"/>
        <v>438503523</v>
      </c>
      <c r="H254" t="str">
        <f t="shared" si="49"/>
        <v>Display</v>
      </c>
      <c r="I254">
        <f t="shared" si="50"/>
        <v>2</v>
      </c>
      <c r="J254">
        <f t="shared" si="51"/>
        <v>0</v>
      </c>
      <c r="K254" s="4">
        <f t="shared" si="54"/>
        <v>3.8199999999999998E-2</v>
      </c>
      <c r="L254">
        <f t="shared" si="55"/>
        <v>0.09</v>
      </c>
      <c r="M254" s="4">
        <f t="shared" si="52"/>
        <v>7.64E-5</v>
      </c>
      <c r="N254" s="4">
        <f t="shared" si="53"/>
        <v>1.7999999999999998E-4</v>
      </c>
    </row>
    <row r="255" spans="1:14">
      <c r="A255" t="str">
        <f t="shared" si="43"/>
        <v>alp_marca</v>
      </c>
      <c r="B255" t="str">
        <f t="shared" si="44"/>
        <v>Oath BR</v>
      </c>
      <c r="C255" t="str">
        <f t="shared" si="45"/>
        <v>alp_marca_alcance_feminino_oath-verizon_display_header-mobile_ros_rasteiras_funcional_cpm_320x50_111340</v>
      </c>
      <c r="D255" t="str">
        <f t="shared" si="46"/>
        <v>251524300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alp_marca_alcance_feminino_oath-verizon_display_header-mobile_ros_rasteiras_funcional_cpm_320x50_111340</v>
      </c>
      <c r="G255" t="str">
        <f t="shared" si="48"/>
        <v>447708541</v>
      </c>
      <c r="H255" t="str">
        <f t="shared" si="49"/>
        <v>Tracking</v>
      </c>
      <c r="I255">
        <f t="shared" si="50"/>
        <v>17</v>
      </c>
      <c r="J255">
        <f t="shared" si="51"/>
        <v>0</v>
      </c>
      <c r="K255" s="4">
        <f t="shared" si="54"/>
        <v>3.8199999999999998E-2</v>
      </c>
      <c r="L255">
        <f t="shared" si="55"/>
        <v>0.09</v>
      </c>
      <c r="M255" s="4">
        <f t="shared" si="52"/>
        <v>6.4939999999999996E-4</v>
      </c>
      <c r="N255" s="4">
        <f t="shared" si="53"/>
        <v>1.5300000000000001E-3</v>
      </c>
    </row>
    <row r="256" spans="1:14">
      <c r="A256" t="str">
        <f t="shared" si="43"/>
        <v>alp_marca</v>
      </c>
      <c r="B256" t="str">
        <f t="shared" si="44"/>
        <v>Oath BR</v>
      </c>
      <c r="C256" t="str">
        <f t="shared" si="45"/>
        <v>alp_marca_alcance_feminino_oath-verizon_display_quadrado-pequeno_ros_rasteiras_fashion_cpm_200x200_111341</v>
      </c>
      <c r="D256" t="str">
        <f t="shared" si="46"/>
        <v>251229083</v>
      </c>
      <c r="E256" t="str">
        <f>IF(Table1[[#This Row],[Impressions]]&gt;Table1[[#This Row],[Clicks]],"Standard",VLOOKUP(CONCATENATE(bd_adtype,"_",bd_creativetype),tabela,2,FALSE))</f>
        <v>Standard</v>
      </c>
      <c r="F256" t="str">
        <f t="shared" si="47"/>
        <v>1x1 Default Web Ad</v>
      </c>
      <c r="G256" t="str">
        <f t="shared" si="48"/>
        <v>438503523</v>
      </c>
      <c r="H256" t="str">
        <f t="shared" si="49"/>
        <v>Display</v>
      </c>
      <c r="I256">
        <f t="shared" si="50"/>
        <v>2</v>
      </c>
      <c r="J256">
        <f t="shared" si="51"/>
        <v>0</v>
      </c>
      <c r="K256" s="4">
        <f t="shared" si="54"/>
        <v>3.8199999999999998E-2</v>
      </c>
      <c r="L256">
        <f t="shared" si="55"/>
        <v>0.09</v>
      </c>
      <c r="M256" s="4">
        <f t="shared" si="52"/>
        <v>7.64E-5</v>
      </c>
      <c r="N256" s="4">
        <f t="shared" si="53"/>
        <v>1.7999999999999998E-4</v>
      </c>
    </row>
    <row r="257" spans="1:14">
      <c r="A257" t="str">
        <f t="shared" si="43"/>
        <v>alp_marca</v>
      </c>
      <c r="B257" t="str">
        <f t="shared" si="44"/>
        <v>Oath BR</v>
      </c>
      <c r="C257" t="str">
        <f t="shared" si="45"/>
        <v>alp_marca_alcance_feminino_oath-verizon_display_quadrado-pequeno_ros_rasteiras_fashion_cpm_200x200_111341</v>
      </c>
      <c r="D257" t="str">
        <f t="shared" si="46"/>
        <v>251229083</v>
      </c>
      <c r="E257" t="str">
        <f>IF(Table1[[#This Row],[Impressions]]&gt;Table1[[#This Row],[Clicks]],"Standard",VLOOKUP(CONCATENATE(bd_adtype,"_",bd_creativetype),tabela,2,FALSE))</f>
        <v>Dynamic Click</v>
      </c>
      <c r="F257" t="str">
        <f t="shared" si="47"/>
        <v>alp_marca_alcance_feminino_oath-verizon_display_quadrado-pequeno_ros_rasteiras_fashion_cpm_200x200_111341</v>
      </c>
      <c r="G257" t="str">
        <f t="shared" si="48"/>
        <v>447625487</v>
      </c>
      <c r="H257" t="str">
        <f t="shared" si="49"/>
        <v>Tracking</v>
      </c>
      <c r="I257">
        <f t="shared" si="50"/>
        <v>0</v>
      </c>
      <c r="J257">
        <f t="shared" si="51"/>
        <v>1</v>
      </c>
      <c r="K257" s="4">
        <f t="shared" si="54"/>
        <v>3.5000000000000001E-3</v>
      </c>
      <c r="L257">
        <f t="shared" si="55"/>
        <v>0.02</v>
      </c>
      <c r="M257" s="4">
        <f t="shared" si="52"/>
        <v>3.5000000000000001E-3</v>
      </c>
      <c r="N257" s="4">
        <f t="shared" si="53"/>
        <v>0.02</v>
      </c>
    </row>
    <row r="258" spans="1:14">
      <c r="A258" t="str">
        <f t="shared" ref="A258:A321" si="56">bd_campaign</f>
        <v>alp_marca</v>
      </c>
      <c r="B258" t="str">
        <f t="shared" ref="B258:B321" si="57">bd_site</f>
        <v>Oath BR</v>
      </c>
      <c r="C258" t="str">
        <f t="shared" ref="C258:C321" si="58">bd_placement</f>
        <v>alp_marca_alcance_feminino_oath-verizon_display_quadrado-pequeno_ros_rasteiras_funcional_cpm_200x200_111340</v>
      </c>
      <c r="D258" t="str">
        <f t="shared" ref="D258:D321" si="59">bd_placementID</f>
        <v>251523709</v>
      </c>
      <c r="E258" t="str">
        <f>IF(Table1[[#This Row],[Impressions]]&gt;Table1[[#This Row],[Clicks]],"Standard",VLOOKUP(CONCATENATE(bd_adtype,"_",bd_creativetype),tabela,2,FALSE))</f>
        <v>Standard</v>
      </c>
      <c r="F258" t="str">
        <f t="shared" ref="F258:F321" si="60">bd_ad</f>
        <v>1x1 Default Web Ad</v>
      </c>
      <c r="G258" t="str">
        <f t="shared" ref="G258:G321" si="61">bd_adid</f>
        <v>438503523</v>
      </c>
      <c r="H258" t="str">
        <f t="shared" ref="H258:H321" si="62">bd_creativetype</f>
        <v>Display</v>
      </c>
      <c r="I258">
        <f t="shared" ref="I258:I321" si="63">bd_impression</f>
        <v>1</v>
      </c>
      <c r="J258">
        <f t="shared" ref="J258:J321" si="64">bd_clicks</f>
        <v>0</v>
      </c>
      <c r="K258" s="4">
        <f t="shared" si="54"/>
        <v>3.8199999999999998E-2</v>
      </c>
      <c r="L258">
        <f t="shared" si="55"/>
        <v>0.09</v>
      </c>
      <c r="M258" s="4">
        <f t="shared" si="52"/>
        <v>3.82E-5</v>
      </c>
      <c r="N258" s="4">
        <f t="shared" si="53"/>
        <v>8.9999999999999992E-5</v>
      </c>
    </row>
    <row r="259" spans="1:14">
      <c r="A259" t="str">
        <f t="shared" si="56"/>
        <v>alp_marca</v>
      </c>
      <c r="B259" t="str">
        <f t="shared" si="57"/>
        <v>Oath BR</v>
      </c>
      <c r="C259" t="str">
        <f t="shared" si="58"/>
        <v>alp_marca_alcance_feminino_oath-verizon_display_quadrado-pequeno_ros_rasteiras_funcional_cpm_200x200_111340</v>
      </c>
      <c r="D259" t="str">
        <f t="shared" si="59"/>
        <v>251523709</v>
      </c>
      <c r="E259" t="str">
        <f>IF(Table1[[#This Row],[Impressions]]&gt;Table1[[#This Row],[Clicks]],"Standard",VLOOKUP(CONCATENATE(bd_adtype,"_",bd_creativetype),tabela,2,FALSE))</f>
        <v>Standard</v>
      </c>
      <c r="F259" t="str">
        <f t="shared" si="60"/>
        <v>alp_marca_alcance_feminino_oath-verizon_display_quadrado-pequeno_ros_rasteiras_funcional_cpm_200x200_111340</v>
      </c>
      <c r="G259" t="str">
        <f t="shared" si="61"/>
        <v>447708427</v>
      </c>
      <c r="H259" t="str">
        <f t="shared" si="62"/>
        <v>Tracking</v>
      </c>
      <c r="I259">
        <f t="shared" si="63"/>
        <v>19</v>
      </c>
      <c r="J259">
        <f t="shared" si="64"/>
        <v>1</v>
      </c>
      <c r="K259" s="4">
        <f t="shared" si="54"/>
        <v>3.8199999999999998E-2</v>
      </c>
      <c r="L259">
        <f t="shared" si="55"/>
        <v>0.09</v>
      </c>
      <c r="M259" s="4">
        <f t="shared" si="52"/>
        <v>7.2579999999999997E-4</v>
      </c>
      <c r="N259" s="4">
        <f t="shared" si="53"/>
        <v>1.7099999999999999E-3</v>
      </c>
    </row>
    <row r="260" spans="1:14">
      <c r="A260" t="str">
        <f t="shared" si="56"/>
        <v>alp_marca</v>
      </c>
      <c r="B260" t="str">
        <f t="shared" si="57"/>
        <v>Oath BR</v>
      </c>
      <c r="C260" t="str">
        <f t="shared" si="58"/>
        <v>alp_marca_alcance_feminino_oath-verizon_display_quadrado_ros_rasteiras_fashion_cpm_250x250_111341</v>
      </c>
      <c r="D260" t="str">
        <f t="shared" si="59"/>
        <v>251526604</v>
      </c>
      <c r="E260" t="str">
        <f>IF(Table1[[#This Row],[Impressions]]&gt;Table1[[#This Row],[Clicks]],"Standard",VLOOKUP(CONCATENATE(bd_adtype,"_",bd_creativetype),tabela,2,FALSE))</f>
        <v>Standard</v>
      </c>
      <c r="F260" t="str">
        <f t="shared" si="60"/>
        <v>1x1 Default Web Ad</v>
      </c>
      <c r="G260" t="str">
        <f t="shared" si="61"/>
        <v>438503523</v>
      </c>
      <c r="H260" t="str">
        <f t="shared" si="62"/>
        <v>Display</v>
      </c>
      <c r="I260">
        <f t="shared" si="63"/>
        <v>1</v>
      </c>
      <c r="J260">
        <f t="shared" si="64"/>
        <v>0</v>
      </c>
      <c r="K260" s="4">
        <f t="shared" si="54"/>
        <v>3.8199999999999998E-2</v>
      </c>
      <c r="L260">
        <f t="shared" si="55"/>
        <v>0.09</v>
      </c>
      <c r="M260" s="4">
        <f t="shared" si="52"/>
        <v>3.82E-5</v>
      </c>
      <c r="N260" s="4">
        <f t="shared" si="53"/>
        <v>8.9999999999999992E-5</v>
      </c>
    </row>
    <row r="261" spans="1:14">
      <c r="A261" t="str">
        <f t="shared" si="56"/>
        <v>alp_marca</v>
      </c>
      <c r="B261" t="str">
        <f t="shared" si="57"/>
        <v>Oath BR</v>
      </c>
      <c r="C261" t="str">
        <f t="shared" si="58"/>
        <v>alp_marca_alcance_feminino_oath-verizon_display_quadrado_ros_rasteiras_funcional_cpm_250x250_111340</v>
      </c>
      <c r="D261" t="str">
        <f t="shared" si="59"/>
        <v>251524159</v>
      </c>
      <c r="E261" t="str">
        <f>IF(Table1[[#This Row],[Impressions]]&gt;Table1[[#This Row],[Clicks]],"Standard",VLOOKUP(CONCATENATE(bd_adtype,"_",bd_creativetype),tabela,2,FALSE))</f>
        <v>Standard</v>
      </c>
      <c r="F261" t="str">
        <f t="shared" si="60"/>
        <v>1x1 Default Web Ad</v>
      </c>
      <c r="G261" t="str">
        <f t="shared" si="61"/>
        <v>438503523</v>
      </c>
      <c r="H261" t="str">
        <f t="shared" si="62"/>
        <v>Display</v>
      </c>
      <c r="I261">
        <f t="shared" si="63"/>
        <v>2</v>
      </c>
      <c r="J261">
        <f t="shared" si="64"/>
        <v>0</v>
      </c>
      <c r="K261" s="4">
        <f t="shared" si="54"/>
        <v>3.8199999999999998E-2</v>
      </c>
      <c r="L261">
        <f t="shared" si="55"/>
        <v>0.09</v>
      </c>
      <c r="M261" s="4">
        <f t="shared" si="52"/>
        <v>7.64E-5</v>
      </c>
      <c r="N261" s="4">
        <f t="shared" si="53"/>
        <v>1.7999999999999998E-4</v>
      </c>
    </row>
    <row r="262" spans="1:14">
      <c r="A262" t="str">
        <f t="shared" si="56"/>
        <v>alp_marca</v>
      </c>
      <c r="B262" t="str">
        <f t="shared" si="57"/>
        <v>Oath BR</v>
      </c>
      <c r="C262" t="str">
        <f t="shared" si="58"/>
        <v>alp_marca_alcance_feminino_oath-verizon_display_quadrado_ros_rasteiras_funcional_cpm_250x250_111340</v>
      </c>
      <c r="D262" t="str">
        <f t="shared" si="59"/>
        <v>251524159</v>
      </c>
      <c r="E262" t="str">
        <f>IF(Table1[[#This Row],[Impressions]]&gt;Table1[[#This Row],[Clicks]],"Standard",VLOOKUP(CONCATENATE(bd_adtype,"_",bd_creativetype),tabela,2,FALSE))</f>
        <v>Standard</v>
      </c>
      <c r="F262" t="str">
        <f t="shared" si="60"/>
        <v>alp_marca_alcance_feminino_oath-verizon_display_quadrado_ros_rasteiras_funcional_cpm_250x250_111340</v>
      </c>
      <c r="G262" t="str">
        <f t="shared" si="61"/>
        <v>447577809</v>
      </c>
      <c r="H262" t="str">
        <f t="shared" si="62"/>
        <v>Tracking</v>
      </c>
      <c r="I262">
        <f t="shared" si="63"/>
        <v>19</v>
      </c>
      <c r="J262">
        <f t="shared" si="64"/>
        <v>0</v>
      </c>
      <c r="K262" s="4">
        <f t="shared" si="54"/>
        <v>3.8199999999999998E-2</v>
      </c>
      <c r="L262">
        <f t="shared" si="55"/>
        <v>0.09</v>
      </c>
      <c r="M262" s="4">
        <f t="shared" si="52"/>
        <v>7.2579999999999997E-4</v>
      </c>
      <c r="N262" s="4">
        <f t="shared" si="53"/>
        <v>1.7099999999999999E-3</v>
      </c>
    </row>
    <row r="263" spans="1:14">
      <c r="A263" t="str">
        <f t="shared" si="56"/>
        <v>alp_marca</v>
      </c>
      <c r="B263" t="str">
        <f t="shared" si="57"/>
        <v>Oath BR</v>
      </c>
      <c r="C263" t="str">
        <f t="shared" si="58"/>
        <v>alp_marca_alcance_feminino_oath-verizon_display_retangulo-grande_ros_rasteiras_fashion_cpm_336x280_111341</v>
      </c>
      <c r="D263" t="str">
        <f t="shared" si="59"/>
        <v>251229647</v>
      </c>
      <c r="E263" t="str">
        <f>IF(Table1[[#This Row],[Impressions]]&gt;Table1[[#This Row],[Clicks]],"Standard",VLOOKUP(CONCATENATE(bd_adtype,"_",bd_creativetype),tabela,2,FALSE))</f>
        <v>Standard</v>
      </c>
      <c r="F263" t="str">
        <f t="shared" si="60"/>
        <v>1x1 Default Web Ad</v>
      </c>
      <c r="G263" t="str">
        <f t="shared" si="61"/>
        <v>438503523</v>
      </c>
      <c r="H263" t="str">
        <f t="shared" si="62"/>
        <v>Display</v>
      </c>
      <c r="I263">
        <f t="shared" si="63"/>
        <v>10</v>
      </c>
      <c r="J263">
        <f t="shared" si="64"/>
        <v>0</v>
      </c>
      <c r="K263" s="4">
        <f t="shared" si="54"/>
        <v>3.8199999999999998E-2</v>
      </c>
      <c r="L263">
        <f t="shared" si="55"/>
        <v>0.09</v>
      </c>
      <c r="M263" s="4">
        <f t="shared" si="52"/>
        <v>3.8200000000000002E-4</v>
      </c>
      <c r="N263" s="4">
        <f t="shared" si="53"/>
        <v>8.9999999999999987E-4</v>
      </c>
    </row>
    <row r="264" spans="1:14">
      <c r="A264" t="str">
        <f t="shared" si="56"/>
        <v>alp_marca</v>
      </c>
      <c r="B264" t="str">
        <f t="shared" si="57"/>
        <v>Oath BR</v>
      </c>
      <c r="C264" t="str">
        <f t="shared" si="58"/>
        <v>alp_marca_alcance_feminino_oath-verizon_display_retangulo-grande_ros_rasteiras_fashion_cpm_336x280_111341</v>
      </c>
      <c r="D264" t="str">
        <f t="shared" si="59"/>
        <v>251229647</v>
      </c>
      <c r="E264" t="str">
        <f>IF(Table1[[#This Row],[Impressions]]&gt;Table1[[#This Row],[Clicks]],"Standard",VLOOKUP(CONCATENATE(bd_adtype,"_",bd_creativetype),tabela,2,FALSE))</f>
        <v>Dynamic Click</v>
      </c>
      <c r="F264" t="str">
        <f t="shared" si="60"/>
        <v>alp_marca_alcance_feminino_oath-verizon_display_retangulo-grande_ros_rasteiras_fashion_cpm_336x280_111341</v>
      </c>
      <c r="G264" t="str">
        <f t="shared" si="61"/>
        <v>447712489</v>
      </c>
      <c r="H264" t="str">
        <f t="shared" si="62"/>
        <v>Tracking</v>
      </c>
      <c r="I264">
        <f t="shared" si="63"/>
        <v>0</v>
      </c>
      <c r="J264">
        <f t="shared" si="64"/>
        <v>1</v>
      </c>
      <c r="K264" s="4">
        <f t="shared" si="54"/>
        <v>3.5000000000000001E-3</v>
      </c>
      <c r="L264">
        <f t="shared" si="55"/>
        <v>0.02</v>
      </c>
      <c r="M264" s="4">
        <f t="shared" si="52"/>
        <v>3.5000000000000001E-3</v>
      </c>
      <c r="N264" s="4">
        <f t="shared" si="53"/>
        <v>0.02</v>
      </c>
    </row>
    <row r="265" spans="1:14">
      <c r="A265" t="str">
        <f t="shared" si="56"/>
        <v>alp_marca</v>
      </c>
      <c r="B265" t="str">
        <f t="shared" si="57"/>
        <v>Oath BR</v>
      </c>
      <c r="C265" t="str">
        <f t="shared" si="58"/>
        <v>alp_marca_alcance_feminino_oath-verizon_display_retangulo-grande_ros_rasteiras_funcional_cpm_336x280_111340</v>
      </c>
      <c r="D265" t="str">
        <f t="shared" si="59"/>
        <v>251624976</v>
      </c>
      <c r="E265" t="str">
        <f>IF(Table1[[#This Row],[Impressions]]&gt;Table1[[#This Row],[Clicks]],"Standard",VLOOKUP(CONCATENATE(bd_adtype,"_",bd_creativetype),tabela,2,FALSE))</f>
        <v>Standard</v>
      </c>
      <c r="F265" t="str">
        <f t="shared" si="60"/>
        <v>1x1 Default Web Ad</v>
      </c>
      <c r="G265" t="str">
        <f t="shared" si="61"/>
        <v>438503523</v>
      </c>
      <c r="H265" t="str">
        <f t="shared" si="62"/>
        <v>Display</v>
      </c>
      <c r="I265">
        <f t="shared" si="63"/>
        <v>4</v>
      </c>
      <c r="J265">
        <f t="shared" si="64"/>
        <v>0</v>
      </c>
      <c r="K265" s="4">
        <f t="shared" si="54"/>
        <v>3.8199999999999998E-2</v>
      </c>
      <c r="L265">
        <f t="shared" si="55"/>
        <v>0.09</v>
      </c>
      <c r="M265" s="4">
        <f t="shared" si="52"/>
        <v>1.528E-4</v>
      </c>
      <c r="N265" s="4">
        <f t="shared" si="53"/>
        <v>3.5999999999999997E-4</v>
      </c>
    </row>
    <row r="266" spans="1:14">
      <c r="A266" t="str">
        <f t="shared" si="56"/>
        <v>alp_marca</v>
      </c>
      <c r="B266" t="str">
        <f t="shared" si="57"/>
        <v>Oath BR</v>
      </c>
      <c r="C266" t="str">
        <f t="shared" si="58"/>
        <v>alp_marca_alcance_feminino_oath-verizon_display_retangulo_ros_rasteiras_fashion_cpm_300x250_111341</v>
      </c>
      <c r="D266" t="str">
        <f t="shared" si="59"/>
        <v>251526127</v>
      </c>
      <c r="E266" t="str">
        <f>IF(Table1[[#This Row],[Impressions]]&gt;Table1[[#This Row],[Clicks]],"Standard",VLOOKUP(CONCATENATE(bd_adtype,"_",bd_creativetype),tabela,2,FALSE))</f>
        <v>Standard</v>
      </c>
      <c r="F266" t="str">
        <f t="shared" si="60"/>
        <v>1x1 Default Web Ad</v>
      </c>
      <c r="G266" t="str">
        <f t="shared" si="61"/>
        <v>438503523</v>
      </c>
      <c r="H266" t="str">
        <f t="shared" si="62"/>
        <v>Display</v>
      </c>
      <c r="I266">
        <f t="shared" si="63"/>
        <v>2</v>
      </c>
      <c r="J266">
        <f t="shared" si="64"/>
        <v>0</v>
      </c>
      <c r="K266" s="4">
        <f t="shared" si="54"/>
        <v>3.8199999999999998E-2</v>
      </c>
      <c r="L266">
        <f t="shared" si="55"/>
        <v>0.09</v>
      </c>
      <c r="M266" s="4">
        <f t="shared" si="52"/>
        <v>7.64E-5</v>
      </c>
      <c r="N266" s="4">
        <f t="shared" si="53"/>
        <v>1.7999999999999998E-4</v>
      </c>
    </row>
    <row r="267" spans="1:14">
      <c r="A267" t="str">
        <f t="shared" si="56"/>
        <v>alp_marca</v>
      </c>
      <c r="B267" t="str">
        <f t="shared" si="57"/>
        <v>Oath BR</v>
      </c>
      <c r="C267" t="str">
        <f t="shared" si="58"/>
        <v>alp_marca_alcance_feminino_oath-verizon_display_retangulo_ros_rasteiras_fashion_cpm_300x250_111341</v>
      </c>
      <c r="D267" t="str">
        <f t="shared" si="59"/>
        <v>251526127</v>
      </c>
      <c r="E267" t="str">
        <f>IF(Table1[[#This Row],[Impressions]]&gt;Table1[[#This Row],[Clicks]],"Standard",VLOOKUP(CONCATENATE(bd_adtype,"_",bd_creativetype),tabela,2,FALSE))</f>
        <v>Standard</v>
      </c>
      <c r="F267" t="str">
        <f t="shared" si="60"/>
        <v>alp_marca_alcance_feminino_oath-verizon_display_retangulo_ros_rasteiras_fashion_cpm_300x250_111341</v>
      </c>
      <c r="G267" t="str">
        <f t="shared" si="61"/>
        <v>447709948</v>
      </c>
      <c r="H267" t="str">
        <f t="shared" si="62"/>
        <v>Tracking</v>
      </c>
      <c r="I267">
        <f t="shared" si="63"/>
        <v>21</v>
      </c>
      <c r="J267">
        <f t="shared" si="64"/>
        <v>2</v>
      </c>
      <c r="K267" s="4">
        <f t="shared" si="54"/>
        <v>3.8199999999999998E-2</v>
      </c>
      <c r="L267">
        <f t="shared" si="55"/>
        <v>0.09</v>
      </c>
      <c r="M267" s="4">
        <f t="shared" si="52"/>
        <v>8.0219999999999987E-4</v>
      </c>
      <c r="N267" s="4">
        <f t="shared" si="53"/>
        <v>1.89E-3</v>
      </c>
    </row>
    <row r="268" spans="1:14">
      <c r="A268" t="str">
        <f t="shared" si="56"/>
        <v>alp_marca</v>
      </c>
      <c r="B268" t="str">
        <f t="shared" si="57"/>
        <v>Oath BR</v>
      </c>
      <c r="C268" t="str">
        <f t="shared" si="58"/>
        <v>alp_marca_alcance_feminino_oath-verizon_display_retangulo_ros_rasteiras_funcional_cpm_300x250_111340</v>
      </c>
      <c r="D268" t="str">
        <f t="shared" si="59"/>
        <v>251621979</v>
      </c>
      <c r="E268" t="str">
        <f>IF(Table1[[#This Row],[Impressions]]&gt;Table1[[#This Row],[Clicks]],"Standard",VLOOKUP(CONCATENATE(bd_adtype,"_",bd_creativetype),tabela,2,FALSE))</f>
        <v>Standard</v>
      </c>
      <c r="F268" t="str">
        <f t="shared" si="60"/>
        <v>1x1 Default Web Ad</v>
      </c>
      <c r="G268" t="str">
        <f t="shared" si="61"/>
        <v>438503523</v>
      </c>
      <c r="H268" t="str">
        <f t="shared" si="62"/>
        <v>Display</v>
      </c>
      <c r="I268">
        <f t="shared" si="63"/>
        <v>1</v>
      </c>
      <c r="J268">
        <f t="shared" si="64"/>
        <v>0</v>
      </c>
      <c r="K268" s="4">
        <f t="shared" si="54"/>
        <v>3.8199999999999998E-2</v>
      </c>
      <c r="L268">
        <f t="shared" si="55"/>
        <v>0.09</v>
      </c>
      <c r="M268" s="4">
        <f t="shared" si="52"/>
        <v>3.82E-5</v>
      </c>
      <c r="N268" s="4">
        <f t="shared" si="53"/>
        <v>8.9999999999999992E-5</v>
      </c>
    </row>
    <row r="269" spans="1:14">
      <c r="A269" t="str">
        <f t="shared" si="56"/>
        <v>alp_marca</v>
      </c>
      <c r="B269" t="str">
        <f t="shared" si="57"/>
        <v>Oath BR</v>
      </c>
      <c r="C269" t="str">
        <f t="shared" si="58"/>
        <v>alp_marca_alcance_feminino_oath-verizon_display_retangulo_ros_rasteiras_funcional_cpm_300x250_111340</v>
      </c>
      <c r="D269" t="str">
        <f t="shared" si="59"/>
        <v>251621979</v>
      </c>
      <c r="E269" t="str">
        <f>IF(Table1[[#This Row],[Impressions]]&gt;Table1[[#This Row],[Clicks]],"Standard",VLOOKUP(CONCATENATE(bd_adtype,"_",bd_creativetype),tabela,2,FALSE))</f>
        <v>Standard</v>
      </c>
      <c r="F269" t="str">
        <f t="shared" si="60"/>
        <v>alp_marca_alcance_feminino_oath-verizon_display_retangulo_ros_rasteiras_funcional_cpm_300x250_111340</v>
      </c>
      <c r="G269" t="str">
        <f t="shared" si="61"/>
        <v>447710785</v>
      </c>
      <c r="H269" t="str">
        <f t="shared" si="62"/>
        <v>Tracking</v>
      </c>
      <c r="I269">
        <f t="shared" si="63"/>
        <v>3550574</v>
      </c>
      <c r="J269">
        <f t="shared" si="64"/>
        <v>21635</v>
      </c>
      <c r="K269" s="4">
        <f t="shared" si="54"/>
        <v>3.8199999999999998E-2</v>
      </c>
      <c r="L269">
        <f t="shared" si="55"/>
        <v>0.09</v>
      </c>
      <c r="M269" s="4">
        <f t="shared" si="52"/>
        <v>135.63192679999997</v>
      </c>
      <c r="N269" s="4">
        <f t="shared" si="53"/>
        <v>319.55165999999997</v>
      </c>
    </row>
    <row r="270" spans="1:14">
      <c r="A270" t="str">
        <f t="shared" si="56"/>
        <v>alp_marca</v>
      </c>
      <c r="B270" t="str">
        <f t="shared" si="57"/>
        <v>Oath BR</v>
      </c>
      <c r="C270" t="str">
        <f t="shared" si="58"/>
        <v>alp_marca_alcance_feminino_oath-verizon_display_super-leaderboard_ros_rasteiras_fashion_cpm_970x90_111341</v>
      </c>
      <c r="D270" t="str">
        <f t="shared" si="59"/>
        <v>251627298</v>
      </c>
      <c r="E270" t="str">
        <f>IF(Table1[[#This Row],[Impressions]]&gt;Table1[[#This Row],[Clicks]],"Standard",VLOOKUP(CONCATENATE(bd_adtype,"_",bd_creativetype),tabela,2,FALSE))</f>
        <v>Standard</v>
      </c>
      <c r="F270" t="str">
        <f t="shared" si="60"/>
        <v>1x1 Default Web Ad</v>
      </c>
      <c r="G270" t="str">
        <f t="shared" si="61"/>
        <v>438503523</v>
      </c>
      <c r="H270" t="str">
        <f t="shared" si="62"/>
        <v>Display</v>
      </c>
      <c r="I270">
        <f t="shared" si="63"/>
        <v>3</v>
      </c>
      <c r="J270">
        <f t="shared" si="64"/>
        <v>0</v>
      </c>
      <c r="K270" s="4">
        <f t="shared" si="54"/>
        <v>3.8199999999999998E-2</v>
      </c>
      <c r="L270">
        <f t="shared" si="55"/>
        <v>0.09</v>
      </c>
      <c r="M270" s="4">
        <f t="shared" si="52"/>
        <v>1.1459999999999999E-4</v>
      </c>
      <c r="N270" s="4">
        <f t="shared" si="53"/>
        <v>2.7E-4</v>
      </c>
    </row>
    <row r="271" spans="1:14">
      <c r="A271" t="str">
        <f t="shared" si="56"/>
        <v>alp_marca</v>
      </c>
      <c r="B271" t="str">
        <f t="shared" si="57"/>
        <v>Oath BR</v>
      </c>
      <c r="C271" t="str">
        <f t="shared" si="58"/>
        <v>alp_marca_alcance_feminino_oath-verizon_display_super-leaderboard_ros_rasteiras_funcional_cpm_970x90_111340</v>
      </c>
      <c r="D271" t="str">
        <f t="shared" si="59"/>
        <v>251625678</v>
      </c>
      <c r="E271" t="str">
        <f>IF(Table1[[#This Row],[Impressions]]&gt;Table1[[#This Row],[Clicks]],"Standard",VLOOKUP(CONCATENATE(bd_adtype,"_",bd_creativetype),tabela,2,FALSE))</f>
        <v>Standard</v>
      </c>
      <c r="F271" t="str">
        <f t="shared" si="60"/>
        <v>alp_marca_alcance_feminino_oath-verizon_display_super-leaderboard_ros_rasteiras_funcional_cpm_970x90_111340</v>
      </c>
      <c r="G271" t="str">
        <f t="shared" si="61"/>
        <v>447709858</v>
      </c>
      <c r="H271" t="str">
        <f t="shared" si="62"/>
        <v>Tracking</v>
      </c>
      <c r="I271">
        <f t="shared" si="63"/>
        <v>21</v>
      </c>
      <c r="J271">
        <f t="shared" si="64"/>
        <v>0</v>
      </c>
      <c r="K271" s="4">
        <f t="shared" si="54"/>
        <v>3.8199999999999998E-2</v>
      </c>
      <c r="L271">
        <f t="shared" si="55"/>
        <v>0.09</v>
      </c>
      <c r="M271" s="4">
        <f t="shared" si="52"/>
        <v>8.0219999999999987E-4</v>
      </c>
      <c r="N271" s="4">
        <f t="shared" si="53"/>
        <v>1.89E-3</v>
      </c>
    </row>
    <row r="272" spans="1:14">
      <c r="A272" t="str">
        <f t="shared" si="56"/>
        <v>alp_marca</v>
      </c>
      <c r="B272" t="str">
        <f t="shared" si="57"/>
        <v>Oath BR</v>
      </c>
      <c r="C272" t="str">
        <f t="shared" si="58"/>
        <v>alp_marca_alcance_feminino_oath-verizon_display_superbanner_ros_rasteiras_fashion_cpm_728x90_111341</v>
      </c>
      <c r="D272" t="str">
        <f t="shared" si="59"/>
        <v>251527402</v>
      </c>
      <c r="E272" t="str">
        <f>IF(Table1[[#This Row],[Impressions]]&gt;Table1[[#This Row],[Clicks]],"Standard",VLOOKUP(CONCATENATE(bd_adtype,"_",bd_creativetype),tabela,2,FALSE))</f>
        <v>Standard</v>
      </c>
      <c r="F272" t="str">
        <f t="shared" si="60"/>
        <v>1x1 Default Web Ad</v>
      </c>
      <c r="G272" t="str">
        <f t="shared" si="61"/>
        <v>438503523</v>
      </c>
      <c r="H272" t="str">
        <f t="shared" si="62"/>
        <v>Display</v>
      </c>
      <c r="I272">
        <f t="shared" si="63"/>
        <v>4</v>
      </c>
      <c r="J272">
        <f t="shared" si="64"/>
        <v>0</v>
      </c>
      <c r="K272" s="4">
        <f t="shared" si="54"/>
        <v>3.8199999999999998E-2</v>
      </c>
      <c r="L272">
        <f t="shared" si="55"/>
        <v>0.09</v>
      </c>
      <c r="M272" s="4">
        <f t="shared" si="52"/>
        <v>1.528E-4</v>
      </c>
      <c r="N272" s="4">
        <f t="shared" si="53"/>
        <v>3.5999999999999997E-4</v>
      </c>
    </row>
    <row r="273" spans="1:14">
      <c r="A273" t="str">
        <f t="shared" si="56"/>
        <v>alp_marca</v>
      </c>
      <c r="B273" t="str">
        <f t="shared" si="57"/>
        <v>Oath BR</v>
      </c>
      <c r="C273" t="str">
        <f t="shared" si="58"/>
        <v>alp_marca_alcance_feminino_oath-verizon_display_superbanner_ros_rasteiras_fashion_cpm_728x90_111341</v>
      </c>
      <c r="D273" t="str">
        <f t="shared" si="59"/>
        <v>251527402</v>
      </c>
      <c r="E273" t="str">
        <f>IF(Table1[[#This Row],[Impressions]]&gt;Table1[[#This Row],[Clicks]],"Standard",VLOOKUP(CONCATENATE(bd_adtype,"_",bd_creativetype),tabela,2,FALSE))</f>
        <v>Standard</v>
      </c>
      <c r="F273" t="str">
        <f t="shared" si="60"/>
        <v>alp_marca_alcance_feminino_oath-verizon_display_superbanner_ros_rasteiras_fashion_cpm_728x90_111341</v>
      </c>
      <c r="G273" t="str">
        <f t="shared" si="61"/>
        <v>447711490</v>
      </c>
      <c r="H273" t="str">
        <f t="shared" si="62"/>
        <v>Tracking</v>
      </c>
      <c r="I273">
        <f t="shared" si="63"/>
        <v>902353</v>
      </c>
      <c r="J273">
        <f t="shared" si="64"/>
        <v>2330</v>
      </c>
      <c r="K273" s="4">
        <f t="shared" si="54"/>
        <v>3.8199999999999998E-2</v>
      </c>
      <c r="L273">
        <f t="shared" si="55"/>
        <v>0.09</v>
      </c>
      <c r="M273" s="4">
        <f t="shared" si="52"/>
        <v>34.4698846</v>
      </c>
      <c r="N273" s="4">
        <f t="shared" si="53"/>
        <v>81.211770000000001</v>
      </c>
    </row>
    <row r="274" spans="1:14">
      <c r="A274" t="str">
        <f t="shared" si="56"/>
        <v>alp_marca</v>
      </c>
      <c r="B274" t="str">
        <f t="shared" si="57"/>
        <v>Oath BR</v>
      </c>
      <c r="C274" t="str">
        <f t="shared" si="58"/>
        <v>alp_marca_alcance_feminino_oath-verizon_display_superbanner_ros_rasteiras_funcional_cpm_728x90_111340</v>
      </c>
      <c r="D274" t="str">
        <f t="shared" si="59"/>
        <v>251524372</v>
      </c>
      <c r="E274" t="str">
        <f>IF(Table1[[#This Row],[Impressions]]&gt;Table1[[#This Row],[Clicks]],"Standard",VLOOKUP(CONCATENATE(bd_adtype,"_",bd_creativetype),tabela,2,FALSE))</f>
        <v>Standard</v>
      </c>
      <c r="F274" t="str">
        <f t="shared" si="60"/>
        <v>1x1 Default Web Ad</v>
      </c>
      <c r="G274" t="str">
        <f t="shared" si="61"/>
        <v>438503523</v>
      </c>
      <c r="H274" t="str">
        <f t="shared" si="62"/>
        <v>Display</v>
      </c>
      <c r="I274">
        <f t="shared" si="63"/>
        <v>2</v>
      </c>
      <c r="J274">
        <f t="shared" si="64"/>
        <v>0</v>
      </c>
      <c r="K274" s="4">
        <f t="shared" si="54"/>
        <v>3.8199999999999998E-2</v>
      </c>
      <c r="L274">
        <f t="shared" si="55"/>
        <v>0.09</v>
      </c>
      <c r="M274" s="4">
        <f t="shared" si="52"/>
        <v>7.64E-5</v>
      </c>
      <c r="N274" s="4">
        <f t="shared" si="53"/>
        <v>1.7999999999999998E-4</v>
      </c>
    </row>
    <row r="275" spans="1:14">
      <c r="A275" t="str">
        <f t="shared" si="56"/>
        <v>alp_marca</v>
      </c>
      <c r="B275" t="str">
        <f t="shared" si="57"/>
        <v>Oath BR</v>
      </c>
      <c r="C275" t="str">
        <f t="shared" si="58"/>
        <v>alp_marca_alcance_feminino_oath-verizon_display_superbanner_ros_rasteiras_funcional_cpm_728x90_111340</v>
      </c>
      <c r="D275" t="str">
        <f t="shared" si="59"/>
        <v>251524372</v>
      </c>
      <c r="E275" t="str">
        <f>IF(Table1[[#This Row],[Impressions]]&gt;Table1[[#This Row],[Clicks]],"Standard",VLOOKUP(CONCATENATE(bd_adtype,"_",bd_creativetype),tabela,2,FALSE))</f>
        <v>Standard</v>
      </c>
      <c r="F275" t="str">
        <f t="shared" si="60"/>
        <v>alp_marca_alcance_feminino_oath-verizon_display_superbanner_ros_rasteiras_funcional_cpm_728x90_111340</v>
      </c>
      <c r="G275" t="str">
        <f t="shared" si="61"/>
        <v>447710992</v>
      </c>
      <c r="H275" t="str">
        <f t="shared" si="62"/>
        <v>Tracking</v>
      </c>
      <c r="I275">
        <f t="shared" si="63"/>
        <v>877950</v>
      </c>
      <c r="J275">
        <f t="shared" si="64"/>
        <v>1670</v>
      </c>
      <c r="K275" s="4">
        <f t="shared" si="54"/>
        <v>3.8199999999999998E-2</v>
      </c>
      <c r="L275">
        <f t="shared" si="55"/>
        <v>0.09</v>
      </c>
      <c r="M275" s="4">
        <f t="shared" si="52"/>
        <v>33.537689999999998</v>
      </c>
      <c r="N275" s="4">
        <f t="shared" si="53"/>
        <v>79.015500000000003</v>
      </c>
    </row>
    <row r="276" spans="1:14">
      <c r="A276" t="str">
        <f t="shared" si="56"/>
        <v>alp_marca</v>
      </c>
      <c r="B276" t="str">
        <f t="shared" si="57"/>
        <v>Oath BR</v>
      </c>
      <c r="C276" t="str">
        <f t="shared" si="58"/>
        <v>alp_marca_alcance_feminino_oath-verizon_display_superheader-mobile_ros_rasteiras_fashion_cpm_320x100_111341</v>
      </c>
      <c r="D276" t="str">
        <f t="shared" si="59"/>
        <v>251527273</v>
      </c>
      <c r="E276" t="str">
        <f>IF(Table1[[#This Row],[Impressions]]&gt;Table1[[#This Row],[Clicks]],"Standard",VLOOKUP(CONCATENATE(bd_adtype,"_",bd_creativetype),tabela,2,FALSE))</f>
        <v>Standard</v>
      </c>
      <c r="F276" t="str">
        <f t="shared" si="60"/>
        <v>1x1 Default Web Ad</v>
      </c>
      <c r="G276" t="str">
        <f t="shared" si="61"/>
        <v>438503523</v>
      </c>
      <c r="H276" t="str">
        <f t="shared" si="62"/>
        <v>Display</v>
      </c>
      <c r="I276">
        <f t="shared" si="63"/>
        <v>2</v>
      </c>
      <c r="J276">
        <f t="shared" si="64"/>
        <v>0</v>
      </c>
      <c r="K276" s="4">
        <f t="shared" si="54"/>
        <v>3.8199999999999998E-2</v>
      </c>
      <c r="L276">
        <f t="shared" si="55"/>
        <v>0.09</v>
      </c>
      <c r="M276" s="4">
        <f t="shared" si="52"/>
        <v>7.64E-5</v>
      </c>
      <c r="N276" s="4">
        <f t="shared" si="53"/>
        <v>1.7999999999999998E-4</v>
      </c>
    </row>
    <row r="277" spans="1:14">
      <c r="A277" t="str">
        <f t="shared" si="56"/>
        <v>alp_marca</v>
      </c>
      <c r="B277" t="str">
        <f t="shared" si="57"/>
        <v>Oath BR</v>
      </c>
      <c r="C277" t="str">
        <f t="shared" si="58"/>
        <v>alp_marca_alcance_feminino_oath-verizon_display_superheader-mobile_ros_rasteiras_funcional_cpm_320x100_111340</v>
      </c>
      <c r="D277" t="str">
        <f t="shared" si="59"/>
        <v>251625333</v>
      </c>
      <c r="E277" t="str">
        <f>IF(Table1[[#This Row],[Impressions]]&gt;Table1[[#This Row],[Clicks]],"Standard",VLOOKUP(CONCATENATE(bd_adtype,"_",bd_creativetype),tabela,2,FALSE))</f>
        <v>Standard</v>
      </c>
      <c r="F277" t="str">
        <f t="shared" si="60"/>
        <v>alp_marca_alcance_feminino_oath-verizon_display_superheader-mobile_ros_rasteiras_funcional_cpm_320x100_111340</v>
      </c>
      <c r="G277" t="str">
        <f t="shared" si="61"/>
        <v>447710392</v>
      </c>
      <c r="H277" t="str">
        <f t="shared" si="62"/>
        <v>Tracking</v>
      </c>
      <c r="I277">
        <f t="shared" si="63"/>
        <v>20</v>
      </c>
      <c r="J277">
        <f t="shared" si="64"/>
        <v>0</v>
      </c>
      <c r="K277" s="4">
        <f t="shared" si="54"/>
        <v>3.8199999999999998E-2</v>
      </c>
      <c r="L277">
        <f t="shared" si="55"/>
        <v>0.09</v>
      </c>
      <c r="M277" s="4">
        <f t="shared" si="52"/>
        <v>7.6400000000000003E-4</v>
      </c>
      <c r="N277" s="4">
        <f t="shared" si="53"/>
        <v>1.7999999999999997E-3</v>
      </c>
    </row>
    <row r="278" spans="1:14">
      <c r="A278" t="str">
        <f t="shared" si="56"/>
        <v>alp_marca</v>
      </c>
      <c r="B278" t="str">
        <f t="shared" si="57"/>
        <v>Oath BR</v>
      </c>
      <c r="C278" t="str">
        <f t="shared" si="58"/>
        <v>alp_marca_alcance_masculino_oath-verizon_video_video_ros_havaianas-urban-rubinho_all_cpm_de-11s-ate-29s_111333</v>
      </c>
      <c r="D278" t="str">
        <f t="shared" si="59"/>
        <v>251320243</v>
      </c>
      <c r="E278" t="str">
        <f>IF(Table1[[#This Row],[Impressions]]&gt;Table1[[#This Row],[Clicks]],"Standard",VLOOKUP(CONCATENATE(bd_adtype,"_",bd_creativetype),tabela,2,FALSE))</f>
        <v>Standard</v>
      </c>
      <c r="F278" t="str">
        <f t="shared" si="60"/>
        <v>alp_marca_alcance_masculino_oath-verizon_video_video_ros_havaianas-urban-rubinho_all_cpm_de-11s-ate-29s_111333</v>
      </c>
      <c r="G278" t="str">
        <f t="shared" si="61"/>
        <v>447398574</v>
      </c>
      <c r="H278" t="str">
        <f t="shared" si="62"/>
        <v>Tracking</v>
      </c>
      <c r="I278">
        <f t="shared" si="63"/>
        <v>30948795</v>
      </c>
      <c r="J278">
        <f t="shared" si="64"/>
        <v>504684</v>
      </c>
      <c r="K278" s="4">
        <f t="shared" si="54"/>
        <v>3.8199999999999998E-2</v>
      </c>
      <c r="L278">
        <f t="shared" si="55"/>
        <v>0.09</v>
      </c>
      <c r="M278" s="4">
        <f t="shared" si="52"/>
        <v>1182.2439690000001</v>
      </c>
      <c r="N278" s="4">
        <f t="shared" si="53"/>
        <v>2785.3915499999998</v>
      </c>
    </row>
    <row r="279" spans="1:14">
      <c r="A279" t="str">
        <f t="shared" si="56"/>
        <v>alp_marca</v>
      </c>
      <c r="B279" t="str">
        <f t="shared" si="57"/>
        <v>Omelete</v>
      </c>
      <c r="C279" t="str">
        <f t="shared" si="58"/>
        <v>alp_marca_alcance_jovem_omelete_display_half-page_ros_stranger-things_all_cpm_300x600_111320</v>
      </c>
      <c r="D279" t="str">
        <f t="shared" si="59"/>
        <v>250660884</v>
      </c>
      <c r="E279" t="str">
        <f>IF(Table1[[#This Row],[Impressions]]&gt;Table1[[#This Row],[Clicks]],"Standard",VLOOKUP(CONCATENATE(bd_adtype,"_",bd_creativetype),tabela,2,FALSE))</f>
        <v>Standard</v>
      </c>
      <c r="F279" t="str">
        <f t="shared" si="60"/>
        <v>alp_marca_alcance_jovem_omelete_display_half-page_ros_stranger-things_all_cpm_300x600_111320</v>
      </c>
      <c r="G279" t="str">
        <f t="shared" si="61"/>
        <v>446775328</v>
      </c>
      <c r="H279" t="str">
        <f t="shared" si="62"/>
        <v>Tracking</v>
      </c>
      <c r="I279">
        <f t="shared" si="63"/>
        <v>119670</v>
      </c>
      <c r="J279">
        <f t="shared" si="64"/>
        <v>207</v>
      </c>
      <c r="K279" s="4">
        <f t="shared" si="54"/>
        <v>3.8199999999999998E-2</v>
      </c>
      <c r="L279">
        <f t="shared" si="55"/>
        <v>0.09</v>
      </c>
      <c r="M279" s="4">
        <f t="shared" si="52"/>
        <v>4.5713939999999997</v>
      </c>
      <c r="N279" s="4">
        <f t="shared" si="53"/>
        <v>10.770299999999999</v>
      </c>
    </row>
    <row r="280" spans="1:14">
      <c r="A280" t="str">
        <f t="shared" si="56"/>
        <v>alp_marca</v>
      </c>
      <c r="B280" t="str">
        <f t="shared" si="57"/>
        <v>Omelete</v>
      </c>
      <c r="C280" t="str">
        <f t="shared" si="58"/>
        <v>alp_marca_alcance_jovem_omelete_display_header-mobile_ros_stranger-things_all_cpm_320x50_111321</v>
      </c>
      <c r="D280" t="str">
        <f t="shared" si="59"/>
        <v>250660881</v>
      </c>
      <c r="E280" t="str">
        <f>IF(Table1[[#This Row],[Impressions]]&gt;Table1[[#This Row],[Clicks]],"Standard",VLOOKUP(CONCATENATE(bd_adtype,"_",bd_creativetype),tabela,2,FALSE))</f>
        <v>Standard</v>
      </c>
      <c r="F280" t="str">
        <f t="shared" si="60"/>
        <v>alp_marca_alcance_jovem_omelete_display_header-mobile_ros_stranger-things_all_cpm_320x50_111321</v>
      </c>
      <c r="G280" t="str">
        <f t="shared" si="61"/>
        <v>446775325</v>
      </c>
      <c r="H280" t="str">
        <f t="shared" si="62"/>
        <v>Tracking</v>
      </c>
      <c r="I280">
        <f t="shared" si="63"/>
        <v>89280</v>
      </c>
      <c r="J280">
        <f t="shared" si="64"/>
        <v>436</v>
      </c>
      <c r="K280" s="4">
        <f t="shared" si="54"/>
        <v>3.8199999999999998E-2</v>
      </c>
      <c r="L280">
        <f t="shared" si="55"/>
        <v>0.09</v>
      </c>
      <c r="M280" s="4">
        <f t="shared" si="52"/>
        <v>3.4104959999999997</v>
      </c>
      <c r="N280" s="4">
        <f t="shared" si="53"/>
        <v>8.0351999999999997</v>
      </c>
    </row>
    <row r="281" spans="1:14">
      <c r="A281" t="str">
        <f t="shared" si="56"/>
        <v>alp_marca</v>
      </c>
      <c r="B281" t="str">
        <f t="shared" si="57"/>
        <v>Omelete</v>
      </c>
      <c r="C281" t="str">
        <f t="shared" si="58"/>
        <v>alp_marca_alcance_jovem_omelete_display_inread-video_ros_stranger-things_all_cpm_acima-de-30s_111289</v>
      </c>
      <c r="D281" t="str">
        <f t="shared" si="59"/>
        <v>250093717</v>
      </c>
      <c r="E281" t="str">
        <f>IF(Table1[[#This Row],[Impressions]]&gt;Table1[[#This Row],[Clicks]],"Standard",VLOOKUP(CONCATENATE(bd_adtype,"_",bd_creativetype),tabela,2,FALSE))</f>
        <v>Dynamic Click</v>
      </c>
      <c r="F281" t="str">
        <f t="shared" si="60"/>
        <v>alp_marca_alcance_jovem_omelete_display_inread-video_ros_stranger-things_all_cpm_acima-de-30s_111289</v>
      </c>
      <c r="G281" t="str">
        <f t="shared" si="61"/>
        <v>446212634</v>
      </c>
      <c r="H281" t="str">
        <f t="shared" si="62"/>
        <v>Tracking</v>
      </c>
      <c r="I281">
        <f t="shared" si="63"/>
        <v>1650</v>
      </c>
      <c r="J281">
        <f t="shared" si="64"/>
        <v>1865</v>
      </c>
      <c r="K281" s="4">
        <f t="shared" si="54"/>
        <v>3.5000000000000001E-3</v>
      </c>
      <c r="L281">
        <f t="shared" si="55"/>
        <v>0.02</v>
      </c>
      <c r="M281" s="4">
        <f t="shared" si="52"/>
        <v>6.5274999999999999</v>
      </c>
      <c r="N281" s="4">
        <f t="shared" si="53"/>
        <v>37.300000000000004</v>
      </c>
    </row>
    <row r="282" spans="1:14">
      <c r="A282" t="str">
        <f t="shared" si="56"/>
        <v>alp_marca</v>
      </c>
      <c r="B282" t="str">
        <f t="shared" si="57"/>
        <v>Omelete</v>
      </c>
      <c r="C282" t="str">
        <f t="shared" si="58"/>
        <v>alp_marca_alcance_jovem_omelete_display_retangulo_ros_got_all_fixo_300x250_111154</v>
      </c>
      <c r="D282" t="str">
        <f t="shared" si="59"/>
        <v>245972916</v>
      </c>
      <c r="E282" t="str">
        <f>IF(Table1[[#This Row],[Impressions]]&gt;Table1[[#This Row],[Clicks]],"Standard",VLOOKUP(CONCATENATE(bd_adtype,"_",bd_creativetype),tabela,2,FALSE))</f>
        <v>Dynamic Click</v>
      </c>
      <c r="F282" t="str">
        <f t="shared" si="60"/>
        <v>alp_marca_alcance_jovem_omelete_display_retangulo_ros_got_all_fixo_300x250_111154</v>
      </c>
      <c r="G282" t="str">
        <f t="shared" si="61"/>
        <v>442369679</v>
      </c>
      <c r="H282" t="str">
        <f t="shared" si="62"/>
        <v>Tracking</v>
      </c>
      <c r="I282">
        <f t="shared" si="63"/>
        <v>0</v>
      </c>
      <c r="J282">
        <f t="shared" si="64"/>
        <v>1</v>
      </c>
      <c r="K282" s="4">
        <f t="shared" si="54"/>
        <v>3.5000000000000001E-3</v>
      </c>
      <c r="L282">
        <f t="shared" si="55"/>
        <v>0.02</v>
      </c>
      <c r="M282" s="4">
        <f t="shared" si="52"/>
        <v>3.5000000000000001E-3</v>
      </c>
      <c r="N282" s="4">
        <f t="shared" si="53"/>
        <v>0.02</v>
      </c>
    </row>
    <row r="283" spans="1:14">
      <c r="A283" t="str">
        <f t="shared" si="56"/>
        <v>alp_marca</v>
      </c>
      <c r="B283" t="str">
        <f t="shared" si="57"/>
        <v>Omelete</v>
      </c>
      <c r="C283" t="str">
        <f t="shared" si="58"/>
        <v>alp_marca_alcance_jovem_omelete_video_inread-video_ros_toy-story_all_fixo_de-5s-ate-10s_111242</v>
      </c>
      <c r="D283" t="str">
        <f t="shared" si="59"/>
        <v>249420487</v>
      </c>
      <c r="E283" t="str">
        <f>IF(Table1[[#This Row],[Impressions]]&gt;Table1[[#This Row],[Clicks]],"Standard",VLOOKUP(CONCATENATE(bd_adtype,"_",bd_creativetype),tabela,2,FALSE))</f>
        <v>Dynamic Click</v>
      </c>
      <c r="F283" t="str">
        <f t="shared" si="60"/>
        <v>alp_marca_alcance_jovem_omelete_video_inread-video_ros_toy-story_all_fixo_de-5s-ate-10s_111242</v>
      </c>
      <c r="G283" t="str">
        <f t="shared" si="61"/>
        <v>445573146</v>
      </c>
      <c r="H283" t="str">
        <f t="shared" si="62"/>
        <v>Tracking</v>
      </c>
      <c r="I283">
        <f t="shared" si="63"/>
        <v>36</v>
      </c>
      <c r="J283">
        <f t="shared" si="64"/>
        <v>36</v>
      </c>
      <c r="K283" s="4">
        <f t="shared" si="54"/>
        <v>3.5000000000000001E-3</v>
      </c>
      <c r="L283">
        <f t="shared" si="55"/>
        <v>0.02</v>
      </c>
      <c r="M283" s="4">
        <f t="shared" si="52"/>
        <v>0.126</v>
      </c>
      <c r="N283" s="4">
        <f t="shared" si="53"/>
        <v>0.72</v>
      </c>
    </row>
    <row r="284" spans="1:14">
      <c r="A284" t="str">
        <f t="shared" si="56"/>
        <v>alp_marca</v>
      </c>
      <c r="B284" t="str">
        <f t="shared" si="57"/>
        <v>OutBrain - Br</v>
      </c>
      <c r="C284" t="str">
        <f t="shared" si="58"/>
        <v>alp_marca_engajamentos_masculino_outbrain_native_native-ads_ros_masculino-cinderello_all_cpm_no-size_111143</v>
      </c>
      <c r="D284" t="str">
        <f t="shared" si="59"/>
        <v>244289813</v>
      </c>
      <c r="E284" t="str">
        <f>IF(Table1[[#This Row],[Impressions]]&gt;Table1[[#This Row],[Clicks]],"Standard",VLOOKUP(CONCATENATE(bd_adtype,"_",bd_creativetype),tabela,2,FALSE))</f>
        <v>Dynamic Click</v>
      </c>
      <c r="F284" t="str">
        <f t="shared" si="60"/>
        <v>alp_marca_engajamentos_masculino_outbrain_native_native-ads_ros_masculino-cinderello_all_cpm_no-size_111143</v>
      </c>
      <c r="G284" t="str">
        <f t="shared" si="61"/>
        <v>441119934</v>
      </c>
      <c r="H284" t="str">
        <f t="shared" si="62"/>
        <v>Tracking</v>
      </c>
      <c r="I284">
        <f t="shared" si="63"/>
        <v>0</v>
      </c>
      <c r="J284">
        <f t="shared" si="64"/>
        <v>1</v>
      </c>
      <c r="K284" s="4">
        <f t="shared" si="54"/>
        <v>3.5000000000000001E-3</v>
      </c>
      <c r="L284">
        <f t="shared" si="55"/>
        <v>0.02</v>
      </c>
      <c r="M284" s="4">
        <f t="shared" si="52"/>
        <v>3.5000000000000001E-3</v>
      </c>
      <c r="N284" s="4">
        <f t="shared" si="53"/>
        <v>0.02</v>
      </c>
    </row>
    <row r="285" spans="1:14">
      <c r="A285" t="str">
        <f t="shared" si="56"/>
        <v>alp_marca</v>
      </c>
      <c r="B285" t="str">
        <f t="shared" si="57"/>
        <v>Pipocando</v>
      </c>
      <c r="C285" t="str">
        <f t="shared" si="58"/>
        <v>alp_marca_alcance_jovem_pipocando_conteudo-veiculo_video-ytb_social_toy-story_all_fixo_no-size_111232</v>
      </c>
      <c r="D285" t="str">
        <f t="shared" si="59"/>
        <v>249203219</v>
      </c>
      <c r="E285" t="str">
        <f>IF(Table1[[#This Row],[Impressions]]&gt;Table1[[#This Row],[Clicks]],"Standard",VLOOKUP(CONCATENATE(bd_adtype,"_",bd_creativetype),tabela,2,FALSE))</f>
        <v>Dynamic Click</v>
      </c>
      <c r="F285" t="str">
        <f t="shared" si="60"/>
        <v>alp_marca_alcance_jovem_pipocando_conteudo-veiculo_video-ytb_social_toy-story_all_fixo_no-size_111232</v>
      </c>
      <c r="G285" t="str">
        <f t="shared" si="61"/>
        <v>445681967</v>
      </c>
      <c r="H285" t="str">
        <f t="shared" si="62"/>
        <v>Tracking</v>
      </c>
      <c r="I285">
        <f t="shared" si="63"/>
        <v>0</v>
      </c>
      <c r="J285">
        <f t="shared" si="64"/>
        <v>50</v>
      </c>
      <c r="K285" s="4">
        <f t="shared" si="54"/>
        <v>3.5000000000000001E-3</v>
      </c>
      <c r="L285">
        <f t="shared" si="55"/>
        <v>0.02</v>
      </c>
      <c r="M285" s="4">
        <f t="shared" si="52"/>
        <v>0.17500000000000002</v>
      </c>
      <c r="N285" s="4">
        <f t="shared" si="53"/>
        <v>1</v>
      </c>
    </row>
    <row r="286" spans="1:14">
      <c r="A286" t="str">
        <f t="shared" si="56"/>
        <v>alp_marca</v>
      </c>
      <c r="B286" t="str">
        <f t="shared" si="57"/>
        <v>Pipocando</v>
      </c>
      <c r="C286" t="str">
        <f t="shared" si="58"/>
        <v>alp_marca_engajamentos_jovem_pipocando_conteudo-veiculo_video-ytb_social_got_all_fixo_no-size_111179</v>
      </c>
      <c r="D286" t="str">
        <f t="shared" si="59"/>
        <v>247069035</v>
      </c>
      <c r="E286" t="str">
        <f>IF(Table1[[#This Row],[Impressions]]&gt;Table1[[#This Row],[Clicks]],"Standard",VLOOKUP(CONCATENATE(bd_adtype,"_",bd_creativetype),tabela,2,FALSE))</f>
        <v>Dynamic Click</v>
      </c>
      <c r="F286" t="str">
        <f t="shared" si="60"/>
        <v>alp_marca_engajamentos_jovem_pipocando_conteudo-veiculo_video-ytb_social_got_all_fixo_no-size_111179</v>
      </c>
      <c r="G286" t="str">
        <f t="shared" si="61"/>
        <v>443322287</v>
      </c>
      <c r="H286" t="str">
        <f t="shared" si="62"/>
        <v>Tracking</v>
      </c>
      <c r="I286">
        <f t="shared" si="63"/>
        <v>0</v>
      </c>
      <c r="J286">
        <f t="shared" si="64"/>
        <v>14</v>
      </c>
      <c r="K286" s="4">
        <f t="shared" si="54"/>
        <v>3.5000000000000001E-3</v>
      </c>
      <c r="L286">
        <f t="shared" si="55"/>
        <v>0.02</v>
      </c>
      <c r="M286" s="4">
        <f t="shared" si="52"/>
        <v>4.9000000000000002E-2</v>
      </c>
      <c r="N286" s="4">
        <f t="shared" si="53"/>
        <v>0.28000000000000003</v>
      </c>
    </row>
    <row r="287" spans="1:14">
      <c r="A287" t="str">
        <f t="shared" si="56"/>
        <v>alp_marca</v>
      </c>
      <c r="B287" t="str">
        <f t="shared" si="57"/>
        <v>Steal The Look</v>
      </c>
      <c r="C287" t="str">
        <f t="shared" si="58"/>
        <v>alp_marca_alcance_feminino_steal-the-look_display_diaria-bg_home_rasteiras-you_all_cpm_1900x1020_111349</v>
      </c>
      <c r="D287" t="str">
        <f t="shared" si="59"/>
        <v>252094675</v>
      </c>
      <c r="E287" t="str">
        <f>IF(Table1[[#This Row],[Impressions]]&gt;Table1[[#This Row],[Clicks]],"Standard",VLOOKUP(CONCATENATE(bd_adtype,"_",bd_creativetype),tabela,2,FALSE))</f>
        <v>Dynamic Click</v>
      </c>
      <c r="F287" t="str">
        <f t="shared" si="60"/>
        <v>alp_marca_alcance_feminino_steal-the-look_display_diaria-bg_home_rasteiras-you_all_cpm_1900x1020_111349</v>
      </c>
      <c r="G287" t="str">
        <f t="shared" si="61"/>
        <v>448096674</v>
      </c>
      <c r="H287" t="str">
        <f t="shared" si="62"/>
        <v>Tracking</v>
      </c>
      <c r="I287">
        <f t="shared" si="63"/>
        <v>0</v>
      </c>
      <c r="J287">
        <f t="shared" si="64"/>
        <v>408</v>
      </c>
      <c r="K287" s="4">
        <f t="shared" si="54"/>
        <v>3.5000000000000001E-3</v>
      </c>
      <c r="L287">
        <f t="shared" si="55"/>
        <v>0.02</v>
      </c>
      <c r="M287" s="4">
        <f t="shared" si="52"/>
        <v>1.4279999999999999</v>
      </c>
      <c r="N287" s="4">
        <f t="shared" si="53"/>
        <v>8.16</v>
      </c>
    </row>
    <row r="288" spans="1:14">
      <c r="A288" t="str">
        <f t="shared" si="56"/>
        <v>alp_marca</v>
      </c>
      <c r="B288" t="str">
        <f t="shared" si="57"/>
        <v>Steal The Look</v>
      </c>
      <c r="C288" t="str">
        <f t="shared" si="58"/>
        <v>alp_marca_engajamentos_feminino_steal-the-look_conteudo-veiculo_publieditorial_ros_rasteiras-you_all_cpm_no-size_111278</v>
      </c>
      <c r="D288" t="str">
        <f t="shared" si="59"/>
        <v>249792011</v>
      </c>
      <c r="E288" t="str">
        <f>IF(Table1[[#This Row],[Impressions]]&gt;Table1[[#This Row],[Clicks]],"Standard",VLOOKUP(CONCATENATE(bd_adtype,"_",bd_creativetype),tabela,2,FALSE))</f>
        <v>Dynamic Click</v>
      </c>
      <c r="F288" t="str">
        <f t="shared" si="60"/>
        <v>alp_marca_engajamentos_feminino_steal-the-look_conteudo-veiculo_publieditorial_ros_rasteiras-you_all_cpm_no-size_111278</v>
      </c>
      <c r="G288" t="str">
        <f t="shared" si="61"/>
        <v>446267440</v>
      </c>
      <c r="H288" t="str">
        <f t="shared" si="62"/>
        <v>Tracking</v>
      </c>
      <c r="I288">
        <f t="shared" si="63"/>
        <v>0</v>
      </c>
      <c r="J288">
        <f t="shared" si="64"/>
        <v>99</v>
      </c>
      <c r="K288" s="4">
        <f t="shared" si="54"/>
        <v>3.5000000000000001E-3</v>
      </c>
      <c r="L288">
        <f t="shared" si="55"/>
        <v>0.02</v>
      </c>
      <c r="M288" s="4">
        <f t="shared" si="52"/>
        <v>0.34650000000000003</v>
      </c>
      <c r="N288" s="4">
        <f t="shared" si="53"/>
        <v>1.98</v>
      </c>
    </row>
    <row r="289" spans="1:14">
      <c r="A289" t="str">
        <f t="shared" si="56"/>
        <v>alp_marca</v>
      </c>
      <c r="B289" t="str">
        <f t="shared" si="57"/>
        <v>Steal The Look</v>
      </c>
      <c r="C289" t="str">
        <f t="shared" si="58"/>
        <v>alp_marca_engajamentos_feminino_steal-the-look_conteudo-veiculo_publieditorial_ros_rasteiras-you_all_cpm_no-size_111279</v>
      </c>
      <c r="D289" t="str">
        <f t="shared" si="59"/>
        <v>249792014</v>
      </c>
      <c r="E289" t="str">
        <f>IF(Table1[[#This Row],[Impressions]]&gt;Table1[[#This Row],[Clicks]],"Standard",VLOOKUP(CONCATENATE(bd_adtype,"_",bd_creativetype),tabela,2,FALSE))</f>
        <v>Dynamic Click</v>
      </c>
      <c r="F289" t="str">
        <f t="shared" si="60"/>
        <v>alp_marca_engajamentos_feminino_steal-the-look_conteudo-veiculo_publieditorial_ros_rasteiras-you_all_cpm_no-size_111279</v>
      </c>
      <c r="G289" t="str">
        <f t="shared" si="61"/>
        <v>446267443</v>
      </c>
      <c r="H289" t="str">
        <f t="shared" si="62"/>
        <v>Tracking</v>
      </c>
      <c r="I289">
        <f t="shared" si="63"/>
        <v>0</v>
      </c>
      <c r="J289">
        <f t="shared" si="64"/>
        <v>6</v>
      </c>
      <c r="K289" s="4">
        <f t="shared" si="54"/>
        <v>3.5000000000000001E-3</v>
      </c>
      <c r="L289">
        <f t="shared" si="55"/>
        <v>0.02</v>
      </c>
      <c r="M289" s="4">
        <f t="shared" si="52"/>
        <v>2.1000000000000001E-2</v>
      </c>
      <c r="N289" s="4">
        <f t="shared" si="53"/>
        <v>0.12</v>
      </c>
    </row>
    <row r="290" spans="1:14">
      <c r="A290" t="str">
        <f t="shared" si="56"/>
        <v>alp_marca</v>
      </c>
      <c r="B290" t="str">
        <f t="shared" si="57"/>
        <v>Steal The Look</v>
      </c>
      <c r="C290" t="str">
        <f t="shared" si="58"/>
        <v>alp_marca_engajamentos_feminino_steal-the-look_conteudo-veiculo_publieditorial_ros_rasteiras-you_all_cpm_no-size_111280</v>
      </c>
      <c r="D290" t="str">
        <f t="shared" si="59"/>
        <v>249792017</v>
      </c>
      <c r="E290" t="str">
        <f>IF(Table1[[#This Row],[Impressions]]&gt;Table1[[#This Row],[Clicks]],"Standard",VLOOKUP(CONCATENATE(bd_adtype,"_",bd_creativetype),tabela,2,FALSE))</f>
        <v>Dynamic Click</v>
      </c>
      <c r="F290" t="str">
        <f t="shared" si="60"/>
        <v>alp_marca_engajamentos_feminino_steal-the-look_conteudo-veiculo_publieditorial_ros_rasteiras-you_all_cpm_no-size_111280</v>
      </c>
      <c r="G290" t="str">
        <f t="shared" si="61"/>
        <v>446267446</v>
      </c>
      <c r="H290" t="str">
        <f t="shared" si="62"/>
        <v>Tracking</v>
      </c>
      <c r="I290">
        <f t="shared" si="63"/>
        <v>0</v>
      </c>
      <c r="J290">
        <f t="shared" si="64"/>
        <v>1</v>
      </c>
      <c r="K290" s="4">
        <f t="shared" si="54"/>
        <v>3.5000000000000001E-3</v>
      </c>
      <c r="L290">
        <f t="shared" si="55"/>
        <v>0.02</v>
      </c>
      <c r="M290" s="4">
        <f t="shared" si="52"/>
        <v>3.5000000000000001E-3</v>
      </c>
      <c r="N290" s="4">
        <f t="shared" si="53"/>
        <v>0.02</v>
      </c>
    </row>
    <row r="291" spans="1:14">
      <c r="A291" t="str">
        <f t="shared" si="56"/>
        <v>alp_marca</v>
      </c>
      <c r="B291" t="str">
        <f t="shared" si="57"/>
        <v>Steal The Look</v>
      </c>
      <c r="C291" t="str">
        <f t="shared" si="58"/>
        <v>alp_marca_engajamentos_feminino_steal-the-look_conteudo-veiculo_publieditorial_ros_rasteiras-you_all_cpm_no-size_111281</v>
      </c>
      <c r="D291" t="str">
        <f t="shared" si="59"/>
        <v>249792020</v>
      </c>
      <c r="E291" t="str">
        <f>IF(Table1[[#This Row],[Impressions]]&gt;Table1[[#This Row],[Clicks]],"Standard",VLOOKUP(CONCATENATE(bd_adtype,"_",bd_creativetype),tabela,2,FALSE))</f>
        <v>Dynamic Click</v>
      </c>
      <c r="F291" t="str">
        <f t="shared" si="60"/>
        <v>alp_marca_engajamentos_feminino_steal-the-look_conteudo-veiculo_publieditorial_ros_rasteiras-you_all_cpm_no-size_111281</v>
      </c>
      <c r="G291" t="str">
        <f t="shared" si="61"/>
        <v>446267449</v>
      </c>
      <c r="H291" t="str">
        <f t="shared" si="62"/>
        <v>Tracking</v>
      </c>
      <c r="I291">
        <f t="shared" si="63"/>
        <v>0</v>
      </c>
      <c r="J291">
        <f t="shared" si="64"/>
        <v>28</v>
      </c>
      <c r="K291" s="4">
        <f t="shared" si="54"/>
        <v>3.5000000000000001E-3</v>
      </c>
      <c r="L291">
        <f t="shared" si="55"/>
        <v>0.02</v>
      </c>
      <c r="M291" s="4">
        <f t="shared" ref="M291:M354" si="65">IF(E291="Dynamic Click",J291*K291,K291*$I291/1000)</f>
        <v>9.8000000000000004E-2</v>
      </c>
      <c r="N291" s="4">
        <f t="shared" ref="N291:N354" si="66">IF(E291="Dynamic Click",J291*L291,L291*$I291/1000)</f>
        <v>0.56000000000000005</v>
      </c>
    </row>
    <row r="292" spans="1:14">
      <c r="A292" t="str">
        <f t="shared" si="56"/>
        <v>alp_marca</v>
      </c>
      <c r="B292" t="str">
        <f t="shared" si="57"/>
        <v>Steal The Look</v>
      </c>
      <c r="C292" t="str">
        <f t="shared" si="58"/>
        <v>alp_marca_engajamentos_feminino_steal-the-look_conteudo-veiculo_publieditorial_ros_rasteiras-you_all_cpm_no-size_111282</v>
      </c>
      <c r="D292" t="str">
        <f t="shared" si="59"/>
        <v>249792023</v>
      </c>
      <c r="E292" t="str">
        <f>IF(Table1[[#This Row],[Impressions]]&gt;Table1[[#This Row],[Clicks]],"Standard",VLOOKUP(CONCATENATE(bd_adtype,"_",bd_creativetype),tabela,2,FALSE))</f>
        <v>Dynamic Click</v>
      </c>
      <c r="F292" t="str">
        <f t="shared" si="60"/>
        <v>alp_marca_engajamentos_feminino_steal-the-look_conteudo-veiculo_publieditorial_ros_rasteiras-you_all_cpm_no-size_111282</v>
      </c>
      <c r="G292" t="str">
        <f t="shared" si="61"/>
        <v>446267452</v>
      </c>
      <c r="H292" t="str">
        <f t="shared" si="62"/>
        <v>Tracking</v>
      </c>
      <c r="I292">
        <f t="shared" si="63"/>
        <v>0</v>
      </c>
      <c r="J292">
        <f t="shared" si="64"/>
        <v>3</v>
      </c>
      <c r="K292" s="4">
        <f t="shared" si="54"/>
        <v>3.5000000000000001E-3</v>
      </c>
      <c r="L292">
        <f t="shared" si="55"/>
        <v>0.02</v>
      </c>
      <c r="M292" s="4">
        <f t="shared" si="65"/>
        <v>1.0500000000000001E-2</v>
      </c>
      <c r="N292" s="4">
        <f t="shared" si="66"/>
        <v>0.06</v>
      </c>
    </row>
    <row r="293" spans="1:14">
      <c r="A293" t="str">
        <f t="shared" si="56"/>
        <v>alp_marca</v>
      </c>
      <c r="B293" t="str">
        <f t="shared" si="57"/>
        <v>Steal The Look</v>
      </c>
      <c r="C293" t="str">
        <f t="shared" si="58"/>
        <v>alp_marca_engajamentos_feminino_steal-the-look_conteudo-veiculo_publieditorial_ros_rasteiras-you_all_cpm_no-size_111283</v>
      </c>
      <c r="D293" t="str">
        <f t="shared" si="59"/>
        <v>249792026</v>
      </c>
      <c r="E293" t="str">
        <f>IF(Table1[[#This Row],[Impressions]]&gt;Table1[[#This Row],[Clicks]],"Standard",VLOOKUP(CONCATENATE(bd_adtype,"_",bd_creativetype),tabela,2,FALSE))</f>
        <v>Dynamic Click</v>
      </c>
      <c r="F293" t="str">
        <f t="shared" si="60"/>
        <v>alp_marca_engajamentos_feminino_steal-the-look_conteudo-veiculo_publieditorial_ros_rasteiras-you_all_cpm_no-size_111283</v>
      </c>
      <c r="G293" t="str">
        <f t="shared" si="61"/>
        <v>446267455</v>
      </c>
      <c r="H293" t="str">
        <f t="shared" si="62"/>
        <v>Tracking</v>
      </c>
      <c r="I293">
        <f t="shared" si="63"/>
        <v>0</v>
      </c>
      <c r="J293">
        <f t="shared" si="64"/>
        <v>6</v>
      </c>
      <c r="K293" s="4">
        <f t="shared" si="54"/>
        <v>3.5000000000000001E-3</v>
      </c>
      <c r="L293">
        <f t="shared" si="55"/>
        <v>0.02</v>
      </c>
      <c r="M293" s="4">
        <f t="shared" si="65"/>
        <v>2.1000000000000001E-2</v>
      </c>
      <c r="N293" s="4">
        <f t="shared" si="66"/>
        <v>0.12</v>
      </c>
    </row>
    <row r="294" spans="1:14">
      <c r="A294" t="str">
        <f t="shared" si="56"/>
        <v>alp_marca</v>
      </c>
      <c r="B294" t="str">
        <f t="shared" si="57"/>
        <v>Steal The Look</v>
      </c>
      <c r="C294" t="str">
        <f t="shared" si="58"/>
        <v>alp_marca_engajamentos_feminino_steal-the-look_conteudo-veiculo_publieditorial_ros_rasteiras-you_all_cpm_no-size_111285</v>
      </c>
      <c r="D294" t="str">
        <f t="shared" si="59"/>
        <v>249792032</v>
      </c>
      <c r="E294" t="str">
        <f>IF(Table1[[#This Row],[Impressions]]&gt;Table1[[#This Row],[Clicks]],"Standard",VLOOKUP(CONCATENATE(bd_adtype,"_",bd_creativetype),tabela,2,FALSE))</f>
        <v>Dynamic Click</v>
      </c>
      <c r="F294" t="str">
        <f t="shared" si="60"/>
        <v>alp_marca_engajamentos_feminino_steal-the-look_conteudo-veiculo_publieditorial_ros_rasteiras-you_all_cpm_no-size_111285</v>
      </c>
      <c r="G294" t="str">
        <f t="shared" si="61"/>
        <v>446267461</v>
      </c>
      <c r="H294" t="str">
        <f t="shared" si="62"/>
        <v>Tracking</v>
      </c>
      <c r="I294">
        <f t="shared" si="63"/>
        <v>0</v>
      </c>
      <c r="J294">
        <f t="shared" si="64"/>
        <v>91</v>
      </c>
      <c r="K294" s="4">
        <f t="shared" si="54"/>
        <v>3.5000000000000001E-3</v>
      </c>
      <c r="L294">
        <f t="shared" si="55"/>
        <v>0.02</v>
      </c>
      <c r="M294" s="4">
        <f t="shared" si="65"/>
        <v>0.31850000000000001</v>
      </c>
      <c r="N294" s="4">
        <f t="shared" si="66"/>
        <v>1.82</v>
      </c>
    </row>
    <row r="295" spans="1:14">
      <c r="A295" t="str">
        <f t="shared" si="56"/>
        <v>alp_marca</v>
      </c>
      <c r="B295" t="str">
        <f t="shared" si="57"/>
        <v>Steal The Look</v>
      </c>
      <c r="C295" t="str">
        <f t="shared" si="58"/>
        <v>alp_marca_engajamentos_feminino_steal-the-look_conteudo-veiculo_publieditorial_ros_rasteiras-you_all_cpm_no-size_111286</v>
      </c>
      <c r="D295" t="str">
        <f t="shared" si="59"/>
        <v>249792035</v>
      </c>
      <c r="E295" t="str">
        <f>IF(Table1[[#This Row],[Impressions]]&gt;Table1[[#This Row],[Clicks]],"Standard",VLOOKUP(CONCATENATE(bd_adtype,"_",bd_creativetype),tabela,2,FALSE))</f>
        <v>Dynamic Click</v>
      </c>
      <c r="F295" t="str">
        <f t="shared" si="60"/>
        <v>alp_marca_engajamentos_feminino_steal-the-look_conteudo-veiculo_publieditorial_ros_rasteiras-you_all_cpm_no-size_111286</v>
      </c>
      <c r="G295" t="str">
        <f t="shared" si="61"/>
        <v>446267464</v>
      </c>
      <c r="H295" t="str">
        <f t="shared" si="62"/>
        <v>Tracking</v>
      </c>
      <c r="I295">
        <f t="shared" si="63"/>
        <v>0</v>
      </c>
      <c r="J295">
        <f t="shared" si="64"/>
        <v>33</v>
      </c>
      <c r="K295" s="4">
        <f t="shared" si="54"/>
        <v>3.5000000000000001E-3</v>
      </c>
      <c r="L295">
        <f t="shared" si="55"/>
        <v>0.02</v>
      </c>
      <c r="M295" s="4">
        <f t="shared" si="65"/>
        <v>0.11550000000000001</v>
      </c>
      <c r="N295" s="4">
        <f t="shared" si="66"/>
        <v>0.66</v>
      </c>
    </row>
    <row r="296" spans="1:14">
      <c r="A296" t="str">
        <f t="shared" si="56"/>
        <v>alp_marca</v>
      </c>
      <c r="B296" t="str">
        <f t="shared" si="57"/>
        <v>Steal The Look</v>
      </c>
      <c r="C296" t="str">
        <f t="shared" si="58"/>
        <v>alp_marca_engajamentos_feminino_steal-the-look_conteudo-veiculo_publieditorial_ros_rasteiras-you_all_cpm_no-size_111287</v>
      </c>
      <c r="D296" t="str">
        <f t="shared" si="59"/>
        <v>249792038</v>
      </c>
      <c r="E296" t="str">
        <f>IF(Table1[[#This Row],[Impressions]]&gt;Table1[[#This Row],[Clicks]],"Standard",VLOOKUP(CONCATENATE(bd_adtype,"_",bd_creativetype),tabela,2,FALSE))</f>
        <v>Dynamic Click</v>
      </c>
      <c r="F296" t="str">
        <f t="shared" si="60"/>
        <v>alp_marca_engajamentos_feminino_steal-the-look_conteudo-veiculo_publieditorial_ros_rasteiras-you_all_cpm_no-size_111287</v>
      </c>
      <c r="G296" t="str">
        <f t="shared" si="61"/>
        <v>446267467</v>
      </c>
      <c r="H296" t="str">
        <f t="shared" si="62"/>
        <v>Tracking</v>
      </c>
      <c r="I296">
        <f t="shared" si="63"/>
        <v>0</v>
      </c>
      <c r="J296">
        <f t="shared" si="64"/>
        <v>15</v>
      </c>
      <c r="K296" s="4">
        <f t="shared" si="54"/>
        <v>3.5000000000000001E-3</v>
      </c>
      <c r="L296">
        <f t="shared" si="55"/>
        <v>0.02</v>
      </c>
      <c r="M296" s="4">
        <f t="shared" si="65"/>
        <v>5.2499999999999998E-2</v>
      </c>
      <c r="N296" s="4">
        <f t="shared" si="66"/>
        <v>0.3</v>
      </c>
    </row>
    <row r="297" spans="1:14">
      <c r="A297" t="str">
        <f t="shared" si="56"/>
        <v>alp_marca</v>
      </c>
      <c r="B297" t="str">
        <f t="shared" si="57"/>
        <v>Steal The Look</v>
      </c>
      <c r="C297" t="str">
        <f t="shared" si="58"/>
        <v>alp_marca_engajamentos_feminino_steal-the-look_conteudo-veiculo_publieditorial_ros_rasteiras-you_all_cpm_no-size_111354</v>
      </c>
      <c r="D297" t="str">
        <f t="shared" si="59"/>
        <v>252202933</v>
      </c>
      <c r="E297" t="str">
        <f>IF(Table1[[#This Row],[Impressions]]&gt;Table1[[#This Row],[Clicks]],"Standard",VLOOKUP(CONCATENATE(bd_adtype,"_",bd_creativetype),tabela,2,FALSE))</f>
        <v>Dynamic Click</v>
      </c>
      <c r="F297" t="str">
        <f t="shared" si="60"/>
        <v>alp_marca_engajamentos_feminino_steal-the-look_conteudo-veiculo_publieditorial_ros_rasteiras-you_all_cpm_no-size_111354</v>
      </c>
      <c r="G297" t="str">
        <f t="shared" si="61"/>
        <v>448198305</v>
      </c>
      <c r="H297" t="str">
        <f t="shared" si="62"/>
        <v>Tracking</v>
      </c>
      <c r="I297">
        <f t="shared" si="63"/>
        <v>0</v>
      </c>
      <c r="J297">
        <f t="shared" si="64"/>
        <v>20</v>
      </c>
      <c r="K297" s="4">
        <f t="shared" si="54"/>
        <v>3.5000000000000001E-3</v>
      </c>
      <c r="L297">
        <f t="shared" si="55"/>
        <v>0.02</v>
      </c>
      <c r="M297" s="4">
        <f t="shared" si="65"/>
        <v>7.0000000000000007E-2</v>
      </c>
      <c r="N297" s="4">
        <f t="shared" si="66"/>
        <v>0.4</v>
      </c>
    </row>
    <row r="298" spans="1:14">
      <c r="A298" t="str">
        <f t="shared" si="56"/>
        <v>alp_marca</v>
      </c>
      <c r="B298" t="str">
        <f t="shared" si="57"/>
        <v>Steal The Look</v>
      </c>
      <c r="C298" t="str">
        <f t="shared" si="58"/>
        <v>alp_marca_engajamentos_feminino_steal-the-look_conteudo-veiculo_publieditorial_ros_rasteiras-you_all_cpm_no-size_111355</v>
      </c>
      <c r="D298" t="str">
        <f t="shared" si="59"/>
        <v>251870939</v>
      </c>
      <c r="E298" t="str">
        <f>IF(Table1[[#This Row],[Impressions]]&gt;Table1[[#This Row],[Clicks]],"Standard",VLOOKUP(CONCATENATE(bd_adtype,"_",bd_creativetype),tabela,2,FALSE))</f>
        <v>Dynamic Click</v>
      </c>
      <c r="F298" t="str">
        <f t="shared" si="60"/>
        <v>alp_marca_engajamentos_feminino_steal-the-look_conteudo-veiculo_publieditorial_ros_rasteiras-you_all_cpm_no-size_111355</v>
      </c>
      <c r="G298" t="str">
        <f t="shared" si="61"/>
        <v>448251389</v>
      </c>
      <c r="H298" t="str">
        <f t="shared" si="62"/>
        <v>Tracking</v>
      </c>
      <c r="I298">
        <f t="shared" si="63"/>
        <v>0</v>
      </c>
      <c r="J298">
        <f t="shared" si="64"/>
        <v>21</v>
      </c>
      <c r="K298" s="4">
        <f t="shared" si="54"/>
        <v>3.5000000000000001E-3</v>
      </c>
      <c r="L298">
        <f t="shared" si="55"/>
        <v>0.02</v>
      </c>
      <c r="M298" s="4">
        <f t="shared" si="65"/>
        <v>7.3499999999999996E-2</v>
      </c>
      <c r="N298" s="4">
        <f t="shared" si="66"/>
        <v>0.42</v>
      </c>
    </row>
    <row r="299" spans="1:14">
      <c r="A299" t="str">
        <f t="shared" si="56"/>
        <v>alp_marca</v>
      </c>
      <c r="B299" t="str">
        <f t="shared" si="57"/>
        <v>Sua musica</v>
      </c>
      <c r="C299" t="str">
        <f t="shared" si="58"/>
        <v>alp_marca_alcance_todos_sua-musica_display_diaria-bg_home_sao-joao_all_cpm_1900x1020_111276</v>
      </c>
      <c r="D299" t="str">
        <f t="shared" si="59"/>
        <v>249903469</v>
      </c>
      <c r="E299" t="str">
        <f>IF(Table1[[#This Row],[Impressions]]&gt;Table1[[#This Row],[Clicks]],"Standard",VLOOKUP(CONCATENATE(bd_adtype,"_",bd_creativetype),tabela,2,FALSE))</f>
        <v>Dynamic Click</v>
      </c>
      <c r="F299" t="str">
        <f t="shared" si="60"/>
        <v>alp_marca_alcance_todos_sua-musica_display_diaria-bg_home_sao-joao_all_cpm_1900x1020_111276</v>
      </c>
      <c r="G299" t="str">
        <f t="shared" si="61"/>
        <v>446129080</v>
      </c>
      <c r="H299" t="str">
        <f t="shared" si="62"/>
        <v>Tracking</v>
      </c>
      <c r="I299">
        <f t="shared" si="63"/>
        <v>0</v>
      </c>
      <c r="J299">
        <f t="shared" si="64"/>
        <v>30</v>
      </c>
      <c r="K299" s="4">
        <f t="shared" si="54"/>
        <v>3.5000000000000001E-3</v>
      </c>
      <c r="L299">
        <f t="shared" si="55"/>
        <v>0.02</v>
      </c>
      <c r="M299" s="4">
        <f t="shared" si="65"/>
        <v>0.105</v>
      </c>
      <c r="N299" s="4">
        <f t="shared" si="66"/>
        <v>0.6</v>
      </c>
    </row>
    <row r="300" spans="1:14">
      <c r="A300" t="str">
        <f t="shared" si="56"/>
        <v>alp_marca</v>
      </c>
      <c r="B300" t="str">
        <f t="shared" si="57"/>
        <v>Sua musica</v>
      </c>
      <c r="C300" t="str">
        <f t="shared" si="58"/>
        <v>alp_marca_alcance_todos_sua-musica_display_interstitial-mobile_ros_sao-joao_all_cpm_320x480_111221</v>
      </c>
      <c r="D300" t="str">
        <f t="shared" si="59"/>
        <v>248521784</v>
      </c>
      <c r="E300" t="str">
        <f>IF(Table1[[#This Row],[Impressions]]&gt;Table1[[#This Row],[Clicks]],"Standard",VLOOKUP(CONCATENATE(bd_adtype,"_",bd_creativetype),tabela,2,FALSE))</f>
        <v>Dynamic Click</v>
      </c>
      <c r="F300" t="str">
        <f t="shared" si="60"/>
        <v>alp_marca_alcance_todos_sua-musica_display_interstitial-mobile_ros_sao-joao_all_cpm_320x480_111221</v>
      </c>
      <c r="G300" t="str">
        <f t="shared" si="61"/>
        <v>444923805</v>
      </c>
      <c r="H300" t="str">
        <f t="shared" si="62"/>
        <v>Tracking</v>
      </c>
      <c r="I300">
        <f t="shared" si="63"/>
        <v>34</v>
      </c>
      <c r="J300">
        <f t="shared" si="64"/>
        <v>189</v>
      </c>
      <c r="K300" s="4">
        <f t="shared" ref="K300:K363" si="67">IF(LEFT(B300,3)="DBM",0,VLOOKUP(E300,tabela,2,FALSE))</f>
        <v>3.5000000000000001E-3</v>
      </c>
      <c r="L300">
        <f t="shared" ref="L300:L363" si="68">VLOOKUP(E300,tabela,3,FALSE)</f>
        <v>0.02</v>
      </c>
      <c r="M300" s="4">
        <f t="shared" si="65"/>
        <v>0.66149999999999998</v>
      </c>
      <c r="N300" s="4">
        <f t="shared" si="66"/>
        <v>3.7800000000000002</v>
      </c>
    </row>
    <row r="301" spans="1:14">
      <c r="A301" t="str">
        <f t="shared" si="56"/>
        <v>alp_marca</v>
      </c>
      <c r="B301" t="str">
        <f t="shared" si="57"/>
        <v>Sua musica</v>
      </c>
      <c r="C301" t="str">
        <f t="shared" si="58"/>
        <v>alp_marca_alcance_todos_sua-musica_social_stories-suamusica_social_sao-joao_all_cpm_de-11s-ate-29s_111227</v>
      </c>
      <c r="D301" t="str">
        <f t="shared" si="59"/>
        <v>249143647</v>
      </c>
      <c r="E301" t="str">
        <f>IF(Table1[[#This Row],[Impressions]]&gt;Table1[[#This Row],[Clicks]],"Standard",VLOOKUP(CONCATENATE(bd_adtype,"_",bd_creativetype),tabela,2,FALSE))</f>
        <v>Dynamic Click</v>
      </c>
      <c r="F301" t="str">
        <f t="shared" si="60"/>
        <v>alp_marca_alcance_todos_sua-musica_social_stories-suamusica_social_sao-joao_all_cpm_de-11s-ate-29s_111227</v>
      </c>
      <c r="G301" t="str">
        <f t="shared" si="61"/>
        <v>445312272</v>
      </c>
      <c r="H301" t="str">
        <f t="shared" si="62"/>
        <v>Tracking</v>
      </c>
      <c r="I301">
        <f t="shared" si="63"/>
        <v>0</v>
      </c>
      <c r="J301">
        <f t="shared" si="64"/>
        <v>7</v>
      </c>
      <c r="K301" s="4">
        <f t="shared" si="67"/>
        <v>3.5000000000000001E-3</v>
      </c>
      <c r="L301">
        <f t="shared" si="68"/>
        <v>0.02</v>
      </c>
      <c r="M301" s="4">
        <f t="shared" si="65"/>
        <v>2.4500000000000001E-2</v>
      </c>
      <c r="N301" s="4">
        <f t="shared" si="66"/>
        <v>0.14000000000000001</v>
      </c>
    </row>
    <row r="302" spans="1:14">
      <c r="A302" t="str">
        <f t="shared" si="56"/>
        <v>alp_marca</v>
      </c>
      <c r="B302" t="str">
        <f t="shared" si="57"/>
        <v>adorocinema.com</v>
      </c>
      <c r="C302" t="str">
        <f t="shared" si="58"/>
        <v>alp_marca_alcance_jovem_adoro-cinema_display_half-page-expand_ros_rei-leao_all_fixo_de-5s-ate-10s_111347</v>
      </c>
      <c r="D302" t="str">
        <f t="shared" si="59"/>
        <v>251609371</v>
      </c>
      <c r="E302" t="str">
        <f>IF(Table1[[#This Row],[Impressions]]&gt;Table1[[#This Row],[Clicks]],"Standard",VLOOKUP(CONCATENATE(bd_adtype,"_",bd_creativetype),tabela,2,FALSE))</f>
        <v>Standard</v>
      </c>
      <c r="F302" t="str">
        <f t="shared" si="60"/>
        <v>alp_marca_alcance_jovem_adoro-cinema_display_half-page-expand_ros_rei-leao_all_fixo_de-5s-ate-10s_111347</v>
      </c>
      <c r="G302" t="str">
        <f t="shared" si="61"/>
        <v>447776953</v>
      </c>
      <c r="H302" t="str">
        <f t="shared" si="62"/>
        <v>Tracking</v>
      </c>
      <c r="I302">
        <f t="shared" si="63"/>
        <v>515378</v>
      </c>
      <c r="J302">
        <f t="shared" si="64"/>
        <v>25738</v>
      </c>
      <c r="K302" s="4">
        <f t="shared" si="67"/>
        <v>3.8199999999999998E-2</v>
      </c>
      <c r="L302">
        <f t="shared" si="68"/>
        <v>0.09</v>
      </c>
      <c r="M302" s="4">
        <f t="shared" si="65"/>
        <v>19.687439599999998</v>
      </c>
      <c r="N302" s="4">
        <f t="shared" si="66"/>
        <v>46.38402</v>
      </c>
    </row>
    <row r="303" spans="1:14">
      <c r="A303" t="str">
        <f t="shared" si="56"/>
        <v>alp_marca</v>
      </c>
      <c r="B303" t="str">
        <f t="shared" si="57"/>
        <v>adorocinema.com</v>
      </c>
      <c r="C303" t="str">
        <f t="shared" si="58"/>
        <v>alp_marca_alcance_jovem_adoro-cinema_display_half-page-expand_ros_toy-story_all_fixo_de-5s-ate-10s_111236</v>
      </c>
      <c r="D303" t="str">
        <f t="shared" si="59"/>
        <v>249420481</v>
      </c>
      <c r="E303" t="str">
        <f>IF(Table1[[#This Row],[Impressions]]&gt;Table1[[#This Row],[Clicks]],"Standard",VLOOKUP(CONCATENATE(bd_adtype,"_",bd_creativetype),tabela,2,FALSE))</f>
        <v>Standard</v>
      </c>
      <c r="F303" t="str">
        <f t="shared" si="60"/>
        <v>alp_marca_alcance_jovem_adoro-cinema_display_half-page-expand_ros_toy-story_all_fixo_de-5s-ate-10s_111236</v>
      </c>
      <c r="G303" t="str">
        <f t="shared" si="61"/>
        <v>445573140</v>
      </c>
      <c r="H303" t="str">
        <f t="shared" si="62"/>
        <v>Tracking</v>
      </c>
      <c r="I303">
        <f t="shared" si="63"/>
        <v>167785</v>
      </c>
      <c r="J303">
        <f t="shared" si="64"/>
        <v>136</v>
      </c>
      <c r="K303" s="4">
        <f t="shared" si="67"/>
        <v>3.8199999999999998E-2</v>
      </c>
      <c r="L303">
        <f t="shared" si="68"/>
        <v>0.09</v>
      </c>
      <c r="M303" s="4">
        <f t="shared" si="65"/>
        <v>6.4093869999999997</v>
      </c>
      <c r="N303" s="4">
        <f t="shared" si="66"/>
        <v>15.10065</v>
      </c>
    </row>
    <row r="304" spans="1:14">
      <c r="A304" t="str">
        <f t="shared" si="56"/>
        <v>alp_marca</v>
      </c>
      <c r="B304" t="str">
        <f t="shared" si="57"/>
        <v>adorocinema.com</v>
      </c>
      <c r="C304" t="str">
        <f t="shared" si="58"/>
        <v>alp_marca_alcance_jovem_adoro-cinema_display_maxi-wallpaper_ros_rei-leao_all_fixo_de-5s-ate-10s_111346</v>
      </c>
      <c r="D304" t="str">
        <f t="shared" si="59"/>
        <v>251604283</v>
      </c>
      <c r="E304" t="str">
        <f>IF(Table1[[#This Row],[Impressions]]&gt;Table1[[#This Row],[Clicks]],"Standard",VLOOKUP(CONCATENATE(bd_adtype,"_",bd_creativetype),tabela,2,FALSE))</f>
        <v>Standard</v>
      </c>
      <c r="F304" t="str">
        <f t="shared" si="60"/>
        <v>alp_marca_alcance_jovem_adoro-cinema_display_maxi-wallpaper_ros_rei-leao_all_fixo_de-5s-ate-10s_111346</v>
      </c>
      <c r="G304" t="str">
        <f t="shared" si="61"/>
        <v>447638973</v>
      </c>
      <c r="H304" t="str">
        <f t="shared" si="62"/>
        <v>Tracking</v>
      </c>
      <c r="I304">
        <f t="shared" si="63"/>
        <v>110533</v>
      </c>
      <c r="J304">
        <f t="shared" si="64"/>
        <v>1363</v>
      </c>
      <c r="K304" s="4">
        <f t="shared" si="67"/>
        <v>3.8199999999999998E-2</v>
      </c>
      <c r="L304">
        <f t="shared" si="68"/>
        <v>0.09</v>
      </c>
      <c r="M304" s="4">
        <f t="shared" si="65"/>
        <v>4.2223606</v>
      </c>
      <c r="N304" s="4">
        <f t="shared" si="66"/>
        <v>9.9479699999999998</v>
      </c>
    </row>
    <row r="305" spans="1:14">
      <c r="A305" t="str">
        <f t="shared" si="56"/>
        <v>alp_marca</v>
      </c>
      <c r="B305" t="str">
        <f t="shared" si="57"/>
        <v>adorocinema.com</v>
      </c>
      <c r="C305" t="str">
        <f t="shared" si="58"/>
        <v>alp_marca_alcance_jovem_adoro-cinema_display_maxi-wallpaper_ros_toy-story_all_fixo_de-5s-ate-10s_111235</v>
      </c>
      <c r="D305" t="str">
        <f t="shared" si="59"/>
        <v>249420484</v>
      </c>
      <c r="E305" t="str">
        <f>IF(Table1[[#This Row],[Impressions]]&gt;Table1[[#This Row],[Clicks]],"Standard",VLOOKUP(CONCATENATE(bd_adtype,"_",bd_creativetype),tabela,2,FALSE))</f>
        <v>Standard</v>
      </c>
      <c r="F305" t="str">
        <f t="shared" si="60"/>
        <v>alp_marca_alcance_jovem_adoro-cinema_display_maxi-wallpaper_ros_toy-story_all_fixo_de-5s-ate-10s_111235</v>
      </c>
      <c r="G305" t="str">
        <f t="shared" si="61"/>
        <v>445573143</v>
      </c>
      <c r="H305" t="str">
        <f t="shared" si="62"/>
        <v>Tracking</v>
      </c>
      <c r="I305">
        <f t="shared" si="63"/>
        <v>7</v>
      </c>
      <c r="J305">
        <f t="shared" si="64"/>
        <v>0</v>
      </c>
      <c r="K305" s="4">
        <f t="shared" si="67"/>
        <v>3.8199999999999998E-2</v>
      </c>
      <c r="L305">
        <f t="shared" si="68"/>
        <v>0.09</v>
      </c>
      <c r="M305" s="4">
        <f t="shared" si="65"/>
        <v>2.6739999999999999E-4</v>
      </c>
      <c r="N305" s="4">
        <f t="shared" si="66"/>
        <v>6.3000000000000003E-4</v>
      </c>
    </row>
    <row r="306" spans="1:14">
      <c r="A306" t="str">
        <f t="shared" si="56"/>
        <v>alp_marca</v>
      </c>
      <c r="B306" t="str">
        <f t="shared" si="57"/>
        <v>eco21.com.br</v>
      </c>
      <c r="C306" t="str">
        <f t="shared" si="58"/>
        <v>alp_marca_alcance_todos_eco-21_social_banner_social_havaianas-ipe_all_cpm_840x90_111215</v>
      </c>
      <c r="D306" t="str">
        <f t="shared" si="59"/>
        <v>248835540</v>
      </c>
      <c r="E306" t="str">
        <f>IF(Table1[[#This Row],[Impressions]]&gt;Table1[[#This Row],[Clicks]],"Standard",VLOOKUP(CONCATENATE(bd_adtype,"_",bd_creativetype),tabela,2,FALSE))</f>
        <v>Standard</v>
      </c>
      <c r="F306" t="str">
        <f t="shared" si="60"/>
        <v>alp_marca_alcance_todos_eco-21_social_banner_social_havaianas-ipe_all_cpm_840x90_111215</v>
      </c>
      <c r="G306" t="str">
        <f t="shared" si="61"/>
        <v>444932645</v>
      </c>
      <c r="H306" t="str">
        <f t="shared" si="62"/>
        <v>Tracking</v>
      </c>
      <c r="I306">
        <f t="shared" si="63"/>
        <v>601</v>
      </c>
      <c r="J306">
        <f t="shared" si="64"/>
        <v>1</v>
      </c>
      <c r="K306" s="4">
        <f t="shared" si="67"/>
        <v>3.8199999999999998E-2</v>
      </c>
      <c r="L306">
        <f t="shared" si="68"/>
        <v>0.09</v>
      </c>
      <c r="M306" s="4">
        <f t="shared" si="65"/>
        <v>2.2958199999999998E-2</v>
      </c>
      <c r="N306" s="4">
        <f t="shared" si="66"/>
        <v>5.4089999999999999E-2</v>
      </c>
    </row>
    <row r="307" spans="1:14">
      <c r="A307" t="str">
        <f t="shared" si="56"/>
        <v>alp_marca</v>
      </c>
      <c r="B307" t="str">
        <f t="shared" si="57"/>
        <v>envolverde.com.br</v>
      </c>
      <c r="C307" t="str">
        <f t="shared" si="58"/>
        <v>alp_marca_alcance_todos_envolverde_social_retangulo_social_havaianas-ipe_all_cpm_300x250_111214</v>
      </c>
      <c r="D307" t="str">
        <f t="shared" si="59"/>
        <v>248672707</v>
      </c>
      <c r="E307" t="str">
        <f>IF(Table1[[#This Row],[Impressions]]&gt;Table1[[#This Row],[Clicks]],"Standard",VLOOKUP(CONCATENATE(bd_adtype,"_",bd_creativetype),tabela,2,FALSE))</f>
        <v>Standard</v>
      </c>
      <c r="F307" t="str">
        <f t="shared" si="60"/>
        <v>alp_marca_alcance_todos_envolverde_social_retangulo_social_havaianas-ipe_all_cpm_300x250_111214</v>
      </c>
      <c r="G307" t="str">
        <f t="shared" si="61"/>
        <v>444932624</v>
      </c>
      <c r="H307" t="str">
        <f t="shared" si="62"/>
        <v>Tracking</v>
      </c>
      <c r="I307">
        <f t="shared" si="63"/>
        <v>74909</v>
      </c>
      <c r="J307">
        <f t="shared" si="64"/>
        <v>78</v>
      </c>
      <c r="K307" s="4">
        <f t="shared" si="67"/>
        <v>3.8199999999999998E-2</v>
      </c>
      <c r="L307">
        <f t="shared" si="68"/>
        <v>0.09</v>
      </c>
      <c r="M307" s="4">
        <f t="shared" si="65"/>
        <v>2.8615238000000001</v>
      </c>
      <c r="N307" s="4">
        <f t="shared" si="66"/>
        <v>6.7418099999999992</v>
      </c>
    </row>
    <row r="308" spans="1:14">
      <c r="A308" t="str">
        <f t="shared" si="56"/>
        <v>alp_marca</v>
      </c>
      <c r="B308" t="str">
        <f t="shared" si="57"/>
        <v>facebook.com.br</v>
      </c>
      <c r="C308" t="str">
        <f t="shared" si="58"/>
        <v>alp_marca_alcance_feminino_facebook_social_pagepost_social_havaianas-shooting-bienal_all_cpm_1080x1080_111356</v>
      </c>
      <c r="D308" t="str">
        <f t="shared" si="59"/>
        <v>251873027</v>
      </c>
      <c r="E308" t="str">
        <f>IF(Table1[[#This Row],[Impressions]]&gt;Table1[[#This Row],[Clicks]],"Standard",VLOOKUP(CONCATENATE(bd_adtype,"_",bd_creativetype),tabela,2,FALSE))</f>
        <v>Dynamic Click</v>
      </c>
      <c r="F308" t="str">
        <f t="shared" si="60"/>
        <v>alp_marca_alcance_feminino_facebook_social_pagepost_social_havaianas-shooting-bienal_all_cpm_1080x1080_111356</v>
      </c>
      <c r="G308" t="str">
        <f t="shared" si="61"/>
        <v>448202253</v>
      </c>
      <c r="H308" t="str">
        <f t="shared" si="62"/>
        <v>Tracking</v>
      </c>
      <c r="I308">
        <f t="shared" si="63"/>
        <v>0</v>
      </c>
      <c r="J308">
        <f t="shared" si="64"/>
        <v>1</v>
      </c>
      <c r="K308" s="4">
        <f t="shared" si="67"/>
        <v>3.5000000000000001E-3</v>
      </c>
      <c r="L308">
        <f t="shared" si="68"/>
        <v>0.02</v>
      </c>
      <c r="M308" s="4">
        <f t="shared" si="65"/>
        <v>3.5000000000000001E-3</v>
      </c>
      <c r="N308" s="4">
        <f t="shared" si="66"/>
        <v>0.02</v>
      </c>
    </row>
    <row r="309" spans="1:14">
      <c r="A309" t="str">
        <f t="shared" si="56"/>
        <v>alp_marca</v>
      </c>
      <c r="B309" t="str">
        <f t="shared" si="57"/>
        <v>facebook.com.br</v>
      </c>
      <c r="C309" t="str">
        <f t="shared" si="58"/>
        <v>alp_marca_alcance_feminino_facebook_social_pagepost_social_havaianas-shooting-bienal_all_cpm_1080x1080_111357</v>
      </c>
      <c r="D309" t="str">
        <f t="shared" si="59"/>
        <v>252284052</v>
      </c>
      <c r="E309" t="str">
        <f>IF(Table1[[#This Row],[Impressions]]&gt;Table1[[#This Row],[Clicks]],"Standard",VLOOKUP(CONCATENATE(bd_adtype,"_",bd_creativetype),tabela,2,FALSE))</f>
        <v>Dynamic Click</v>
      </c>
      <c r="F309" t="str">
        <f t="shared" si="60"/>
        <v>alp_marca_alcance_feminino_facebook_social_pagepost_social_havaianas-shooting-bienal_all_cpm_1080x1080_111357</v>
      </c>
      <c r="G309" t="str">
        <f t="shared" si="61"/>
        <v>448340077</v>
      </c>
      <c r="H309" t="str">
        <f t="shared" si="62"/>
        <v>Tracking</v>
      </c>
      <c r="I309">
        <f t="shared" si="63"/>
        <v>0</v>
      </c>
      <c r="J309">
        <f t="shared" si="64"/>
        <v>1</v>
      </c>
      <c r="K309" s="4">
        <f t="shared" si="67"/>
        <v>3.5000000000000001E-3</v>
      </c>
      <c r="L309">
        <f t="shared" si="68"/>
        <v>0.02</v>
      </c>
      <c r="M309" s="4">
        <f t="shared" si="65"/>
        <v>3.5000000000000001E-3</v>
      </c>
      <c r="N309" s="4">
        <f t="shared" si="66"/>
        <v>0.02</v>
      </c>
    </row>
    <row r="310" spans="1:14">
      <c r="A310" t="str">
        <f t="shared" si="56"/>
        <v>alp_marca</v>
      </c>
      <c r="B310" t="str">
        <f t="shared" si="57"/>
        <v>facebook.com.br</v>
      </c>
      <c r="C310" t="str">
        <f t="shared" si="58"/>
        <v>alp_marca_alcance_feminino_facebook_social_pagepost_social_rasteiras_all_cpm_1080x1080_111228</v>
      </c>
      <c r="D310" t="str">
        <f t="shared" si="59"/>
        <v>249100214</v>
      </c>
      <c r="E310" t="str">
        <f>IF(Table1[[#This Row],[Impressions]]&gt;Table1[[#This Row],[Clicks]],"Standard",VLOOKUP(CONCATENATE(bd_adtype,"_",bd_creativetype),tabela,2,FALSE))</f>
        <v>Dynamic Click</v>
      </c>
      <c r="F310" t="str">
        <f t="shared" si="60"/>
        <v>alp_marca_alcance_feminino_facebook_social_pagepost_social_rasteiras_all_cpm_1080x1080_111228</v>
      </c>
      <c r="G310" t="str">
        <f t="shared" si="61"/>
        <v>445480692</v>
      </c>
      <c r="H310" t="str">
        <f t="shared" si="62"/>
        <v>Tracking</v>
      </c>
      <c r="I310">
        <f t="shared" si="63"/>
        <v>0</v>
      </c>
      <c r="J310">
        <f t="shared" si="64"/>
        <v>52</v>
      </c>
      <c r="K310" s="4">
        <f t="shared" si="67"/>
        <v>3.5000000000000001E-3</v>
      </c>
      <c r="L310">
        <f t="shared" si="68"/>
        <v>0.02</v>
      </c>
      <c r="M310" s="4">
        <f t="shared" si="65"/>
        <v>0.182</v>
      </c>
      <c r="N310" s="4">
        <f t="shared" si="66"/>
        <v>1.04</v>
      </c>
    </row>
    <row r="311" spans="1:14">
      <c r="A311" t="str">
        <f t="shared" si="56"/>
        <v>alp_marca</v>
      </c>
      <c r="B311" t="str">
        <f t="shared" si="57"/>
        <v>facebook.com.br</v>
      </c>
      <c r="C311" t="str">
        <f t="shared" si="58"/>
        <v>alp_marca_alcance_feminino_facebook_social_pagepost_social_rasteiras_all_cpm_1080x1080_111229</v>
      </c>
      <c r="D311" t="str">
        <f t="shared" si="59"/>
        <v>249327664</v>
      </c>
      <c r="E311" t="str">
        <f>IF(Table1[[#This Row],[Impressions]]&gt;Table1[[#This Row],[Clicks]],"Standard",VLOOKUP(CONCATENATE(bd_adtype,"_",bd_creativetype),tabela,2,FALSE))</f>
        <v>Dynamic Click</v>
      </c>
      <c r="F311" t="str">
        <f t="shared" si="60"/>
        <v>alp_marca_alcance_feminino_facebook_social_pagepost_social_rasteiras_all_cpm_1080x1080_111229</v>
      </c>
      <c r="G311" t="str">
        <f t="shared" si="61"/>
        <v>445628959</v>
      </c>
      <c r="H311" t="str">
        <f t="shared" si="62"/>
        <v>Tracking</v>
      </c>
      <c r="I311">
        <f t="shared" si="63"/>
        <v>0</v>
      </c>
      <c r="J311">
        <f t="shared" si="64"/>
        <v>27</v>
      </c>
      <c r="K311" s="4">
        <f t="shared" si="67"/>
        <v>3.5000000000000001E-3</v>
      </c>
      <c r="L311">
        <f t="shared" si="68"/>
        <v>0.02</v>
      </c>
      <c r="M311" s="4">
        <f t="shared" si="65"/>
        <v>9.4500000000000001E-2</v>
      </c>
      <c r="N311" s="4">
        <f t="shared" si="66"/>
        <v>0.54</v>
      </c>
    </row>
    <row r="312" spans="1:14">
      <c r="A312" t="str">
        <f t="shared" si="56"/>
        <v>alp_marca</v>
      </c>
      <c r="B312" t="str">
        <f t="shared" si="57"/>
        <v>facebook.com.br</v>
      </c>
      <c r="C312" t="str">
        <f t="shared" si="58"/>
        <v>alp_marca_alcance_feminino_facebook_social_pagepost_social_slim-hits_all_cpm_1200x628_111196</v>
      </c>
      <c r="D312" t="str">
        <f t="shared" si="59"/>
        <v>248134076</v>
      </c>
      <c r="E312" t="str">
        <f>IF(Table1[[#This Row],[Impressions]]&gt;Table1[[#This Row],[Clicks]],"Standard",VLOOKUP(CONCATENATE(bd_adtype,"_",bd_creativetype),tabela,2,FALSE))</f>
        <v>Dynamic Click</v>
      </c>
      <c r="F312" t="str">
        <f t="shared" si="60"/>
        <v>alp_marca_alcance_feminino_facebook_social_pagepost_social_slim-hits_all_cpm_1200x628_111196</v>
      </c>
      <c r="G312" t="str">
        <f t="shared" si="61"/>
        <v>444678955</v>
      </c>
      <c r="H312" t="str">
        <f t="shared" si="62"/>
        <v>Tracking</v>
      </c>
      <c r="I312">
        <f t="shared" si="63"/>
        <v>0</v>
      </c>
      <c r="J312">
        <f t="shared" si="64"/>
        <v>54</v>
      </c>
      <c r="K312" s="4">
        <f t="shared" si="67"/>
        <v>3.5000000000000001E-3</v>
      </c>
      <c r="L312">
        <f t="shared" si="68"/>
        <v>0.02</v>
      </c>
      <c r="M312" s="4">
        <f t="shared" si="65"/>
        <v>0.189</v>
      </c>
      <c r="N312" s="4">
        <f t="shared" si="66"/>
        <v>1.08</v>
      </c>
    </row>
    <row r="313" spans="1:14">
      <c r="A313" t="str">
        <f t="shared" si="56"/>
        <v>alp_marca</v>
      </c>
      <c r="B313" t="str">
        <f t="shared" si="57"/>
        <v>facebook.com.br</v>
      </c>
      <c r="C313" t="str">
        <f t="shared" si="58"/>
        <v>alp_marca_alcance_feminino_facebook_social_video-social_social_artistas-barbara_all_cpm_de-11s-ate-29s_111225</v>
      </c>
      <c r="D313" t="str">
        <f t="shared" si="59"/>
        <v>249213027</v>
      </c>
      <c r="E313" t="str">
        <f>IF(Table1[[#This Row],[Impressions]]&gt;Table1[[#This Row],[Clicks]],"Standard",VLOOKUP(CONCATENATE(bd_adtype,"_",bd_creativetype),tabela,2,FALSE))</f>
        <v>Dynamic Click</v>
      </c>
      <c r="F313" t="str">
        <f t="shared" si="60"/>
        <v>alp_marca_alcance_feminino_facebook_social_video-social_social_artistas-barbara_all_cpm_de-11s-ate-29s_111225</v>
      </c>
      <c r="G313" t="str">
        <f t="shared" si="61"/>
        <v>445223955</v>
      </c>
      <c r="H313" t="str">
        <f t="shared" si="62"/>
        <v>Tracking</v>
      </c>
      <c r="I313">
        <f t="shared" si="63"/>
        <v>0</v>
      </c>
      <c r="J313">
        <f t="shared" si="64"/>
        <v>15</v>
      </c>
      <c r="K313" s="4">
        <f t="shared" si="67"/>
        <v>3.5000000000000001E-3</v>
      </c>
      <c r="L313">
        <f t="shared" si="68"/>
        <v>0.02</v>
      </c>
      <c r="M313" s="4">
        <f t="shared" si="65"/>
        <v>5.2499999999999998E-2</v>
      </c>
      <c r="N313" s="4">
        <f t="shared" si="66"/>
        <v>0.3</v>
      </c>
    </row>
    <row r="314" spans="1:14">
      <c r="A314" t="str">
        <f t="shared" si="56"/>
        <v>alp_marca</v>
      </c>
      <c r="B314" t="str">
        <f t="shared" si="57"/>
        <v>facebook.com.br</v>
      </c>
      <c r="C314" t="str">
        <f t="shared" si="58"/>
        <v>alp_marca_alcance_jovem_facebook_social_dark-post_social_got_all_cpm_1080x1080_111120</v>
      </c>
      <c r="D314" t="str">
        <f t="shared" si="59"/>
        <v>242963447</v>
      </c>
      <c r="E314" t="str">
        <f>IF(Table1[[#This Row],[Impressions]]&gt;Table1[[#This Row],[Clicks]],"Standard",VLOOKUP(CONCATENATE(bd_adtype,"_",bd_creativetype),tabela,2,FALSE))</f>
        <v>Dynamic Click</v>
      </c>
      <c r="F314" t="str">
        <f t="shared" si="60"/>
        <v>alp_marca_alcance_jovem_facebook_social_dark-post_social_got_all_cpm_1080x1080_111120</v>
      </c>
      <c r="G314" t="str">
        <f t="shared" si="61"/>
        <v>439773337</v>
      </c>
      <c r="H314" t="str">
        <f t="shared" si="62"/>
        <v>Tracking</v>
      </c>
      <c r="I314">
        <f t="shared" si="63"/>
        <v>0</v>
      </c>
      <c r="J314">
        <f t="shared" si="64"/>
        <v>1</v>
      </c>
      <c r="K314" s="4">
        <f t="shared" si="67"/>
        <v>3.5000000000000001E-3</v>
      </c>
      <c r="L314">
        <f t="shared" si="68"/>
        <v>0.02</v>
      </c>
      <c r="M314" s="4">
        <f t="shared" si="65"/>
        <v>3.5000000000000001E-3</v>
      </c>
      <c r="N314" s="4">
        <f t="shared" si="66"/>
        <v>0.02</v>
      </c>
    </row>
    <row r="315" spans="1:14">
      <c r="A315" t="str">
        <f t="shared" si="56"/>
        <v>alp_marca</v>
      </c>
      <c r="B315" t="str">
        <f t="shared" si="57"/>
        <v>facebook.com.br</v>
      </c>
      <c r="C315" t="str">
        <f t="shared" si="58"/>
        <v>alp_marca_alcance_jovem_facebook_social_dark-post_social_got_all_cpm_1080x1080_111121</v>
      </c>
      <c r="D315" t="str">
        <f t="shared" si="59"/>
        <v>243290121</v>
      </c>
      <c r="E315" t="str">
        <f>IF(Table1[[#This Row],[Impressions]]&gt;Table1[[#This Row],[Clicks]],"Standard",VLOOKUP(CONCATENATE(bd_adtype,"_",bd_creativetype),tabela,2,FALSE))</f>
        <v>Dynamic Click</v>
      </c>
      <c r="F315" t="str">
        <f t="shared" si="60"/>
        <v>alp_marca_alcance_jovem_facebook_social_dark-post_social_got_all_cpm_1080x1080_111121</v>
      </c>
      <c r="G315" t="str">
        <f t="shared" si="61"/>
        <v>439773376</v>
      </c>
      <c r="H315" t="str">
        <f t="shared" si="62"/>
        <v>Tracking</v>
      </c>
      <c r="I315">
        <f t="shared" si="63"/>
        <v>0</v>
      </c>
      <c r="J315">
        <f t="shared" si="64"/>
        <v>13</v>
      </c>
      <c r="K315" s="4">
        <f t="shared" si="67"/>
        <v>3.5000000000000001E-3</v>
      </c>
      <c r="L315">
        <f t="shared" si="68"/>
        <v>0.02</v>
      </c>
      <c r="M315" s="4">
        <f t="shared" si="65"/>
        <v>4.5499999999999999E-2</v>
      </c>
      <c r="N315" s="4">
        <f t="shared" si="66"/>
        <v>0.26</v>
      </c>
    </row>
    <row r="316" spans="1:14">
      <c r="A316" t="str">
        <f t="shared" si="56"/>
        <v>alp_marca</v>
      </c>
      <c r="B316" t="str">
        <f t="shared" si="57"/>
        <v>facebook.com.br</v>
      </c>
      <c r="C316" t="str">
        <f t="shared" si="58"/>
        <v>alp_marca_alcance_jovem_facebook_social_dark-post_social_got_all_cpm_1080x1080_111122</v>
      </c>
      <c r="D316" t="str">
        <f t="shared" si="59"/>
        <v>243290136</v>
      </c>
      <c r="E316" t="str">
        <f>IF(Table1[[#This Row],[Impressions]]&gt;Table1[[#This Row],[Clicks]],"Standard",VLOOKUP(CONCATENATE(bd_adtype,"_",bd_creativetype),tabela,2,FALSE))</f>
        <v>Dynamic Click</v>
      </c>
      <c r="F316" t="str">
        <f t="shared" si="60"/>
        <v>alp_marca_alcance_jovem_facebook_social_dark-post_social_got_all_cpm_1080x1080_111122</v>
      </c>
      <c r="G316" t="str">
        <f t="shared" si="61"/>
        <v>439764581</v>
      </c>
      <c r="H316" t="str">
        <f t="shared" si="62"/>
        <v>Tracking</v>
      </c>
      <c r="I316">
        <f t="shared" si="63"/>
        <v>0</v>
      </c>
      <c r="J316">
        <f t="shared" si="64"/>
        <v>2</v>
      </c>
      <c r="K316" s="4">
        <f t="shared" si="67"/>
        <v>3.5000000000000001E-3</v>
      </c>
      <c r="L316">
        <f t="shared" si="68"/>
        <v>0.02</v>
      </c>
      <c r="M316" s="4">
        <f t="shared" si="65"/>
        <v>7.0000000000000001E-3</v>
      </c>
      <c r="N316" s="4">
        <f t="shared" si="66"/>
        <v>0.04</v>
      </c>
    </row>
    <row r="317" spans="1:14">
      <c r="A317" t="str">
        <f t="shared" si="56"/>
        <v>alp_marca</v>
      </c>
      <c r="B317" t="str">
        <f t="shared" si="57"/>
        <v>facebook.com.br</v>
      </c>
      <c r="C317" t="str">
        <f t="shared" si="58"/>
        <v>alp_marca_alcance_jovem_facebook_social_dark-post_social_got_all_cpm_1080x1080_111136</v>
      </c>
      <c r="D317" t="str">
        <f t="shared" si="59"/>
        <v>244294036</v>
      </c>
      <c r="E317" t="str">
        <f>IF(Table1[[#This Row],[Impressions]]&gt;Table1[[#This Row],[Clicks]],"Standard",VLOOKUP(CONCATENATE(bd_adtype,"_",bd_creativetype),tabela,2,FALSE))</f>
        <v>Dynamic Click</v>
      </c>
      <c r="F317" t="str">
        <f t="shared" si="60"/>
        <v>alp_marca_alcance_jovem_facebook_social_dark-post_social_got_all_cpm_1080x1080_111136</v>
      </c>
      <c r="G317" t="str">
        <f t="shared" si="61"/>
        <v>441044553</v>
      </c>
      <c r="H317" t="str">
        <f t="shared" si="62"/>
        <v>Tracking</v>
      </c>
      <c r="I317">
        <f t="shared" si="63"/>
        <v>0</v>
      </c>
      <c r="J317">
        <f t="shared" si="64"/>
        <v>1</v>
      </c>
      <c r="K317" s="4">
        <f t="shared" si="67"/>
        <v>3.5000000000000001E-3</v>
      </c>
      <c r="L317">
        <f t="shared" si="68"/>
        <v>0.02</v>
      </c>
      <c r="M317" s="4">
        <f t="shared" si="65"/>
        <v>3.5000000000000001E-3</v>
      </c>
      <c r="N317" s="4">
        <f t="shared" si="66"/>
        <v>0.02</v>
      </c>
    </row>
    <row r="318" spans="1:14">
      <c r="A318" t="str">
        <f t="shared" si="56"/>
        <v>alp_marca</v>
      </c>
      <c r="B318" t="str">
        <f t="shared" si="57"/>
        <v>facebook.com.br</v>
      </c>
      <c r="C318" t="str">
        <f t="shared" si="58"/>
        <v>alp_marca_alcance_jovem_facebook_social_dark-post_social_got_all_cpm_1080x1080_111137</v>
      </c>
      <c r="D318" t="str">
        <f t="shared" si="59"/>
        <v>244529484</v>
      </c>
      <c r="E318" t="str">
        <f>IF(Table1[[#This Row],[Impressions]]&gt;Table1[[#This Row],[Clicks]],"Standard",VLOOKUP(CONCATENATE(bd_adtype,"_",bd_creativetype),tabela,2,FALSE))</f>
        <v>Dynamic Click</v>
      </c>
      <c r="F318" t="str">
        <f t="shared" si="60"/>
        <v>alp_marca_alcance_jovem_facebook_social_dark-post_social_got_all_cpm_1080x1080_111137</v>
      </c>
      <c r="G318" t="str">
        <f t="shared" si="61"/>
        <v>441159217</v>
      </c>
      <c r="H318" t="str">
        <f t="shared" si="62"/>
        <v>Tracking</v>
      </c>
      <c r="I318">
        <f t="shared" si="63"/>
        <v>0</v>
      </c>
      <c r="J318">
        <f t="shared" si="64"/>
        <v>1</v>
      </c>
      <c r="K318" s="4">
        <f t="shared" si="67"/>
        <v>3.5000000000000001E-3</v>
      </c>
      <c r="L318">
        <f t="shared" si="68"/>
        <v>0.02</v>
      </c>
      <c r="M318" s="4">
        <f t="shared" si="65"/>
        <v>3.5000000000000001E-3</v>
      </c>
      <c r="N318" s="4">
        <f t="shared" si="66"/>
        <v>0.02</v>
      </c>
    </row>
    <row r="319" spans="1:14">
      <c r="A319" t="str">
        <f t="shared" si="56"/>
        <v>alp_marca</v>
      </c>
      <c r="B319" t="str">
        <f t="shared" si="57"/>
        <v>facebook.com.br</v>
      </c>
      <c r="C319" t="str">
        <f t="shared" si="58"/>
        <v>alp_marca_alcance_jovem_facebook_social_dark-post_social_la-casa-de-papel_all_cpm_1080x1080_111352</v>
      </c>
      <c r="D319" t="str">
        <f t="shared" si="59"/>
        <v>251858638</v>
      </c>
      <c r="E319" t="str">
        <f>IF(Table1[[#This Row],[Impressions]]&gt;Table1[[#This Row],[Clicks]],"Standard",VLOOKUP(CONCATENATE(bd_adtype,"_",bd_creativetype),tabela,2,FALSE))</f>
        <v>Standard</v>
      </c>
      <c r="F319" t="str">
        <f t="shared" si="60"/>
        <v>alp_marca_alcance_jovem_facebook_social_dark-post_social_la-casa-de-papel_all_cpm_1080x1080_111352</v>
      </c>
      <c r="G319" t="str">
        <f t="shared" si="61"/>
        <v>447930218</v>
      </c>
      <c r="H319" t="str">
        <f t="shared" si="62"/>
        <v>Tracking</v>
      </c>
      <c r="I319">
        <f t="shared" si="63"/>
        <v>5429722</v>
      </c>
      <c r="J319">
        <f t="shared" si="64"/>
        <v>31240</v>
      </c>
      <c r="K319" s="4">
        <f t="shared" si="67"/>
        <v>3.8199999999999998E-2</v>
      </c>
      <c r="L319">
        <f t="shared" si="68"/>
        <v>0.09</v>
      </c>
      <c r="M319" s="4">
        <f t="shared" si="65"/>
        <v>207.4153804</v>
      </c>
      <c r="N319" s="4">
        <f t="shared" si="66"/>
        <v>488.67498000000001</v>
      </c>
    </row>
    <row r="320" spans="1:14">
      <c r="A320" t="str">
        <f t="shared" si="56"/>
        <v>alp_marca</v>
      </c>
      <c r="B320" t="str">
        <f t="shared" si="57"/>
        <v>facebook.com.br</v>
      </c>
      <c r="C320" t="str">
        <f t="shared" si="58"/>
        <v>alp_marca_alcance_jovem_facebook_social_dark-post_social_la-casa-de-papel_all_cpm_1080x1080_111353</v>
      </c>
      <c r="D320" t="str">
        <f t="shared" si="59"/>
        <v>251856574</v>
      </c>
      <c r="E320" t="str">
        <f>IF(Table1[[#This Row],[Impressions]]&gt;Table1[[#This Row],[Clicks]],"Standard",VLOOKUP(CONCATENATE(bd_adtype,"_",bd_creativetype),tabela,2,FALSE))</f>
        <v>Standard</v>
      </c>
      <c r="F320" t="str">
        <f t="shared" si="60"/>
        <v>alp_marca_alcance_jovem_facebook_social_dark-post_social_la-casa-de-papel_all_cpm_1080x1080_111353</v>
      </c>
      <c r="G320" t="str">
        <f t="shared" si="61"/>
        <v>448027624</v>
      </c>
      <c r="H320" t="str">
        <f t="shared" si="62"/>
        <v>Tracking</v>
      </c>
      <c r="I320">
        <f t="shared" si="63"/>
        <v>5285996</v>
      </c>
      <c r="J320">
        <f t="shared" si="64"/>
        <v>40046</v>
      </c>
      <c r="K320" s="4">
        <f t="shared" si="67"/>
        <v>3.8199999999999998E-2</v>
      </c>
      <c r="L320">
        <f t="shared" si="68"/>
        <v>0.09</v>
      </c>
      <c r="M320" s="4">
        <f t="shared" si="65"/>
        <v>201.92504719999999</v>
      </c>
      <c r="N320" s="4">
        <f t="shared" si="66"/>
        <v>475.73963999999995</v>
      </c>
    </row>
    <row r="321" spans="1:14">
      <c r="A321" t="str">
        <f t="shared" si="56"/>
        <v>alp_marca</v>
      </c>
      <c r="B321" t="str">
        <f t="shared" si="57"/>
        <v>facebook.com.br</v>
      </c>
      <c r="C321" t="str">
        <f t="shared" si="58"/>
        <v>alp_marca_alcance_jovem_facebook_social_pagepost_social_stranger-things_all_cpm_1080x1080_111273</v>
      </c>
      <c r="D321" t="str">
        <f t="shared" si="59"/>
        <v>249415859</v>
      </c>
      <c r="E321" t="str">
        <f>IF(Table1[[#This Row],[Impressions]]&gt;Table1[[#This Row],[Clicks]],"Standard",VLOOKUP(CONCATENATE(bd_adtype,"_",bd_creativetype),tabela,2,FALSE))</f>
        <v>Dynamic Click</v>
      </c>
      <c r="F321" t="str">
        <f t="shared" si="60"/>
        <v>alp_marca_alcance_jovem_facebook_social_pagepost_social_stranger-things_all_cpm_1080x1080_111273</v>
      </c>
      <c r="G321" t="str">
        <f t="shared" si="61"/>
        <v>445774851</v>
      </c>
      <c r="H321" t="str">
        <f t="shared" si="62"/>
        <v>Tracking</v>
      </c>
      <c r="I321">
        <f t="shared" si="63"/>
        <v>0</v>
      </c>
      <c r="J321">
        <f t="shared" si="64"/>
        <v>1</v>
      </c>
      <c r="K321" s="4">
        <f t="shared" si="67"/>
        <v>3.5000000000000001E-3</v>
      </c>
      <c r="L321">
        <f t="shared" si="68"/>
        <v>0.02</v>
      </c>
      <c r="M321" s="4">
        <f t="shared" si="65"/>
        <v>3.5000000000000001E-3</v>
      </c>
      <c r="N321" s="4">
        <f t="shared" si="66"/>
        <v>0.02</v>
      </c>
    </row>
    <row r="322" spans="1:14">
      <c r="A322" t="str">
        <f t="shared" ref="A322:A385" si="69">bd_campaign</f>
        <v>alp_marca</v>
      </c>
      <c r="B322" t="str">
        <f t="shared" ref="B322:B385" si="70">bd_site</f>
        <v>facebook.com.br</v>
      </c>
      <c r="C322" t="str">
        <f t="shared" ref="C322:C385" si="71">bd_placement</f>
        <v>alp_marca_alcance_jovem_facebook_social_pagepost_social_stranger-things_all_cpm_1080x1080_111274</v>
      </c>
      <c r="D322" t="str">
        <f t="shared" ref="D322:D385" si="72">bd_placementID</f>
        <v>249673873</v>
      </c>
      <c r="E322" t="str">
        <f>IF(Table1[[#This Row],[Impressions]]&gt;Table1[[#This Row],[Clicks]],"Standard",VLOOKUP(CONCATENATE(bd_adtype,"_",bd_creativetype),tabela,2,FALSE))</f>
        <v>Dynamic Click</v>
      </c>
      <c r="F322" t="str">
        <f t="shared" ref="F322:F385" si="73">bd_ad</f>
        <v>alp_marca_alcance_jovem_facebook_social_pagepost_social_stranger-things_all_cpm_1080x1080_111274</v>
      </c>
      <c r="G322" t="str">
        <f t="shared" ref="G322:G385" si="74">bd_adid</f>
        <v>445775310</v>
      </c>
      <c r="H322" t="str">
        <f t="shared" ref="H322:H385" si="75">bd_creativetype</f>
        <v>Tracking</v>
      </c>
      <c r="I322">
        <f t="shared" ref="I322:I385" si="76">bd_impression</f>
        <v>0</v>
      </c>
      <c r="J322">
        <f t="shared" ref="J322:J385" si="77">bd_clicks</f>
        <v>1</v>
      </c>
      <c r="K322" s="4">
        <f t="shared" si="67"/>
        <v>3.5000000000000001E-3</v>
      </c>
      <c r="L322">
        <f t="shared" si="68"/>
        <v>0.02</v>
      </c>
      <c r="M322" s="4">
        <f t="shared" si="65"/>
        <v>3.5000000000000001E-3</v>
      </c>
      <c r="N322" s="4">
        <f t="shared" si="66"/>
        <v>0.02</v>
      </c>
    </row>
    <row r="323" spans="1:14">
      <c r="A323" t="str">
        <f t="shared" si="69"/>
        <v>alp_marca</v>
      </c>
      <c r="B323" t="str">
        <f t="shared" si="70"/>
        <v>facebook.com.br</v>
      </c>
      <c r="C323" t="str">
        <f t="shared" si="71"/>
        <v>alp_marca_alcance_jovem_facebook_social_pagepost_social_stranger-things_all_cpm_1080x1080_111275</v>
      </c>
      <c r="D323" t="str">
        <f t="shared" si="72"/>
        <v>249673879</v>
      </c>
      <c r="E323" t="str">
        <f>IF(Table1[[#This Row],[Impressions]]&gt;Table1[[#This Row],[Clicks]],"Standard",VLOOKUP(CONCATENATE(bd_adtype,"_",bd_creativetype),tabela,2,FALSE))</f>
        <v>Dynamic Click</v>
      </c>
      <c r="F323" t="str">
        <f t="shared" si="73"/>
        <v>alp_marca_alcance_jovem_facebook_pagepost_stranger-things_all_cpm_1080x1080_111275</v>
      </c>
      <c r="G323" t="str">
        <f t="shared" si="74"/>
        <v>445775526</v>
      </c>
      <c r="H323" t="str">
        <f t="shared" si="75"/>
        <v>Tracking</v>
      </c>
      <c r="I323">
        <f t="shared" si="76"/>
        <v>0</v>
      </c>
      <c r="J323">
        <f t="shared" si="77"/>
        <v>21</v>
      </c>
      <c r="K323" s="4">
        <f t="shared" si="67"/>
        <v>3.5000000000000001E-3</v>
      </c>
      <c r="L323">
        <f t="shared" si="68"/>
        <v>0.02</v>
      </c>
      <c r="M323" s="4">
        <f t="shared" si="65"/>
        <v>7.3499999999999996E-2</v>
      </c>
      <c r="N323" s="4">
        <f t="shared" si="66"/>
        <v>0.42</v>
      </c>
    </row>
    <row r="324" spans="1:14">
      <c r="A324" t="str">
        <f t="shared" si="69"/>
        <v>alp_marca</v>
      </c>
      <c r="B324" t="str">
        <f t="shared" si="70"/>
        <v>facebook.com.br</v>
      </c>
      <c r="C324" t="str">
        <f t="shared" si="71"/>
        <v>alp_marca_alcance_jovem_facebook_social_pagepost_social_toy-story_all_cpm_1080x1080_111245</v>
      </c>
      <c r="D324" t="str">
        <f t="shared" si="72"/>
        <v>249266750</v>
      </c>
      <c r="E324" t="str">
        <f>IF(Table1[[#This Row],[Impressions]]&gt;Table1[[#This Row],[Clicks]],"Standard",VLOOKUP(CONCATENATE(bd_adtype,"_",bd_creativetype),tabela,2,FALSE))</f>
        <v>Dynamic Click</v>
      </c>
      <c r="F324" t="str">
        <f t="shared" si="73"/>
        <v>alp_marca_alcance_jovem_facebook_social_pagepost_social_toy-story_all_cpm_1080x1080_111245</v>
      </c>
      <c r="G324" t="str">
        <f t="shared" si="74"/>
        <v>445737839</v>
      </c>
      <c r="H324" t="str">
        <f t="shared" si="75"/>
        <v>Tracking</v>
      </c>
      <c r="I324">
        <f t="shared" si="76"/>
        <v>0</v>
      </c>
      <c r="J324">
        <f t="shared" si="77"/>
        <v>149</v>
      </c>
      <c r="K324" s="4">
        <f t="shared" si="67"/>
        <v>3.5000000000000001E-3</v>
      </c>
      <c r="L324">
        <f t="shared" si="68"/>
        <v>0.02</v>
      </c>
      <c r="M324" s="4">
        <f t="shared" si="65"/>
        <v>0.52149999999999996</v>
      </c>
      <c r="N324" s="4">
        <f t="shared" si="66"/>
        <v>2.98</v>
      </c>
    </row>
    <row r="325" spans="1:14">
      <c r="A325" t="str">
        <f t="shared" si="69"/>
        <v>alp_marca</v>
      </c>
      <c r="B325" t="str">
        <f t="shared" si="70"/>
        <v>facebook.com.br</v>
      </c>
      <c r="C325" t="str">
        <f t="shared" si="71"/>
        <v>alp_marca_alcance_jovem_facebook_social_video-social_social_buff-moster_all_cpm_de-11s-ate-29s_111351</v>
      </c>
      <c r="D325" t="str">
        <f t="shared" si="72"/>
        <v>251458466</v>
      </c>
      <c r="E325" t="str">
        <f>IF(Table1[[#This Row],[Impressions]]&gt;Table1[[#This Row],[Clicks]],"Standard",VLOOKUP(CONCATENATE(bd_adtype,"_",bd_creativetype),tabela,2,FALSE))</f>
        <v>Standard</v>
      </c>
      <c r="F325" t="str">
        <f t="shared" si="73"/>
        <v>alp_marca_alcance_jovem_facebook_social_video-social_social_buff-moster_all_cpm_de-11s-ate-29s_111351</v>
      </c>
      <c r="G325" t="str">
        <f t="shared" si="74"/>
        <v>447788730</v>
      </c>
      <c r="H325" t="str">
        <f t="shared" si="75"/>
        <v>Tracking</v>
      </c>
      <c r="I325">
        <f t="shared" si="76"/>
        <v>2733183</v>
      </c>
      <c r="J325">
        <f t="shared" si="77"/>
        <v>3207</v>
      </c>
      <c r="K325" s="4">
        <f t="shared" si="67"/>
        <v>3.8199999999999998E-2</v>
      </c>
      <c r="L325">
        <f t="shared" si="68"/>
        <v>0.09</v>
      </c>
      <c r="M325" s="4">
        <f t="shared" si="65"/>
        <v>104.40759059999999</v>
      </c>
      <c r="N325" s="4">
        <f t="shared" si="66"/>
        <v>245.98647</v>
      </c>
    </row>
    <row r="326" spans="1:14">
      <c r="A326" t="str">
        <f t="shared" si="69"/>
        <v>alp_marca</v>
      </c>
      <c r="B326" t="str">
        <f t="shared" si="70"/>
        <v>facebook.com.br</v>
      </c>
      <c r="C326" t="str">
        <f t="shared" si="71"/>
        <v>alp_marca_alcance_jovem_facebook_social_video-social_social_rei-leao_all_cpm_de-5s-ate-10s_111342</v>
      </c>
      <c r="D326" t="str">
        <f t="shared" si="72"/>
        <v>251703600</v>
      </c>
      <c r="E326" t="str">
        <f>IF(Table1[[#This Row],[Impressions]]&gt;Table1[[#This Row],[Clicks]],"Standard",VLOOKUP(CONCATENATE(bd_adtype,"_",bd_creativetype),tabela,2,FALSE))</f>
        <v>Standard</v>
      </c>
      <c r="F326" t="str">
        <f t="shared" si="73"/>
        <v>alp_marca_alcance_jovem_facebook_social_video-social_social_rei-leao_all_cpm_de-5s-ate-10s_111342</v>
      </c>
      <c r="G326" t="str">
        <f t="shared" si="74"/>
        <v>447785983</v>
      </c>
      <c r="H326" t="str">
        <f t="shared" si="75"/>
        <v>Tracking</v>
      </c>
      <c r="I326">
        <f t="shared" si="76"/>
        <v>4303943</v>
      </c>
      <c r="J326">
        <f t="shared" si="77"/>
        <v>23204</v>
      </c>
      <c r="K326" s="4">
        <f t="shared" si="67"/>
        <v>3.8199999999999998E-2</v>
      </c>
      <c r="L326">
        <f t="shared" si="68"/>
        <v>0.09</v>
      </c>
      <c r="M326" s="4">
        <f t="shared" si="65"/>
        <v>164.41062260000001</v>
      </c>
      <c r="N326" s="4">
        <f t="shared" si="66"/>
        <v>387.35487000000001</v>
      </c>
    </row>
    <row r="327" spans="1:14">
      <c r="A327" t="str">
        <f t="shared" si="69"/>
        <v>alp_marca</v>
      </c>
      <c r="B327" t="str">
        <f t="shared" si="70"/>
        <v>facebook.com.br</v>
      </c>
      <c r="C327" t="str">
        <f t="shared" si="71"/>
        <v>alp_marca_alcance_jovem_facebook_social_video-social_social_stranger-things_all_cpm_acima-de-30s_111288</v>
      </c>
      <c r="D327" t="str">
        <f t="shared" si="72"/>
        <v>249800777</v>
      </c>
      <c r="E327" t="str">
        <f>IF(Table1[[#This Row],[Impressions]]&gt;Table1[[#This Row],[Clicks]],"Standard",VLOOKUP(CONCATENATE(bd_adtype,"_",bd_creativetype),tabela,2,FALSE))</f>
        <v>Standard</v>
      </c>
      <c r="F327" t="str">
        <f t="shared" si="73"/>
        <v>alp_marca_alcance_jovem_facebook_social_video-social_social_stranger-things_all_cpm_acima-de-30s_111288</v>
      </c>
      <c r="G327" t="str">
        <f t="shared" si="74"/>
        <v>446208887</v>
      </c>
      <c r="H327" t="str">
        <f t="shared" si="75"/>
        <v>Tracking</v>
      </c>
      <c r="I327">
        <f t="shared" si="76"/>
        <v>22319517</v>
      </c>
      <c r="J327">
        <f t="shared" si="77"/>
        <v>0</v>
      </c>
      <c r="K327" s="4">
        <f t="shared" si="67"/>
        <v>3.8199999999999998E-2</v>
      </c>
      <c r="L327">
        <f t="shared" si="68"/>
        <v>0.09</v>
      </c>
      <c r="M327" s="4">
        <f t="shared" si="65"/>
        <v>852.60554939999986</v>
      </c>
      <c r="N327" s="4">
        <f t="shared" si="66"/>
        <v>2008.7565300000001</v>
      </c>
    </row>
    <row r="328" spans="1:14">
      <c r="A328" t="str">
        <f t="shared" si="69"/>
        <v>alp_marca</v>
      </c>
      <c r="B328" t="str">
        <f t="shared" si="70"/>
        <v>facebook.com.br</v>
      </c>
      <c r="C328" t="str">
        <f t="shared" si="71"/>
        <v>alp_marca_alcance_jovem_facebook_social_video-social_social_stranger-things_all_cpm_de-11s-ate-29s_111317</v>
      </c>
      <c r="D328" t="str">
        <f t="shared" si="72"/>
        <v>250660893</v>
      </c>
      <c r="E328" t="str">
        <f>IF(Table1[[#This Row],[Impressions]]&gt;Table1[[#This Row],[Clicks]],"Standard",VLOOKUP(CONCATENATE(bd_adtype,"_",bd_creativetype),tabela,2,FALSE))</f>
        <v>Standard</v>
      </c>
      <c r="F328" t="str">
        <f t="shared" si="73"/>
        <v>alp_marca_alcance_jovem_facebook_social_video-social_social_stranger-things_all_cpm_de-11s-ate-29s_111317</v>
      </c>
      <c r="G328" t="str">
        <f t="shared" si="74"/>
        <v>446775337</v>
      </c>
      <c r="H328" t="str">
        <f t="shared" si="75"/>
        <v>Tracking</v>
      </c>
      <c r="I328">
        <f t="shared" si="76"/>
        <v>4898511</v>
      </c>
      <c r="J328">
        <f t="shared" si="77"/>
        <v>5497</v>
      </c>
      <c r="K328" s="4">
        <f t="shared" si="67"/>
        <v>3.8199999999999998E-2</v>
      </c>
      <c r="L328">
        <f t="shared" si="68"/>
        <v>0.09</v>
      </c>
      <c r="M328" s="4">
        <f t="shared" si="65"/>
        <v>187.12312019999999</v>
      </c>
      <c r="N328" s="4">
        <f t="shared" si="66"/>
        <v>440.86599000000001</v>
      </c>
    </row>
    <row r="329" spans="1:14">
      <c r="A329" t="str">
        <f t="shared" si="69"/>
        <v>alp_marca</v>
      </c>
      <c r="B329" t="str">
        <f t="shared" si="70"/>
        <v>facebook.com.br</v>
      </c>
      <c r="C329" t="str">
        <f t="shared" si="71"/>
        <v>alp_marca_alcance_jovem_facebook_social_video-social_social_stranger-things_all_cpm_de-11s-ate-29s_111318</v>
      </c>
      <c r="D329" t="str">
        <f t="shared" si="72"/>
        <v>250660890</v>
      </c>
      <c r="E329" t="str">
        <f>IF(Table1[[#This Row],[Impressions]]&gt;Table1[[#This Row],[Clicks]],"Standard",VLOOKUP(CONCATENATE(bd_adtype,"_",bd_creativetype),tabela,2,FALSE))</f>
        <v>Standard</v>
      </c>
      <c r="F329" t="str">
        <f t="shared" si="73"/>
        <v>alp_marca_alcance_jovem_facebook_social_video-social_social_stranger-things_all_cpm_de-11s-ate-29s_111318</v>
      </c>
      <c r="G329" t="str">
        <f t="shared" si="74"/>
        <v>446775334</v>
      </c>
      <c r="H329" t="str">
        <f t="shared" si="75"/>
        <v>Tracking</v>
      </c>
      <c r="I329">
        <f t="shared" si="76"/>
        <v>3595319</v>
      </c>
      <c r="J329">
        <f t="shared" si="77"/>
        <v>4591</v>
      </c>
      <c r="K329" s="4">
        <f t="shared" si="67"/>
        <v>3.8199999999999998E-2</v>
      </c>
      <c r="L329">
        <f t="shared" si="68"/>
        <v>0.09</v>
      </c>
      <c r="M329" s="4">
        <f t="shared" si="65"/>
        <v>137.34118580000001</v>
      </c>
      <c r="N329" s="4">
        <f t="shared" si="66"/>
        <v>323.57870999999994</v>
      </c>
    </row>
    <row r="330" spans="1:14">
      <c r="A330" t="str">
        <f t="shared" si="69"/>
        <v>alp_marca</v>
      </c>
      <c r="B330" t="str">
        <f t="shared" si="70"/>
        <v>facebook.com.br</v>
      </c>
      <c r="C330" t="str">
        <f t="shared" si="71"/>
        <v>alp_marca_alcance_jovem_facebook_social_video-social_social_toy-story_all_cpm_de-5s-ate-10s_111243</v>
      </c>
      <c r="D330" t="str">
        <f t="shared" si="72"/>
        <v>249634866</v>
      </c>
      <c r="E330" t="str">
        <f>IF(Table1[[#This Row],[Impressions]]&gt;Table1[[#This Row],[Clicks]],"Standard",VLOOKUP(CONCATENATE(bd_adtype,"_",bd_creativetype),tabela,2,FALSE))</f>
        <v>Dynamic Click</v>
      </c>
      <c r="F330" t="str">
        <f t="shared" si="73"/>
        <v>alp_marca_alcance_jovem_facebook_social_video-social_social_toy-story_all_cpm_de-5s-ate-10s_111243</v>
      </c>
      <c r="G330" t="str">
        <f t="shared" si="74"/>
        <v>445798240</v>
      </c>
      <c r="H330" t="str">
        <f t="shared" si="75"/>
        <v>Tracking</v>
      </c>
      <c r="I330">
        <f t="shared" si="76"/>
        <v>0</v>
      </c>
      <c r="J330">
        <f t="shared" si="77"/>
        <v>33</v>
      </c>
      <c r="K330" s="4">
        <f t="shared" si="67"/>
        <v>3.5000000000000001E-3</v>
      </c>
      <c r="L330">
        <f t="shared" si="68"/>
        <v>0.02</v>
      </c>
      <c r="M330" s="4">
        <f t="shared" si="65"/>
        <v>0.11550000000000001</v>
      </c>
      <c r="N330" s="4">
        <f t="shared" si="66"/>
        <v>0.66</v>
      </c>
    </row>
    <row r="331" spans="1:14">
      <c r="A331" t="str">
        <f t="shared" si="69"/>
        <v>alp_marca</v>
      </c>
      <c r="B331" t="str">
        <f t="shared" si="70"/>
        <v>facebook.com.br</v>
      </c>
      <c r="C331" t="str">
        <f t="shared" si="71"/>
        <v>alp_marca_alcance_jovem_facebook_social_video-social_social_toy-story_all_cpm_de-5s-ate-10s_111310</v>
      </c>
      <c r="D331" t="str">
        <f t="shared" si="72"/>
        <v>250140110</v>
      </c>
      <c r="E331" t="str">
        <f>IF(Table1[[#This Row],[Impressions]]&gt;Table1[[#This Row],[Clicks]],"Standard",VLOOKUP(CONCATENATE(bd_adtype,"_",bd_creativetype),tabela,2,FALSE))</f>
        <v>Standard</v>
      </c>
      <c r="F331" t="str">
        <f t="shared" si="73"/>
        <v>alp_marca_alcance_jovem_facebook_social_video-social_social_toy-story_all_cpm_de-5s-ate-10s_111310</v>
      </c>
      <c r="G331" t="str">
        <f t="shared" si="74"/>
        <v>446558772</v>
      </c>
      <c r="H331" t="str">
        <f t="shared" si="75"/>
        <v>Tracking</v>
      </c>
      <c r="I331">
        <f t="shared" si="76"/>
        <v>21</v>
      </c>
      <c r="J331">
        <f t="shared" si="77"/>
        <v>0</v>
      </c>
      <c r="K331" s="4">
        <f t="shared" si="67"/>
        <v>3.8199999999999998E-2</v>
      </c>
      <c r="L331">
        <f t="shared" si="68"/>
        <v>0.09</v>
      </c>
      <c r="M331" s="4">
        <f t="shared" si="65"/>
        <v>8.0219999999999987E-4</v>
      </c>
      <c r="N331" s="4">
        <f t="shared" si="66"/>
        <v>1.89E-3</v>
      </c>
    </row>
    <row r="332" spans="1:14">
      <c r="A332" t="str">
        <f t="shared" si="69"/>
        <v>alp_marca</v>
      </c>
      <c r="B332" t="str">
        <f t="shared" si="70"/>
        <v>facebook.com.br</v>
      </c>
      <c r="C332" t="str">
        <f t="shared" si="71"/>
        <v>alp_marca_alcance_masculino_facebook_social_carrossel_social_havaianas-urban-dia-pais_all_cpm_1080x1080_111360</v>
      </c>
      <c r="D332" t="str">
        <f t="shared" si="72"/>
        <v>252404155</v>
      </c>
      <c r="E332" t="str">
        <f>IF(Table1[[#This Row],[Impressions]]&gt;Table1[[#This Row],[Clicks]],"Standard",VLOOKUP(CONCATENATE(bd_adtype,"_",bd_creativetype),tabela,2,FALSE))</f>
        <v>Standard</v>
      </c>
      <c r="F332" t="str">
        <f t="shared" si="73"/>
        <v>alp_marca_alcance_masculino_facebook_social_carrossel_social_havaianas-urban-dia-pais_all_cpm_1080x1080_111360</v>
      </c>
      <c r="G332" t="str">
        <f t="shared" si="74"/>
        <v>448436609</v>
      </c>
      <c r="H332" t="str">
        <f t="shared" si="75"/>
        <v>Tracking</v>
      </c>
      <c r="I332">
        <f t="shared" si="76"/>
        <v>121440</v>
      </c>
      <c r="J332">
        <f t="shared" si="77"/>
        <v>313</v>
      </c>
      <c r="K332" s="4">
        <f t="shared" si="67"/>
        <v>3.8199999999999998E-2</v>
      </c>
      <c r="L332">
        <f t="shared" si="68"/>
        <v>0.09</v>
      </c>
      <c r="M332" s="4">
        <f t="shared" si="65"/>
        <v>4.6390079999999996</v>
      </c>
      <c r="N332" s="4">
        <f t="shared" si="66"/>
        <v>10.929600000000001</v>
      </c>
    </row>
    <row r="333" spans="1:14">
      <c r="A333" t="str">
        <f t="shared" si="69"/>
        <v>alp_marca</v>
      </c>
      <c r="B333" t="str">
        <f t="shared" si="70"/>
        <v>facebook.com.br</v>
      </c>
      <c r="C333" t="str">
        <f t="shared" si="71"/>
        <v>alp_marca_alcance_masculino_facebook_social_carrossel_social_qualquer-joao_all_cpm_1080x1080_111210</v>
      </c>
      <c r="D333" t="str">
        <f t="shared" si="72"/>
        <v>248427463</v>
      </c>
      <c r="E333" t="str">
        <f>IF(Table1[[#This Row],[Impressions]]&gt;Table1[[#This Row],[Clicks]],"Standard",VLOOKUP(CONCATENATE(bd_adtype,"_",bd_creativetype),tabela,2,FALSE))</f>
        <v>Dynamic Click</v>
      </c>
      <c r="F333" t="str">
        <f t="shared" si="73"/>
        <v>alp_marca_alcance_masculino_facebook_social_carrossel_social_qualquer-joao_all_cpm_1080x1080_111210</v>
      </c>
      <c r="G333" t="str">
        <f t="shared" si="74"/>
        <v>444788611</v>
      </c>
      <c r="H333" t="str">
        <f t="shared" si="75"/>
        <v>Tracking</v>
      </c>
      <c r="I333">
        <f t="shared" si="76"/>
        <v>0</v>
      </c>
      <c r="J333">
        <f t="shared" si="77"/>
        <v>3</v>
      </c>
      <c r="K333" s="4">
        <f t="shared" si="67"/>
        <v>3.5000000000000001E-3</v>
      </c>
      <c r="L333">
        <f t="shared" si="68"/>
        <v>0.02</v>
      </c>
      <c r="M333" s="4">
        <f t="shared" si="65"/>
        <v>1.0500000000000001E-2</v>
      </c>
      <c r="N333" s="4">
        <f t="shared" si="66"/>
        <v>0.06</v>
      </c>
    </row>
    <row r="334" spans="1:14">
      <c r="A334" t="str">
        <f t="shared" si="69"/>
        <v>alp_marca</v>
      </c>
      <c r="B334" t="str">
        <f t="shared" si="70"/>
        <v>facebook.com.br</v>
      </c>
      <c r="C334" t="str">
        <f t="shared" si="71"/>
        <v>alp_marca_alcance_masculino_facebook_social_carrossel_social_qualquer-joao_all_cpm_1080x1080_111211</v>
      </c>
      <c r="D334" t="str">
        <f t="shared" si="72"/>
        <v>248427454</v>
      </c>
      <c r="E334" t="str">
        <f>IF(Table1[[#This Row],[Impressions]]&gt;Table1[[#This Row],[Clicks]],"Standard",VLOOKUP(CONCATENATE(bd_adtype,"_",bd_creativetype),tabela,2,FALSE))</f>
        <v>Dynamic Click</v>
      </c>
      <c r="F334" t="str">
        <f t="shared" si="73"/>
        <v>alp_marca_alcance_masculino_facebook_social_carrossel_social_qualquer-joao_all_cpm_1080x1080_111211</v>
      </c>
      <c r="G334" t="str">
        <f t="shared" si="74"/>
        <v>444788602</v>
      </c>
      <c r="H334" t="str">
        <f t="shared" si="75"/>
        <v>Tracking</v>
      </c>
      <c r="I334">
        <f t="shared" si="76"/>
        <v>0</v>
      </c>
      <c r="J334">
        <f t="shared" si="77"/>
        <v>21</v>
      </c>
      <c r="K334" s="4">
        <f t="shared" si="67"/>
        <v>3.5000000000000001E-3</v>
      </c>
      <c r="L334">
        <f t="shared" si="68"/>
        <v>0.02</v>
      </c>
      <c r="M334" s="4">
        <f t="shared" si="65"/>
        <v>7.3499999999999996E-2</v>
      </c>
      <c r="N334" s="4">
        <f t="shared" si="66"/>
        <v>0.42</v>
      </c>
    </row>
    <row r="335" spans="1:14">
      <c r="A335" t="str">
        <f t="shared" si="69"/>
        <v>alp_marca</v>
      </c>
      <c r="B335" t="str">
        <f t="shared" si="70"/>
        <v>facebook.com.br</v>
      </c>
      <c r="C335" t="str">
        <f t="shared" si="71"/>
        <v>alp_marca_alcance_masculino_facebook_social_carrossel_social_qualquer-joao_envolvimento-pagina_cpm_1080x1080_111210</v>
      </c>
      <c r="D335" t="str">
        <f t="shared" si="72"/>
        <v>248427460</v>
      </c>
      <c r="E335" t="str">
        <f>IF(Table1[[#This Row],[Impressions]]&gt;Table1[[#This Row],[Clicks]],"Standard",VLOOKUP(CONCATENATE(bd_adtype,"_",bd_creativetype),tabela,2,FALSE))</f>
        <v>Dynamic Click</v>
      </c>
      <c r="F335" t="str">
        <f t="shared" si="73"/>
        <v>alp_marca_alcance_masculino_facebook_social_carrossel_social_qualquer-joao_envolvimento-pagina_cpm_1080x1080_111210</v>
      </c>
      <c r="G335" t="str">
        <f t="shared" si="74"/>
        <v>444788608</v>
      </c>
      <c r="H335" t="str">
        <f t="shared" si="75"/>
        <v>Tracking</v>
      </c>
      <c r="I335">
        <f t="shared" si="76"/>
        <v>0</v>
      </c>
      <c r="J335">
        <f t="shared" si="77"/>
        <v>3</v>
      </c>
      <c r="K335" s="4">
        <f t="shared" si="67"/>
        <v>3.5000000000000001E-3</v>
      </c>
      <c r="L335">
        <f t="shared" si="68"/>
        <v>0.02</v>
      </c>
      <c r="M335" s="4">
        <f t="shared" si="65"/>
        <v>1.0500000000000001E-2</v>
      </c>
      <c r="N335" s="4">
        <f t="shared" si="66"/>
        <v>0.06</v>
      </c>
    </row>
    <row r="336" spans="1:14">
      <c r="A336" t="str">
        <f t="shared" si="69"/>
        <v>alp_marca</v>
      </c>
      <c r="B336" t="str">
        <f t="shared" si="70"/>
        <v>facebook.com.br</v>
      </c>
      <c r="C336" t="str">
        <f t="shared" si="71"/>
        <v>alp_marca_alcance_masculino_facebook_social_carrossel_social_qualquer-joao_viu-stories-cinderelo_cpm_1080x1080_111210</v>
      </c>
      <c r="D336" t="str">
        <f t="shared" si="72"/>
        <v>248427457</v>
      </c>
      <c r="E336" t="str">
        <f>IF(Table1[[#This Row],[Impressions]]&gt;Table1[[#This Row],[Clicks]],"Standard",VLOOKUP(CONCATENATE(bd_adtype,"_",bd_creativetype),tabela,2,FALSE))</f>
        <v>Dynamic Click</v>
      </c>
      <c r="F336" t="str">
        <f t="shared" si="73"/>
        <v>alp_marca_alcance_masculino_facebook_social_carrossel_social_qualquer-joao_viu-stories-cinderelo_cpm_1080x1080_111210</v>
      </c>
      <c r="G336" t="str">
        <f t="shared" si="74"/>
        <v>444788605</v>
      </c>
      <c r="H336" t="str">
        <f t="shared" si="75"/>
        <v>Tracking</v>
      </c>
      <c r="I336">
        <f t="shared" si="76"/>
        <v>0</v>
      </c>
      <c r="J336">
        <f t="shared" si="77"/>
        <v>2</v>
      </c>
      <c r="K336" s="4">
        <f t="shared" si="67"/>
        <v>3.5000000000000001E-3</v>
      </c>
      <c r="L336">
        <f t="shared" si="68"/>
        <v>0.02</v>
      </c>
      <c r="M336" s="4">
        <f t="shared" si="65"/>
        <v>7.0000000000000001E-3</v>
      </c>
      <c r="N336" s="4">
        <f t="shared" si="66"/>
        <v>0.04</v>
      </c>
    </row>
    <row r="337" spans="1:14">
      <c r="A337" t="str">
        <f t="shared" si="69"/>
        <v>alp_marca</v>
      </c>
      <c r="B337" t="str">
        <f t="shared" si="70"/>
        <v>facebook.com.br</v>
      </c>
      <c r="C337" t="str">
        <f t="shared" si="71"/>
        <v>alp_marca_alcance_masculino_facebook_social_carrossel_social_qualquer-joao_viu-stories-cinderelo_cpm_1080x1080_111211</v>
      </c>
      <c r="D337" t="str">
        <f t="shared" si="72"/>
        <v>248427448</v>
      </c>
      <c r="E337" t="str">
        <f>IF(Table1[[#This Row],[Impressions]]&gt;Table1[[#This Row],[Clicks]],"Standard",VLOOKUP(CONCATENATE(bd_adtype,"_",bd_creativetype),tabela,2,FALSE))</f>
        <v>Dynamic Click</v>
      </c>
      <c r="F337" t="str">
        <f t="shared" si="73"/>
        <v>alp_marca_alcance_masculino_facebook_social_carrossel_social_qualquer-joao_viu-stories-cinderelo_cpm_1080x1080_111211</v>
      </c>
      <c r="G337" t="str">
        <f t="shared" si="74"/>
        <v>444788596</v>
      </c>
      <c r="H337" t="str">
        <f t="shared" si="75"/>
        <v>Tracking</v>
      </c>
      <c r="I337">
        <f t="shared" si="76"/>
        <v>0</v>
      </c>
      <c r="J337">
        <f t="shared" si="77"/>
        <v>1</v>
      </c>
      <c r="K337" s="4">
        <f t="shared" si="67"/>
        <v>3.5000000000000001E-3</v>
      </c>
      <c r="L337">
        <f t="shared" si="68"/>
        <v>0.02</v>
      </c>
      <c r="M337" s="4">
        <f t="shared" si="65"/>
        <v>3.5000000000000001E-3</v>
      </c>
      <c r="N337" s="4">
        <f t="shared" si="66"/>
        <v>0.02</v>
      </c>
    </row>
    <row r="338" spans="1:14">
      <c r="A338" t="str">
        <f t="shared" si="69"/>
        <v>alp_marca</v>
      </c>
      <c r="B338" t="str">
        <f t="shared" si="70"/>
        <v>facebook.com.br</v>
      </c>
      <c r="C338" t="str">
        <f t="shared" si="71"/>
        <v>alp_marca_alcance_masculino_facebook_social_pagepost_social_havaianas-urban-dia-pais-store-visit_all_cpm_1080x1080_111361</v>
      </c>
      <c r="D338" t="str">
        <f t="shared" si="72"/>
        <v>252404179</v>
      </c>
      <c r="E338" t="str">
        <f>IF(Table1[[#This Row],[Impressions]]&gt;Table1[[#This Row],[Clicks]],"Standard",VLOOKUP(CONCATENATE(bd_adtype,"_",bd_creativetype),tabela,2,FALSE))</f>
        <v>Dynamic Click</v>
      </c>
      <c r="F338" t="str">
        <f t="shared" si="73"/>
        <v>alp_marca_alcance_masculino_facebook_social_pagepost_social_havaianas-urban-dia-pais-store-visit_all_cpm_1080x1080_111361</v>
      </c>
      <c r="G338" t="str">
        <f t="shared" si="74"/>
        <v>448434623</v>
      </c>
      <c r="H338" t="str">
        <f t="shared" si="75"/>
        <v>Tracking</v>
      </c>
      <c r="I338">
        <f t="shared" si="76"/>
        <v>0</v>
      </c>
      <c r="J338">
        <f t="shared" si="77"/>
        <v>1</v>
      </c>
      <c r="K338" s="4">
        <f t="shared" si="67"/>
        <v>3.5000000000000001E-3</v>
      </c>
      <c r="L338">
        <f t="shared" si="68"/>
        <v>0.02</v>
      </c>
      <c r="M338" s="4">
        <f t="shared" si="65"/>
        <v>3.5000000000000001E-3</v>
      </c>
      <c r="N338" s="4">
        <f t="shared" si="66"/>
        <v>0.02</v>
      </c>
    </row>
    <row r="339" spans="1:14">
      <c r="A339" t="str">
        <f t="shared" si="69"/>
        <v>alp_marca</v>
      </c>
      <c r="B339" t="str">
        <f t="shared" si="70"/>
        <v>facebook.com.br</v>
      </c>
      <c r="C339" t="str">
        <f t="shared" si="71"/>
        <v>alp_marca_alcance_masculino_facebook_social_pagepost_social_havaianas-urban-dia-pais_all_cpm_1080x1080_111359</v>
      </c>
      <c r="D339" t="str">
        <f t="shared" si="72"/>
        <v>252404788</v>
      </c>
      <c r="E339" t="str">
        <f>IF(Table1[[#This Row],[Impressions]]&gt;Table1[[#This Row],[Clicks]],"Standard",VLOOKUP(CONCATENATE(bd_adtype,"_",bd_creativetype),tabela,2,FALSE))</f>
        <v>Standard</v>
      </c>
      <c r="F339" t="str">
        <f t="shared" si="73"/>
        <v>alp_marca_alcance_masculino_facebook_social_pagepost_social_havaianas-urban-dia-pais_all_cpm_1080x1080_111359</v>
      </c>
      <c r="G339" t="str">
        <f t="shared" si="74"/>
        <v>448436600</v>
      </c>
      <c r="H339" t="str">
        <f t="shared" si="75"/>
        <v>Tracking</v>
      </c>
      <c r="I339">
        <f t="shared" si="76"/>
        <v>438590</v>
      </c>
      <c r="J339">
        <f t="shared" si="77"/>
        <v>1147</v>
      </c>
      <c r="K339" s="4">
        <f t="shared" si="67"/>
        <v>3.8199999999999998E-2</v>
      </c>
      <c r="L339">
        <f t="shared" si="68"/>
        <v>0.09</v>
      </c>
      <c r="M339" s="4">
        <f t="shared" si="65"/>
        <v>16.754137999999998</v>
      </c>
      <c r="N339" s="4">
        <f t="shared" si="66"/>
        <v>39.473099999999995</v>
      </c>
    </row>
    <row r="340" spans="1:14">
      <c r="A340" t="str">
        <f t="shared" si="69"/>
        <v>alp_marca</v>
      </c>
      <c r="B340" t="str">
        <f t="shared" si="70"/>
        <v>facebook.com.br</v>
      </c>
      <c r="C340" t="str">
        <f t="shared" si="71"/>
        <v>alp_marca_alcance_masculino_facebook_social_pagepost_social_havaianas-urban-rubinho_all_cpm_1080x1080_111331</v>
      </c>
      <c r="D340" t="str">
        <f t="shared" si="72"/>
        <v>251034425</v>
      </c>
      <c r="E340" t="str">
        <f>IF(Table1[[#This Row],[Impressions]]&gt;Table1[[#This Row],[Clicks]],"Standard",VLOOKUP(CONCATENATE(bd_adtype,"_",bd_creativetype),tabela,2,FALSE))</f>
        <v>Standard</v>
      </c>
      <c r="F340" t="str">
        <f t="shared" si="73"/>
        <v>alp_marca_alcance_masculino_facebook_social_pagepost_social_havaianas-urban-rubinho_all_cpm_1080x1080_111331</v>
      </c>
      <c r="G340" t="str">
        <f t="shared" si="74"/>
        <v>447459188</v>
      </c>
      <c r="H340" t="str">
        <f t="shared" si="75"/>
        <v>Tracking</v>
      </c>
      <c r="I340">
        <f t="shared" si="76"/>
        <v>7483879</v>
      </c>
      <c r="J340">
        <f t="shared" si="77"/>
        <v>44976</v>
      </c>
      <c r="K340" s="4">
        <f t="shared" si="67"/>
        <v>3.8199999999999998E-2</v>
      </c>
      <c r="L340">
        <f t="shared" si="68"/>
        <v>0.09</v>
      </c>
      <c r="M340" s="4">
        <f t="shared" si="65"/>
        <v>285.88417780000003</v>
      </c>
      <c r="N340" s="4">
        <f t="shared" si="66"/>
        <v>673.54911000000004</v>
      </c>
    </row>
    <row r="341" spans="1:14">
      <c r="A341" t="str">
        <f t="shared" si="69"/>
        <v>alp_marca</v>
      </c>
      <c r="B341" t="str">
        <f t="shared" si="70"/>
        <v>facebook.com.br</v>
      </c>
      <c r="C341" t="str">
        <f t="shared" si="71"/>
        <v>alp_marca_alcance_masculino_facebook_social_stories_social_havaianas-rubinho-criacao-fb-relaxa_all_cpm_de-11s-ate-29s_111362</v>
      </c>
      <c r="D341" t="str">
        <f t="shared" si="72"/>
        <v>252073241</v>
      </c>
      <c r="E341" t="str">
        <f>IF(Table1[[#This Row],[Impressions]]&gt;Table1[[#This Row],[Clicks]],"Standard",VLOOKUP(CONCATENATE(bd_adtype,"_",bd_creativetype),tabela,2,FALSE))</f>
        <v>Standard</v>
      </c>
      <c r="F341" t="str">
        <f t="shared" si="73"/>
        <v>alp_marca_alcance_masculino_facebook_social_stories_social_havaianas-rubinho-criacao-fb-relaxa_all_cpm_de-11s-ate-29s_111362</v>
      </c>
      <c r="G341" t="str">
        <f t="shared" si="74"/>
        <v>448391832</v>
      </c>
      <c r="H341" t="str">
        <f t="shared" si="75"/>
        <v>Tracking</v>
      </c>
      <c r="I341">
        <f t="shared" si="76"/>
        <v>230473</v>
      </c>
      <c r="J341">
        <f t="shared" si="77"/>
        <v>940</v>
      </c>
      <c r="K341" s="4">
        <f t="shared" si="67"/>
        <v>3.8199999999999998E-2</v>
      </c>
      <c r="L341">
        <f t="shared" si="68"/>
        <v>0.09</v>
      </c>
      <c r="M341" s="4">
        <f t="shared" si="65"/>
        <v>8.804068599999999</v>
      </c>
      <c r="N341" s="4">
        <f t="shared" si="66"/>
        <v>20.742570000000001</v>
      </c>
    </row>
    <row r="342" spans="1:14">
      <c r="A342" t="str">
        <f t="shared" si="69"/>
        <v>alp_marca</v>
      </c>
      <c r="B342" t="str">
        <f t="shared" si="70"/>
        <v>facebook.com.br</v>
      </c>
      <c r="C342" t="str">
        <f t="shared" si="71"/>
        <v>alp_marca_alcance_masculino_facebook_social_stories_social_havaianas-rubinho-criacao-fb_all_cpm_de-11s-ate-29s_111358</v>
      </c>
      <c r="D342" t="str">
        <f t="shared" si="72"/>
        <v>252400696</v>
      </c>
      <c r="E342" t="str">
        <f>IF(Table1[[#This Row],[Impressions]]&gt;Table1[[#This Row],[Clicks]],"Standard",VLOOKUP(CONCATENATE(bd_adtype,"_",bd_creativetype),tabela,2,FALSE))</f>
        <v>Standard</v>
      </c>
      <c r="F342" t="str">
        <f t="shared" si="73"/>
        <v>alp_marca_alcance_masculino_facebook_social_stories_social_havaianas-rubinho-criacao-fb_all_cpm_de-11s-ate-29s_111358</v>
      </c>
      <c r="G342" t="str">
        <f t="shared" si="74"/>
        <v>448505326</v>
      </c>
      <c r="H342" t="str">
        <f t="shared" si="75"/>
        <v>Tracking</v>
      </c>
      <c r="I342">
        <f t="shared" si="76"/>
        <v>467320</v>
      </c>
      <c r="J342">
        <f t="shared" si="77"/>
        <v>2199</v>
      </c>
      <c r="K342" s="4">
        <f t="shared" si="67"/>
        <v>3.8199999999999998E-2</v>
      </c>
      <c r="L342">
        <f t="shared" si="68"/>
        <v>0.09</v>
      </c>
      <c r="M342" s="4">
        <f t="shared" si="65"/>
        <v>17.851624000000001</v>
      </c>
      <c r="N342" s="4">
        <f t="shared" si="66"/>
        <v>42.058799999999998</v>
      </c>
    </row>
    <row r="343" spans="1:14">
      <c r="A343" t="str">
        <f t="shared" si="69"/>
        <v>alp_marca</v>
      </c>
      <c r="B343" t="str">
        <f t="shared" si="70"/>
        <v>facebook.com.br</v>
      </c>
      <c r="C343" t="str">
        <f t="shared" si="71"/>
        <v>alp_marca_alcance_masculino_facebook_social_video-social_social_havaianas-urban-rubinho_all_cpm_de-11s-ate-29s_111332</v>
      </c>
      <c r="D343" t="str">
        <f t="shared" si="72"/>
        <v>251020964</v>
      </c>
      <c r="E343" t="str">
        <f>IF(Table1[[#This Row],[Impressions]]&gt;Table1[[#This Row],[Clicks]],"Standard",VLOOKUP(CONCATENATE(bd_adtype,"_",bd_creativetype),tabela,2,FALSE))</f>
        <v>Standard</v>
      </c>
      <c r="F343" t="str">
        <f t="shared" si="73"/>
        <v>alp_marca_alcance_masculino_facebook_social_video-social_social_havaianas-urban-rubinho_all_cpm_de-11s-ate-29s_111332</v>
      </c>
      <c r="G343" t="str">
        <f t="shared" si="74"/>
        <v>447523264</v>
      </c>
      <c r="H343" t="str">
        <f t="shared" si="75"/>
        <v>Tracking</v>
      </c>
      <c r="I343">
        <f t="shared" si="76"/>
        <v>18369969</v>
      </c>
      <c r="J343">
        <f t="shared" si="77"/>
        <v>30603</v>
      </c>
      <c r="K343" s="4">
        <f t="shared" si="67"/>
        <v>3.8199999999999998E-2</v>
      </c>
      <c r="L343">
        <f t="shared" si="68"/>
        <v>0.09</v>
      </c>
      <c r="M343" s="4">
        <f t="shared" si="65"/>
        <v>701.73281580000003</v>
      </c>
      <c r="N343" s="4">
        <f t="shared" si="66"/>
        <v>1653.29721</v>
      </c>
    </row>
    <row r="344" spans="1:14">
      <c r="A344" t="str">
        <f t="shared" si="69"/>
        <v>alp_marca</v>
      </c>
      <c r="B344" t="str">
        <f t="shared" si="70"/>
        <v>facebook.com.br</v>
      </c>
      <c r="C344" t="str">
        <f t="shared" si="71"/>
        <v>alp_marca_alcance_masculino_facebook_social_video-social_social_havaianas-urban-rubinho_all_cpm_de-11s-ate-29s_111342</v>
      </c>
      <c r="D344" t="str">
        <f t="shared" si="72"/>
        <v>251626715</v>
      </c>
      <c r="E344" t="str">
        <f>IF(Table1[[#This Row],[Impressions]]&gt;Table1[[#This Row],[Clicks]],"Standard",VLOOKUP(CONCATENATE(bd_adtype,"_",bd_creativetype),tabela,2,FALSE))</f>
        <v>Standard</v>
      </c>
      <c r="F344" t="str">
        <f t="shared" si="73"/>
        <v>alp_marca_alcance_masculino_facebook_social_video-social_social_havaianas-urban-rubinho_all_cpm_de-11s-ate-29s_111342</v>
      </c>
      <c r="G344" t="str">
        <f t="shared" si="74"/>
        <v>448019633</v>
      </c>
      <c r="H344" t="str">
        <f t="shared" si="75"/>
        <v>Tracking</v>
      </c>
      <c r="I344">
        <f t="shared" si="76"/>
        <v>4920991</v>
      </c>
      <c r="J344">
        <f t="shared" si="77"/>
        <v>8068</v>
      </c>
      <c r="K344" s="4">
        <f t="shared" si="67"/>
        <v>3.8199999999999998E-2</v>
      </c>
      <c r="L344">
        <f t="shared" si="68"/>
        <v>0.09</v>
      </c>
      <c r="M344" s="4">
        <f t="shared" si="65"/>
        <v>187.98185619999998</v>
      </c>
      <c r="N344" s="4">
        <f t="shared" si="66"/>
        <v>442.88918999999999</v>
      </c>
    </row>
    <row r="345" spans="1:14">
      <c r="A345" t="str">
        <f t="shared" si="69"/>
        <v>alp_marca</v>
      </c>
      <c r="B345" t="str">
        <f t="shared" si="70"/>
        <v>facebook.com.br</v>
      </c>
      <c r="C345" t="str">
        <f t="shared" si="71"/>
        <v>alp_marca_alcance_masculino_facebook_social_video-social_social_havaianas-urban-rubinho_all_cpm_de-11s-ate-29s_111343</v>
      </c>
      <c r="D345" t="str">
        <f t="shared" si="72"/>
        <v>251953726</v>
      </c>
      <c r="E345" t="str">
        <f>IF(Table1[[#This Row],[Impressions]]&gt;Table1[[#This Row],[Clicks]],"Standard",VLOOKUP(CONCATENATE(bd_adtype,"_",bd_creativetype),tabela,2,FALSE))</f>
        <v>Standard</v>
      </c>
      <c r="F345" t="str">
        <f t="shared" si="73"/>
        <v>alp_marca_alcance_masculino_facebook_social_video-social_social_havaianas-urban-rubinho_all_cpm_de-11s-ate-29s_111343</v>
      </c>
      <c r="G345" t="str">
        <f t="shared" si="74"/>
        <v>448018391</v>
      </c>
      <c r="H345" t="str">
        <f t="shared" si="75"/>
        <v>Tracking</v>
      </c>
      <c r="I345">
        <f t="shared" si="76"/>
        <v>5476621</v>
      </c>
      <c r="J345">
        <f t="shared" si="77"/>
        <v>6495</v>
      </c>
      <c r="K345" s="4">
        <f t="shared" si="67"/>
        <v>3.8199999999999998E-2</v>
      </c>
      <c r="L345">
        <f t="shared" si="68"/>
        <v>0.09</v>
      </c>
      <c r="M345" s="4">
        <f t="shared" si="65"/>
        <v>209.20692220000001</v>
      </c>
      <c r="N345" s="4">
        <f t="shared" si="66"/>
        <v>492.89588999999995</v>
      </c>
    </row>
    <row r="346" spans="1:14">
      <c r="A346" t="str">
        <f t="shared" si="69"/>
        <v>alp_marca</v>
      </c>
      <c r="B346" t="str">
        <f t="shared" si="70"/>
        <v>facebook.com.br</v>
      </c>
      <c r="C346" t="str">
        <f t="shared" si="71"/>
        <v>alp_marca_alcance_masculino_facebook_social_video-social_social_havaianas-urban-rubinho_all_cpm_de-11s-ate-29s_111349</v>
      </c>
      <c r="D346" t="str">
        <f t="shared" si="72"/>
        <v>251458439</v>
      </c>
      <c r="E346" t="str">
        <f>IF(Table1[[#This Row],[Impressions]]&gt;Table1[[#This Row],[Clicks]],"Standard",VLOOKUP(CONCATENATE(bd_adtype,"_",bd_creativetype),tabela,2,FALSE))</f>
        <v>Standard</v>
      </c>
      <c r="F346" t="str">
        <f t="shared" si="73"/>
        <v>alp_marca_alcance_masculino_facebook_social_video-social_social_havaianas-urban-rubinho_all_cpm_de-11s-ate-29s_111349</v>
      </c>
      <c r="G346" t="str">
        <f t="shared" si="74"/>
        <v>447939268</v>
      </c>
      <c r="H346" t="str">
        <f t="shared" si="75"/>
        <v>Tracking</v>
      </c>
      <c r="I346">
        <f t="shared" si="76"/>
        <v>44042</v>
      </c>
      <c r="J346">
        <f t="shared" si="77"/>
        <v>1547</v>
      </c>
      <c r="K346" s="4">
        <f t="shared" si="67"/>
        <v>3.8199999999999998E-2</v>
      </c>
      <c r="L346">
        <f t="shared" si="68"/>
        <v>0.09</v>
      </c>
      <c r="M346" s="4">
        <f t="shared" si="65"/>
        <v>1.6824043999999998</v>
      </c>
      <c r="N346" s="4">
        <f t="shared" si="66"/>
        <v>3.9637799999999999</v>
      </c>
    </row>
    <row r="347" spans="1:14">
      <c r="A347" t="str">
        <f t="shared" si="69"/>
        <v>alp_marca</v>
      </c>
      <c r="B347" t="str">
        <f t="shared" si="70"/>
        <v>facebook.com.br</v>
      </c>
      <c r="C347" t="str">
        <f t="shared" si="71"/>
        <v>alp_marca_alcance_masculino_facebook_social_video-social_social_havaianas-urban-rubinho_all_cpm_de-11s-ate-29s_111350</v>
      </c>
      <c r="D347" t="str">
        <f t="shared" si="72"/>
        <v>251457926</v>
      </c>
      <c r="E347" t="str">
        <f>IF(Table1[[#This Row],[Impressions]]&gt;Table1[[#This Row],[Clicks]],"Standard",VLOOKUP(CONCATENATE(bd_adtype,"_",bd_creativetype),tabela,2,FALSE))</f>
        <v>Standard</v>
      </c>
      <c r="F347" t="str">
        <f t="shared" si="73"/>
        <v>alp_marca_alcance_masculino_facebook_social_video-social_social_havaianas-urban-rubinho_all_cpm_de-11s-ate-29s_111350</v>
      </c>
      <c r="G347" t="str">
        <f t="shared" si="74"/>
        <v>447940573</v>
      </c>
      <c r="H347" t="str">
        <f t="shared" si="75"/>
        <v>Tracking</v>
      </c>
      <c r="I347">
        <f t="shared" si="76"/>
        <v>11019190</v>
      </c>
      <c r="J347">
        <f t="shared" si="77"/>
        <v>33103</v>
      </c>
      <c r="K347" s="4">
        <f t="shared" si="67"/>
        <v>3.8199999999999998E-2</v>
      </c>
      <c r="L347">
        <f t="shared" si="68"/>
        <v>0.09</v>
      </c>
      <c r="M347" s="4">
        <f t="shared" si="65"/>
        <v>420.93305799999996</v>
      </c>
      <c r="N347" s="4">
        <f t="shared" si="66"/>
        <v>991.72709999999995</v>
      </c>
    </row>
    <row r="348" spans="1:14">
      <c r="A348" t="str">
        <f t="shared" si="69"/>
        <v>alp_marca</v>
      </c>
      <c r="B348" t="str">
        <f t="shared" si="70"/>
        <v>facebook.com.br</v>
      </c>
      <c r="C348" t="str">
        <f t="shared" si="71"/>
        <v>alp_marca_alcance_todos_facebook_social_video-social_social_havaianas-ipe_all_cpm_de-11s-ate-29s_111212</v>
      </c>
      <c r="D348" t="str">
        <f t="shared" si="72"/>
        <v>248672104</v>
      </c>
      <c r="E348" t="str">
        <f>IF(Table1[[#This Row],[Impressions]]&gt;Table1[[#This Row],[Clicks]],"Standard",VLOOKUP(CONCATENATE(bd_adtype,"_",bd_creativetype),tabela,2,FALSE))</f>
        <v>Dynamic Click</v>
      </c>
      <c r="F348" t="str">
        <f t="shared" si="73"/>
        <v>alp_marca_alcance_todos_facebook_social_video-social_social_havaianas-ipe_all_cpm_de-11s-ate-29s_111212</v>
      </c>
      <c r="G348" t="str">
        <f t="shared" si="74"/>
        <v>444990895</v>
      </c>
      <c r="H348" t="str">
        <f t="shared" si="75"/>
        <v>Tracking</v>
      </c>
      <c r="I348">
        <f t="shared" si="76"/>
        <v>1</v>
      </c>
      <c r="J348">
        <f t="shared" si="77"/>
        <v>5</v>
      </c>
      <c r="K348" s="4">
        <f t="shared" si="67"/>
        <v>3.5000000000000001E-3</v>
      </c>
      <c r="L348">
        <f t="shared" si="68"/>
        <v>0.02</v>
      </c>
      <c r="M348" s="4">
        <f t="shared" si="65"/>
        <v>1.7500000000000002E-2</v>
      </c>
      <c r="N348" s="4">
        <f t="shared" si="66"/>
        <v>0.1</v>
      </c>
    </row>
    <row r="349" spans="1:14">
      <c r="A349" t="str">
        <f t="shared" si="69"/>
        <v>alp_marca</v>
      </c>
      <c r="B349" t="str">
        <f t="shared" si="70"/>
        <v>facebook.com.br</v>
      </c>
      <c r="C349" t="str">
        <f t="shared" si="71"/>
        <v>alp_marca_conversao_todos_facebook_social_pagepost_social_sao-joao_all_cpm_1080x1080_111230</v>
      </c>
      <c r="D349" t="str">
        <f t="shared" si="72"/>
        <v>249338383</v>
      </c>
      <c r="E349" t="str">
        <f>IF(Table1[[#This Row],[Impressions]]&gt;Table1[[#This Row],[Clicks]],"Standard",VLOOKUP(CONCATENATE(bd_adtype,"_",bd_creativetype),tabela,2,FALSE))</f>
        <v>Dynamic Click</v>
      </c>
      <c r="F349" t="str">
        <f t="shared" si="73"/>
        <v>alp_marca_conversao_todos_facebook_social_pagepost_social_sao-joao_all_cpm_1080x1080_111230</v>
      </c>
      <c r="G349" t="str">
        <f t="shared" si="74"/>
        <v>445637455</v>
      </c>
      <c r="H349" t="str">
        <f t="shared" si="75"/>
        <v>Tracking</v>
      </c>
      <c r="I349">
        <f t="shared" si="76"/>
        <v>0</v>
      </c>
      <c r="J349">
        <f t="shared" si="77"/>
        <v>13</v>
      </c>
      <c r="K349" s="4">
        <f t="shared" si="67"/>
        <v>3.5000000000000001E-3</v>
      </c>
      <c r="L349">
        <f t="shared" si="68"/>
        <v>0.02</v>
      </c>
      <c r="M349" s="4">
        <f t="shared" si="65"/>
        <v>4.5499999999999999E-2</v>
      </c>
      <c r="N349" s="4">
        <f t="shared" si="66"/>
        <v>0.26</v>
      </c>
    </row>
    <row r="350" spans="1:14">
      <c r="A350" t="str">
        <f t="shared" si="69"/>
        <v>alp_marca</v>
      </c>
      <c r="B350" t="str">
        <f t="shared" si="70"/>
        <v>facebook.com.br</v>
      </c>
      <c r="C350" t="str">
        <f t="shared" si="71"/>
        <v>alp_marca_engajamentos_feminino_facebook_social_dark-post_social_rasteiras_fashion_cpm_1080x1080_111337</v>
      </c>
      <c r="D350" t="str">
        <f t="shared" si="72"/>
        <v>251079884</v>
      </c>
      <c r="E350" t="str">
        <f>IF(Table1[[#This Row],[Impressions]]&gt;Table1[[#This Row],[Clicks]],"Standard",VLOOKUP(CONCATENATE(bd_adtype,"_",bd_creativetype),tabela,2,FALSE))</f>
        <v>Standard</v>
      </c>
      <c r="F350" t="str">
        <f t="shared" si="73"/>
        <v>alp_marca_engajamentos_feminino_facebook_social_dark-post_social_rasteiras_fashion_cpm_1080x1080_111337</v>
      </c>
      <c r="G350" t="str">
        <f t="shared" si="74"/>
        <v>447454932</v>
      </c>
      <c r="H350" t="str">
        <f t="shared" si="75"/>
        <v>Tracking</v>
      </c>
      <c r="I350">
        <f t="shared" si="76"/>
        <v>3662307</v>
      </c>
      <c r="J350">
        <f t="shared" si="77"/>
        <v>143175</v>
      </c>
      <c r="K350" s="4">
        <f t="shared" si="67"/>
        <v>3.8199999999999998E-2</v>
      </c>
      <c r="L350">
        <f t="shared" si="68"/>
        <v>0.09</v>
      </c>
      <c r="M350" s="4">
        <f t="shared" si="65"/>
        <v>139.9001274</v>
      </c>
      <c r="N350" s="4">
        <f t="shared" si="66"/>
        <v>329.60763000000003</v>
      </c>
    </row>
    <row r="351" spans="1:14">
      <c r="A351" t="str">
        <f t="shared" si="69"/>
        <v>alp_marca</v>
      </c>
      <c r="B351" t="str">
        <f t="shared" si="70"/>
        <v>facebook.com.br</v>
      </c>
      <c r="C351" t="str">
        <f t="shared" si="71"/>
        <v>alp_marca_engajamentos_feminino_facebook_social_dark-post_social_rasteiras_fashion_cpm_1200x628_111339</v>
      </c>
      <c r="D351" t="str">
        <f t="shared" si="72"/>
        <v>251373616</v>
      </c>
      <c r="E351" t="str">
        <f>IF(Table1[[#This Row],[Impressions]]&gt;Table1[[#This Row],[Clicks]],"Standard",VLOOKUP(CONCATENATE(bd_adtype,"_",bd_creativetype),tabela,2,FALSE))</f>
        <v>Dynamic Click</v>
      </c>
      <c r="F351" t="str">
        <f t="shared" si="73"/>
        <v>alp_marca_engajamentos_feminino_facebook_social_dark-post_social_rasteiras_fashion_cpm_1200x628_111339</v>
      </c>
      <c r="G351" t="str">
        <f t="shared" si="74"/>
        <v>447455262</v>
      </c>
      <c r="H351" t="str">
        <f t="shared" si="75"/>
        <v>Tracking</v>
      </c>
      <c r="I351">
        <f t="shared" si="76"/>
        <v>0</v>
      </c>
      <c r="J351">
        <f t="shared" si="77"/>
        <v>1</v>
      </c>
      <c r="K351" s="4">
        <f t="shared" si="67"/>
        <v>3.5000000000000001E-3</v>
      </c>
      <c r="L351">
        <f t="shared" si="68"/>
        <v>0.02</v>
      </c>
      <c r="M351" s="4">
        <f t="shared" si="65"/>
        <v>3.5000000000000001E-3</v>
      </c>
      <c r="N351" s="4">
        <f t="shared" si="66"/>
        <v>0.02</v>
      </c>
    </row>
    <row r="352" spans="1:14">
      <c r="A352" t="str">
        <f t="shared" si="69"/>
        <v>alp_marca</v>
      </c>
      <c r="B352" t="str">
        <f t="shared" si="70"/>
        <v>facebook.com.br</v>
      </c>
      <c r="C352" t="str">
        <f t="shared" si="71"/>
        <v>alp_marca_engajamentos_feminino_facebook_social_dark-post_social_rasteiras_fashion_cpm_500x500_111175</v>
      </c>
      <c r="D352" t="str">
        <f t="shared" si="72"/>
        <v>246346793</v>
      </c>
      <c r="E352" t="str">
        <f>IF(Table1[[#This Row],[Impressions]]&gt;Table1[[#This Row],[Clicks]],"Standard",VLOOKUP(CONCATENATE(bd_adtype,"_",bd_creativetype),tabela,2,FALSE))</f>
        <v>Standard</v>
      </c>
      <c r="F352" t="str">
        <f t="shared" si="73"/>
        <v>alp_marca_engajamentos_feminino_facebook_social_dark-post_social_rasteiras_fashion_cpm_500x500_111175</v>
      </c>
      <c r="G352" t="str">
        <f t="shared" si="74"/>
        <v>443048506</v>
      </c>
      <c r="H352" t="str">
        <f t="shared" si="75"/>
        <v>Tracking</v>
      </c>
      <c r="I352">
        <f t="shared" si="76"/>
        <v>3605598</v>
      </c>
      <c r="J352">
        <f t="shared" si="77"/>
        <v>20000</v>
      </c>
      <c r="K352" s="4">
        <f t="shared" si="67"/>
        <v>3.8199999999999998E-2</v>
      </c>
      <c r="L352">
        <f t="shared" si="68"/>
        <v>0.09</v>
      </c>
      <c r="M352" s="4">
        <f t="shared" si="65"/>
        <v>137.7338436</v>
      </c>
      <c r="N352" s="4">
        <f t="shared" si="66"/>
        <v>324.50382000000002</v>
      </c>
    </row>
    <row r="353" spans="1:14">
      <c r="A353" t="str">
        <f t="shared" si="69"/>
        <v>alp_marca</v>
      </c>
      <c r="B353" t="str">
        <f t="shared" si="70"/>
        <v>facebook.com.br</v>
      </c>
      <c r="C353" t="str">
        <f t="shared" si="71"/>
        <v>alp_marca_engajamentos_feminino_facebook_social_dark-post_social_rasteiras_fashion_cpm_500x500_111338</v>
      </c>
      <c r="D353" t="str">
        <f t="shared" si="72"/>
        <v>251375338</v>
      </c>
      <c r="E353" t="str">
        <f>IF(Table1[[#This Row],[Impressions]]&gt;Table1[[#This Row],[Clicks]],"Standard",VLOOKUP(CONCATENATE(bd_adtype,"_",bd_creativetype),tabela,2,FALSE))</f>
        <v>Dynamic Click</v>
      </c>
      <c r="F353" t="str">
        <f t="shared" si="73"/>
        <v>alp_marca_engajamentos_feminino_facebook_social_dark-post_social_rasteiras_fashion_cpm_500x500_111338</v>
      </c>
      <c r="G353" t="str">
        <f t="shared" si="74"/>
        <v>447586543</v>
      </c>
      <c r="H353" t="str">
        <f t="shared" si="75"/>
        <v>Tracking</v>
      </c>
      <c r="I353">
        <f t="shared" si="76"/>
        <v>0</v>
      </c>
      <c r="J353">
        <f t="shared" si="77"/>
        <v>1</v>
      </c>
      <c r="K353" s="4">
        <f t="shared" si="67"/>
        <v>3.5000000000000001E-3</v>
      </c>
      <c r="L353">
        <f t="shared" si="68"/>
        <v>0.02</v>
      </c>
      <c r="M353" s="4">
        <f t="shared" si="65"/>
        <v>3.5000000000000001E-3</v>
      </c>
      <c r="N353" s="4">
        <f t="shared" si="66"/>
        <v>0.02</v>
      </c>
    </row>
    <row r="354" spans="1:14">
      <c r="A354" t="str">
        <f t="shared" si="69"/>
        <v>alp_marca</v>
      </c>
      <c r="B354" t="str">
        <f t="shared" si="70"/>
        <v>facebook.com.br</v>
      </c>
      <c r="C354" t="str">
        <f t="shared" si="71"/>
        <v>alp_marca_engajamentos_feminino_facebook_social_dark-post_social_rasteiras_funcional_cpm_1080x1080_111334</v>
      </c>
      <c r="D354" t="str">
        <f t="shared" si="72"/>
        <v>251079740</v>
      </c>
      <c r="E354" t="str">
        <f>IF(Table1[[#This Row],[Impressions]]&gt;Table1[[#This Row],[Clicks]],"Standard",VLOOKUP(CONCATENATE(bd_adtype,"_",bd_creativetype),tabela,2,FALSE))</f>
        <v>Dynamic Click</v>
      </c>
      <c r="F354" t="str">
        <f t="shared" si="73"/>
        <v>alp_marca_engajamentos_feminino_facebook_social_dark-post_social_rasteiras_funcional_cpm_1080x1080_111334</v>
      </c>
      <c r="G354" t="str">
        <f t="shared" si="74"/>
        <v>447455193</v>
      </c>
      <c r="H354" t="str">
        <f t="shared" si="75"/>
        <v>Tracking</v>
      </c>
      <c r="I354">
        <f t="shared" si="76"/>
        <v>769</v>
      </c>
      <c r="J354">
        <f t="shared" si="77"/>
        <v>96466</v>
      </c>
      <c r="K354" s="4">
        <f t="shared" si="67"/>
        <v>3.5000000000000001E-3</v>
      </c>
      <c r="L354">
        <f t="shared" si="68"/>
        <v>0.02</v>
      </c>
      <c r="M354" s="4">
        <f t="shared" si="65"/>
        <v>337.63100000000003</v>
      </c>
      <c r="N354" s="4">
        <f t="shared" si="66"/>
        <v>1929.32</v>
      </c>
    </row>
    <row r="355" spans="1:14">
      <c r="A355" t="str">
        <f t="shared" si="69"/>
        <v>alp_marca</v>
      </c>
      <c r="B355" t="str">
        <f t="shared" si="70"/>
        <v>facebook.com.br</v>
      </c>
      <c r="C355" t="str">
        <f t="shared" si="71"/>
        <v>alp_marca_engajamentos_feminino_facebook_social_dark-post_social_rasteiras_funcional_cpm_1200x628_111336</v>
      </c>
      <c r="D355" t="str">
        <f t="shared" si="72"/>
        <v>251476689</v>
      </c>
      <c r="E355" t="str">
        <f>IF(Table1[[#This Row],[Impressions]]&gt;Table1[[#This Row],[Clicks]],"Standard",VLOOKUP(CONCATENATE(bd_adtype,"_",bd_creativetype),tabela,2,FALSE))</f>
        <v>Dynamic Click</v>
      </c>
      <c r="F355" t="str">
        <f t="shared" si="73"/>
        <v>alp_marca_engajamentos_feminino_facebook_social_dark-post_social_rasteiras_funcional_cpm_1200x628_111336</v>
      </c>
      <c r="G355" t="str">
        <f t="shared" si="74"/>
        <v>447504758</v>
      </c>
      <c r="H355" t="str">
        <f t="shared" si="75"/>
        <v>Tracking</v>
      </c>
      <c r="I355">
        <f t="shared" si="76"/>
        <v>0</v>
      </c>
      <c r="J355">
        <f t="shared" si="77"/>
        <v>2</v>
      </c>
      <c r="K355" s="4">
        <f t="shared" si="67"/>
        <v>3.5000000000000001E-3</v>
      </c>
      <c r="L355">
        <f t="shared" si="68"/>
        <v>0.02</v>
      </c>
      <c r="M355" s="4">
        <f t="shared" ref="M355:M417" si="78">IF(E355="Dynamic Click",J355*K355,K355*$I355/1000)</f>
        <v>7.0000000000000001E-3</v>
      </c>
      <c r="N355" s="4">
        <f t="shared" ref="N355:N417" si="79">IF(E355="Dynamic Click",J355*L355,L355*$I355/1000)</f>
        <v>0.04</v>
      </c>
    </row>
    <row r="356" spans="1:14">
      <c r="A356" t="str">
        <f t="shared" si="69"/>
        <v>alp_marca</v>
      </c>
      <c r="B356" t="str">
        <f t="shared" si="70"/>
        <v>facebook.com.br</v>
      </c>
      <c r="C356" t="str">
        <f t="shared" si="71"/>
        <v>alp_marca_engajamentos_feminino_facebook_social_dark-post_social_rasteiras_funcional_cpm_500x500_111173</v>
      </c>
      <c r="D356" t="str">
        <f t="shared" si="72"/>
        <v>246698184</v>
      </c>
      <c r="E356" t="str">
        <f>IF(Table1[[#This Row],[Impressions]]&gt;Table1[[#This Row],[Clicks]],"Standard",VLOOKUP(CONCATENATE(bd_adtype,"_",bd_creativetype),tabela,2,FALSE))</f>
        <v>Standard</v>
      </c>
      <c r="F356" t="str">
        <f t="shared" si="73"/>
        <v>alp_marca_engajamentos_feminino_facebook_social_dark-post_social_rasteiras_funcional_cpm_500x500_111173</v>
      </c>
      <c r="G356" t="str">
        <f t="shared" si="74"/>
        <v>442925904</v>
      </c>
      <c r="H356" t="str">
        <f t="shared" si="75"/>
        <v>Tracking</v>
      </c>
      <c r="I356">
        <f t="shared" si="76"/>
        <v>2818937</v>
      </c>
      <c r="J356">
        <f t="shared" si="77"/>
        <v>51408</v>
      </c>
      <c r="K356" s="4">
        <f t="shared" si="67"/>
        <v>3.8199999999999998E-2</v>
      </c>
      <c r="L356">
        <f t="shared" si="68"/>
        <v>0.09</v>
      </c>
      <c r="M356" s="4">
        <f t="shared" si="78"/>
        <v>107.6833934</v>
      </c>
      <c r="N356" s="4">
        <f t="shared" si="79"/>
        <v>253.70433</v>
      </c>
    </row>
    <row r="357" spans="1:14">
      <c r="A357" t="str">
        <f t="shared" si="69"/>
        <v>alp_marca</v>
      </c>
      <c r="B357" t="str">
        <f t="shared" si="70"/>
        <v>facebook.com.br</v>
      </c>
      <c r="C357" t="str">
        <f t="shared" si="71"/>
        <v>alp_marca_engajamentos_feminino_facebook_social_dark-post_social_rasteiras_funcional_cpm_500x500_111174</v>
      </c>
      <c r="D357" t="str">
        <f t="shared" si="72"/>
        <v>246344630</v>
      </c>
      <c r="E357" t="str">
        <f>IF(Table1[[#This Row],[Impressions]]&gt;Table1[[#This Row],[Clicks]],"Standard",VLOOKUP(CONCATENATE(bd_adtype,"_",bd_creativetype),tabela,2,FALSE))</f>
        <v>Standard</v>
      </c>
      <c r="F357" t="str">
        <f t="shared" si="73"/>
        <v>alp_marca_engajamentos_feminino_facebook_social_dark-post_social_rasteiras_funcional_cpm_500x500_111174</v>
      </c>
      <c r="G357" t="str">
        <f t="shared" si="74"/>
        <v>443031545</v>
      </c>
      <c r="H357" t="str">
        <f t="shared" si="75"/>
        <v>Tracking</v>
      </c>
      <c r="I357">
        <f t="shared" si="76"/>
        <v>218040</v>
      </c>
      <c r="J357">
        <f t="shared" si="77"/>
        <v>1672</v>
      </c>
      <c r="K357" s="4">
        <f t="shared" si="67"/>
        <v>3.8199999999999998E-2</v>
      </c>
      <c r="L357">
        <f t="shared" si="68"/>
        <v>0.09</v>
      </c>
      <c r="M357" s="4">
        <f t="shared" si="78"/>
        <v>8.329127999999999</v>
      </c>
      <c r="N357" s="4">
        <f t="shared" si="79"/>
        <v>19.6236</v>
      </c>
    </row>
    <row r="358" spans="1:14">
      <c r="A358" t="str">
        <f t="shared" si="69"/>
        <v>alp_marca</v>
      </c>
      <c r="B358" t="str">
        <f t="shared" si="70"/>
        <v>facebook.com.br</v>
      </c>
      <c r="C358" t="str">
        <f t="shared" si="71"/>
        <v>alp_marca_engajamentos_feminino_facebook_social_dark-post_social_rasteiras_funcional_cpm_500x500_111335</v>
      </c>
      <c r="D358" t="str">
        <f t="shared" si="72"/>
        <v>251079758</v>
      </c>
      <c r="E358" t="str">
        <f>IF(Table1[[#This Row],[Impressions]]&gt;Table1[[#This Row],[Clicks]],"Standard",VLOOKUP(CONCATENATE(bd_adtype,"_",bd_creativetype),tabela,2,FALSE))</f>
        <v>Dynamic Click</v>
      </c>
      <c r="F358" t="str">
        <f t="shared" si="73"/>
        <v>alp_marca_engajamentos_feminino_facebook_social_dark-post_social_rasteiras_funcional_cpm_500x500_111335</v>
      </c>
      <c r="G358" t="str">
        <f t="shared" si="74"/>
        <v>447455613</v>
      </c>
      <c r="H358" t="str">
        <f t="shared" si="75"/>
        <v>Tracking</v>
      </c>
      <c r="I358">
        <f t="shared" si="76"/>
        <v>0</v>
      </c>
      <c r="J358">
        <f t="shared" si="77"/>
        <v>1</v>
      </c>
      <c r="K358" s="4">
        <f t="shared" si="67"/>
        <v>3.5000000000000001E-3</v>
      </c>
      <c r="L358">
        <f t="shared" si="68"/>
        <v>0.02</v>
      </c>
      <c r="M358" s="4">
        <f t="shared" si="78"/>
        <v>3.5000000000000001E-3</v>
      </c>
      <c r="N358" s="4">
        <f t="shared" si="79"/>
        <v>0.02</v>
      </c>
    </row>
    <row r="359" spans="1:14">
      <c r="A359" t="str">
        <f t="shared" si="69"/>
        <v>alp_marca</v>
      </c>
      <c r="B359" t="str">
        <f t="shared" si="70"/>
        <v>facebook.com.br</v>
      </c>
      <c r="C359" t="str">
        <f t="shared" si="71"/>
        <v>alp_marca_engajamentos_feminino_facebook_social_dark-post_social_rasteiras_style_cpm_500x500_111176</v>
      </c>
      <c r="D359" t="str">
        <f t="shared" si="72"/>
        <v>246588286</v>
      </c>
      <c r="E359" t="str">
        <f>IF(Table1[[#This Row],[Impressions]]&gt;Table1[[#This Row],[Clicks]],"Standard",VLOOKUP(CONCATENATE(bd_adtype,"_",bd_creativetype),tabela,2,FALSE))</f>
        <v>Standard</v>
      </c>
      <c r="F359" t="str">
        <f t="shared" si="73"/>
        <v>alp_marca_engajamentos_feminino_facebook_social_dark-post_social_rasteiras_style_cpm_500x500_111176</v>
      </c>
      <c r="G359" t="str">
        <f t="shared" si="74"/>
        <v>442981506</v>
      </c>
      <c r="H359" t="str">
        <f t="shared" si="75"/>
        <v>Tracking</v>
      </c>
      <c r="I359">
        <f t="shared" si="76"/>
        <v>5168685</v>
      </c>
      <c r="J359">
        <f t="shared" si="77"/>
        <v>35582</v>
      </c>
      <c r="K359" s="4">
        <f t="shared" si="67"/>
        <v>3.8199999999999998E-2</v>
      </c>
      <c r="L359">
        <f t="shared" si="68"/>
        <v>0.09</v>
      </c>
      <c r="M359" s="4">
        <f t="shared" si="78"/>
        <v>197.44376699999998</v>
      </c>
      <c r="N359" s="4">
        <f t="shared" si="79"/>
        <v>465.18164999999999</v>
      </c>
    </row>
    <row r="360" spans="1:14">
      <c r="A360" t="str">
        <f t="shared" si="69"/>
        <v>alp_marca</v>
      </c>
      <c r="B360" t="str">
        <f t="shared" si="70"/>
        <v>facebook.com.br</v>
      </c>
      <c r="C360" t="str">
        <f t="shared" si="71"/>
        <v>alp_marca_engajamentos_feminino_facebook_social_video-social_social_slim-hits_all_cpm_acima-de-30s_111208</v>
      </c>
      <c r="D360" t="str">
        <f t="shared" si="72"/>
        <v>248134070</v>
      </c>
      <c r="E360" t="str">
        <f>IF(Table1[[#This Row],[Impressions]]&gt;Table1[[#This Row],[Clicks]],"Standard",VLOOKUP(CONCATENATE(bd_adtype,"_",bd_creativetype),tabela,2,FALSE))</f>
        <v>Dynamic Click</v>
      </c>
      <c r="F360" t="str">
        <f t="shared" si="73"/>
        <v>alp_marca_engajamentos_feminino_facebook_social_video-social_social_slim-hits_all_cpm_acima-de-30s_111208</v>
      </c>
      <c r="G360" t="str">
        <f t="shared" si="74"/>
        <v>444678949</v>
      </c>
      <c r="H360" t="str">
        <f t="shared" si="75"/>
        <v>Tracking</v>
      </c>
      <c r="I360">
        <f t="shared" si="76"/>
        <v>0</v>
      </c>
      <c r="J360">
        <f t="shared" si="77"/>
        <v>81</v>
      </c>
      <c r="K360" s="4">
        <f t="shared" si="67"/>
        <v>3.5000000000000001E-3</v>
      </c>
      <c r="L360">
        <f t="shared" si="68"/>
        <v>0.02</v>
      </c>
      <c r="M360" s="4">
        <f t="shared" si="78"/>
        <v>0.28350000000000003</v>
      </c>
      <c r="N360" s="4">
        <f t="shared" si="79"/>
        <v>1.62</v>
      </c>
    </row>
    <row r="361" spans="1:14">
      <c r="A361" t="str">
        <f t="shared" si="69"/>
        <v>alp_marca</v>
      </c>
      <c r="B361" t="str">
        <f t="shared" si="70"/>
        <v>facebook.com.br</v>
      </c>
      <c r="C361" t="str">
        <f t="shared" si="71"/>
        <v>alp_marca_engajamentos_masculino_facebook_social_dark-post_social_harry-potter_licenciados_cpm_500x500_111187</v>
      </c>
      <c r="D361" t="str">
        <f t="shared" si="72"/>
        <v>246959855</v>
      </c>
      <c r="E361" t="str">
        <f>IF(Table1[[#This Row],[Impressions]]&gt;Table1[[#This Row],[Clicks]],"Standard",VLOOKUP(CONCATENATE(bd_adtype,"_",bd_creativetype),tabela,2,FALSE))</f>
        <v>Dynamic Click</v>
      </c>
      <c r="F361" t="str">
        <f t="shared" si="73"/>
        <v>alp_marca_engajamentos_masculino_facebook_social_dark-post_social_harry-potter_licenciados_cpm_500x500_111187</v>
      </c>
      <c r="G361" t="str">
        <f t="shared" si="74"/>
        <v>443465076</v>
      </c>
      <c r="H361" t="str">
        <f t="shared" si="75"/>
        <v>Tracking</v>
      </c>
      <c r="I361">
        <f t="shared" si="76"/>
        <v>1878</v>
      </c>
      <c r="J361">
        <f t="shared" si="77"/>
        <v>34665</v>
      </c>
      <c r="K361" s="4">
        <f t="shared" si="67"/>
        <v>3.5000000000000001E-3</v>
      </c>
      <c r="L361">
        <f t="shared" si="68"/>
        <v>0.02</v>
      </c>
      <c r="M361" s="4">
        <f t="shared" si="78"/>
        <v>121.3275</v>
      </c>
      <c r="N361" s="4">
        <f t="shared" si="79"/>
        <v>693.30000000000007</v>
      </c>
    </row>
    <row r="362" spans="1:14">
      <c r="A362" t="str">
        <f t="shared" si="69"/>
        <v>alp_marca</v>
      </c>
      <c r="B362" t="str">
        <f t="shared" si="70"/>
        <v>facebook.com.br</v>
      </c>
      <c r="C362" t="str">
        <f t="shared" si="71"/>
        <v>alp_marca_engajamentos_masculino_facebook_social_dark-post_social_havaianas-top-max_automoveis_cpm_500x500_111189</v>
      </c>
      <c r="D362" t="str">
        <f t="shared" si="72"/>
        <v>246959849</v>
      </c>
      <c r="E362" t="str">
        <f>IF(Table1[[#This Row],[Impressions]]&gt;Table1[[#This Row],[Clicks]],"Standard",VLOOKUP(CONCATENATE(bd_adtype,"_",bd_creativetype),tabela,2,FALSE))</f>
        <v>Dynamic Click</v>
      </c>
      <c r="F362" t="str">
        <f t="shared" si="73"/>
        <v>alp_marca_engajamentos_masculino_facebook_social_dark-post_social_havaianas-top-max_automoveis_cpm_500x500_111189</v>
      </c>
      <c r="G362" t="str">
        <f t="shared" si="74"/>
        <v>443465070</v>
      </c>
      <c r="H362" t="str">
        <f t="shared" si="75"/>
        <v>Tracking</v>
      </c>
      <c r="I362">
        <f t="shared" si="76"/>
        <v>239</v>
      </c>
      <c r="J362">
        <f t="shared" si="77"/>
        <v>2699</v>
      </c>
      <c r="K362" s="4">
        <f t="shared" si="67"/>
        <v>3.5000000000000001E-3</v>
      </c>
      <c r="L362">
        <f t="shared" si="68"/>
        <v>0.02</v>
      </c>
      <c r="M362" s="4">
        <f t="shared" si="78"/>
        <v>9.4465000000000003</v>
      </c>
      <c r="N362" s="4">
        <f t="shared" si="79"/>
        <v>53.980000000000004</v>
      </c>
    </row>
    <row r="363" spans="1:14">
      <c r="A363" t="str">
        <f t="shared" si="69"/>
        <v>alp_marca</v>
      </c>
      <c r="B363" t="str">
        <f t="shared" si="70"/>
        <v>facebook.com.br</v>
      </c>
      <c r="C363" t="str">
        <f t="shared" si="71"/>
        <v>alp_marca_engajamentos_masculino_facebook_social_dark-post_social_havaianas-urban_moda_cpm_1080x1080_111248-joao_all_cpm_de-5s-ate-10s_111247</v>
      </c>
      <c r="D363" t="str">
        <f t="shared" si="72"/>
        <v>249586960</v>
      </c>
      <c r="E363" t="str">
        <f>IF(Table1[[#This Row],[Impressions]]&gt;Table1[[#This Row],[Clicks]],"Standard",VLOOKUP(CONCATENATE(bd_adtype,"_",bd_creativetype),tabela,2,FALSE))</f>
        <v>Dynamic Click</v>
      </c>
      <c r="F363" t="str">
        <f t="shared" si="73"/>
        <v>alp_marca_engajamentos_masculino_facebook_social_dark-post_social_havaianas-urban_moda_cpm_1080x1080_111248</v>
      </c>
      <c r="G363" t="str">
        <f t="shared" si="74"/>
        <v>445854028</v>
      </c>
      <c r="H363" t="str">
        <f t="shared" si="75"/>
        <v>Tracking</v>
      </c>
      <c r="I363">
        <f t="shared" si="76"/>
        <v>1891</v>
      </c>
      <c r="J363">
        <f t="shared" si="77"/>
        <v>33866</v>
      </c>
      <c r="K363" s="4">
        <f t="shared" si="67"/>
        <v>3.5000000000000001E-3</v>
      </c>
      <c r="L363">
        <f t="shared" si="68"/>
        <v>0.02</v>
      </c>
      <c r="M363" s="4">
        <f t="shared" si="78"/>
        <v>118.53100000000001</v>
      </c>
      <c r="N363" s="4">
        <f t="shared" si="79"/>
        <v>677.32</v>
      </c>
    </row>
    <row r="364" spans="1:14">
      <c r="A364" t="str">
        <f t="shared" si="69"/>
        <v>alp_marca</v>
      </c>
      <c r="B364" t="str">
        <f t="shared" si="70"/>
        <v>facebook.com.br</v>
      </c>
      <c r="C364" t="str">
        <f t="shared" si="71"/>
        <v>alp_marca_engajamentos_masculino_facebook_social_dark-post_social_havaianas-urban_moda_cpm_1200x628_111206</v>
      </c>
      <c r="D364" t="str">
        <f t="shared" si="72"/>
        <v>248168370</v>
      </c>
      <c r="E364" t="str">
        <f>IF(Table1[[#This Row],[Impressions]]&gt;Table1[[#This Row],[Clicks]],"Standard",VLOOKUP(CONCATENATE(bd_adtype,"_",bd_creativetype),tabela,2,FALSE))</f>
        <v>Dynamic Click</v>
      </c>
      <c r="F364" t="str">
        <f t="shared" si="73"/>
        <v>alp_marca_engajamentos_masculino_facebook_social_dark-post_social_havaianas-urban_moda_cpm_1200x628_111206</v>
      </c>
      <c r="G364" t="str">
        <f t="shared" si="74"/>
        <v>444396418</v>
      </c>
      <c r="H364" t="str">
        <f t="shared" si="75"/>
        <v>Tracking</v>
      </c>
      <c r="I364">
        <f t="shared" si="76"/>
        <v>0</v>
      </c>
      <c r="J364">
        <f t="shared" si="77"/>
        <v>2</v>
      </c>
      <c r="K364" s="4">
        <f t="shared" ref="K364:K427" si="80">IF(LEFT(B364,3)="DBM",0,VLOOKUP(E364,tabela,2,FALSE))</f>
        <v>3.5000000000000001E-3</v>
      </c>
      <c r="L364">
        <f t="shared" ref="L364:L427" si="81">VLOOKUP(E364,tabela,3,FALSE)</f>
        <v>0.02</v>
      </c>
      <c r="M364" s="4">
        <f t="shared" si="78"/>
        <v>7.0000000000000001E-3</v>
      </c>
      <c r="N364" s="4">
        <f t="shared" si="79"/>
        <v>0.04</v>
      </c>
    </row>
    <row r="365" spans="1:14">
      <c r="A365" t="str">
        <f t="shared" si="69"/>
        <v>alp_marca</v>
      </c>
      <c r="B365" t="str">
        <f t="shared" si="70"/>
        <v>facebook.com.br</v>
      </c>
      <c r="C365" t="str">
        <f t="shared" si="71"/>
        <v>alp_marca_engajamentos_masculino_facebook_social_dark-post_social_hype_sports_cpm_1080x1080_111348</v>
      </c>
      <c r="D365" t="str">
        <f t="shared" si="72"/>
        <v>251697559</v>
      </c>
      <c r="E365" t="str">
        <f>IF(Table1[[#This Row],[Impressions]]&gt;Table1[[#This Row],[Clicks]],"Standard",VLOOKUP(CONCATENATE(bd_adtype,"_",bd_creativetype),tabela,2,FALSE))</f>
        <v>Standard</v>
      </c>
      <c r="F365" t="str">
        <f t="shared" si="73"/>
        <v>alp_marca_engajamentos_masculino_facebook_social_dark-post_social_hype_sports_cpm_1080x1080_111348</v>
      </c>
      <c r="G365" t="str">
        <f t="shared" si="74"/>
        <v>447872983</v>
      </c>
      <c r="H365" t="str">
        <f t="shared" si="75"/>
        <v>Tracking</v>
      </c>
      <c r="I365">
        <f t="shared" si="76"/>
        <v>2794963</v>
      </c>
      <c r="J365">
        <f t="shared" si="77"/>
        <v>19233</v>
      </c>
      <c r="K365" s="4">
        <f t="shared" si="80"/>
        <v>3.8199999999999998E-2</v>
      </c>
      <c r="L365">
        <f t="shared" si="81"/>
        <v>0.09</v>
      </c>
      <c r="M365" s="4">
        <f t="shared" si="78"/>
        <v>106.7675866</v>
      </c>
      <c r="N365" s="4">
        <f t="shared" si="79"/>
        <v>251.54666999999998</v>
      </c>
    </row>
    <row r="366" spans="1:14">
      <c r="A366" t="str">
        <f t="shared" si="69"/>
        <v>alp_marca</v>
      </c>
      <c r="B366" t="str">
        <f t="shared" si="70"/>
        <v>facebook.com.br</v>
      </c>
      <c r="C366" t="str">
        <f t="shared" si="71"/>
        <v>alp_marca_engajamentos_masculino_facebook_social_dark-post_social_hype_sports_cpm_500x500_111188</v>
      </c>
      <c r="D366" t="str">
        <f t="shared" si="72"/>
        <v>246959852</v>
      </c>
      <c r="E366" t="str">
        <f>IF(Table1[[#This Row],[Impressions]]&gt;Table1[[#This Row],[Clicks]],"Standard",VLOOKUP(CONCATENATE(bd_adtype,"_",bd_creativetype),tabela,2,FALSE))</f>
        <v>Dynamic Click</v>
      </c>
      <c r="F366" t="str">
        <f t="shared" si="73"/>
        <v>alp_marca_engajamentos_masculino_facebook_social_dark-post_social_hype_sports_cpm_500x500_111188</v>
      </c>
      <c r="G366" t="str">
        <f t="shared" si="74"/>
        <v>443465073</v>
      </c>
      <c r="H366" t="str">
        <f t="shared" si="75"/>
        <v>Tracking</v>
      </c>
      <c r="I366">
        <f t="shared" si="76"/>
        <v>917</v>
      </c>
      <c r="J366">
        <f t="shared" si="77"/>
        <v>13901</v>
      </c>
      <c r="K366" s="4">
        <f t="shared" si="80"/>
        <v>3.5000000000000001E-3</v>
      </c>
      <c r="L366">
        <f t="shared" si="81"/>
        <v>0.02</v>
      </c>
      <c r="M366" s="4">
        <f t="shared" si="78"/>
        <v>48.653500000000001</v>
      </c>
      <c r="N366" s="4">
        <f t="shared" si="79"/>
        <v>278.02</v>
      </c>
    </row>
    <row r="367" spans="1:14">
      <c r="A367" t="str">
        <f t="shared" si="69"/>
        <v>alp_marca</v>
      </c>
      <c r="B367" t="str">
        <f t="shared" si="70"/>
        <v>facebook.com.br</v>
      </c>
      <c r="C367" t="str">
        <f t="shared" si="71"/>
        <v>alp_marca_trafego_todos_facebook_social_pagepost_social_sao-joao_all_cpm_1200x628_111221</v>
      </c>
      <c r="D367" t="str">
        <f t="shared" si="72"/>
        <v>248807285</v>
      </c>
      <c r="E367" t="str">
        <f>IF(Table1[[#This Row],[Impressions]]&gt;Table1[[#This Row],[Clicks]],"Standard",VLOOKUP(CONCATENATE(bd_adtype,"_",bd_creativetype),tabela,2,FALSE))</f>
        <v>Standard</v>
      </c>
      <c r="F367" t="str">
        <f t="shared" si="73"/>
        <v>alp_marca_trafego_todos_facebook_social_pagepost_social_sao-joao_all_cpm_1200x628_111221</v>
      </c>
      <c r="G367" t="str">
        <f t="shared" si="74"/>
        <v>445201299</v>
      </c>
      <c r="H367" t="str">
        <f t="shared" si="75"/>
        <v>Tracking</v>
      </c>
      <c r="I367">
        <f t="shared" si="76"/>
        <v>20</v>
      </c>
      <c r="J367">
        <f t="shared" si="77"/>
        <v>2</v>
      </c>
      <c r="K367" s="4">
        <f t="shared" si="80"/>
        <v>3.8199999999999998E-2</v>
      </c>
      <c r="L367">
        <f t="shared" si="81"/>
        <v>0.09</v>
      </c>
      <c r="M367" s="4">
        <f t="shared" si="78"/>
        <v>7.6400000000000003E-4</v>
      </c>
      <c r="N367" s="4">
        <f t="shared" si="79"/>
        <v>1.7999999999999997E-3</v>
      </c>
    </row>
    <row r="368" spans="1:14">
      <c r="A368" t="str">
        <f t="shared" si="69"/>
        <v>alp_marca</v>
      </c>
      <c r="B368" t="str">
        <f t="shared" si="70"/>
        <v>globoesporte.globo.com</v>
      </c>
      <c r="C368" t="str">
        <f t="shared" si="71"/>
        <v>Disable_alp_marca_engajamentos_masculino_globo-esporte_display_billboard_ros_hype_all_cpm_970x250_111348</v>
      </c>
      <c r="D368" t="str">
        <f t="shared" si="72"/>
        <v>252148830</v>
      </c>
      <c r="E368" t="str">
        <f>IF(Table1[[#This Row],[Impressions]]&gt;Table1[[#This Row],[Clicks]],"Standard",VLOOKUP(CONCATENATE(bd_adtype,"_",bd_creativetype),tabela,2,FALSE))</f>
        <v>Dynamic Click</v>
      </c>
      <c r="F368" t="str">
        <f t="shared" si="73"/>
        <v>alp_marca_engajamentos_masculino_globo-esporte_display_billboard_ros_hype_all_cpm_970x250_111348</v>
      </c>
      <c r="G368" t="str">
        <f t="shared" si="74"/>
        <v>448143782</v>
      </c>
      <c r="H368" t="str">
        <f t="shared" si="75"/>
        <v>Tracking</v>
      </c>
      <c r="I368">
        <f t="shared" si="76"/>
        <v>0</v>
      </c>
      <c r="J368">
        <f t="shared" si="77"/>
        <v>1</v>
      </c>
      <c r="K368" s="4">
        <f t="shared" si="80"/>
        <v>3.5000000000000001E-3</v>
      </c>
      <c r="L368">
        <f t="shared" si="81"/>
        <v>0.02</v>
      </c>
      <c r="M368" s="4">
        <f t="shared" si="78"/>
        <v>3.5000000000000001E-3</v>
      </c>
      <c r="N368" s="4">
        <f t="shared" si="79"/>
        <v>0.02</v>
      </c>
    </row>
    <row r="369" spans="1:14">
      <c r="A369" t="str">
        <f t="shared" si="69"/>
        <v>alp_marca</v>
      </c>
      <c r="B369" t="str">
        <f t="shared" si="70"/>
        <v>globoesporte.globo.com</v>
      </c>
      <c r="C369" t="str">
        <f t="shared" si="71"/>
        <v>Disable_alp_marca_engajamentos_masculino_globo-esporte_display_maxiboard_ros_hype_all_cpm_970x150_111348</v>
      </c>
      <c r="D369" t="str">
        <f t="shared" si="72"/>
        <v>252150357</v>
      </c>
      <c r="E369" t="str">
        <f>IF(Table1[[#This Row],[Impressions]]&gt;Table1[[#This Row],[Clicks]],"Standard",VLOOKUP(CONCATENATE(bd_adtype,"_",bd_creativetype),tabela,2,FALSE))</f>
        <v>Dynamic Click</v>
      </c>
      <c r="F369" t="str">
        <f t="shared" si="73"/>
        <v>alp_marca_engajamentos_masculino_globo-esporte_display_maxiboard_ros_hype_all_cpm_970x150_111348</v>
      </c>
      <c r="G369" t="str">
        <f t="shared" si="74"/>
        <v>448145243</v>
      </c>
      <c r="H369" t="str">
        <f t="shared" si="75"/>
        <v>Tracking</v>
      </c>
      <c r="I369">
        <f t="shared" si="76"/>
        <v>0</v>
      </c>
      <c r="J369">
        <f t="shared" si="77"/>
        <v>1</v>
      </c>
      <c r="K369" s="4">
        <f t="shared" si="80"/>
        <v>3.5000000000000001E-3</v>
      </c>
      <c r="L369">
        <f t="shared" si="81"/>
        <v>0.02</v>
      </c>
      <c r="M369" s="4">
        <f t="shared" si="78"/>
        <v>3.5000000000000001E-3</v>
      </c>
      <c r="N369" s="4">
        <f t="shared" si="79"/>
        <v>0.02</v>
      </c>
    </row>
    <row r="370" spans="1:14">
      <c r="A370" t="str">
        <f t="shared" si="69"/>
        <v>alp_marca</v>
      </c>
      <c r="B370" t="str">
        <f t="shared" si="70"/>
        <v>globoesporte.globo.com</v>
      </c>
      <c r="C370" t="str">
        <f t="shared" si="71"/>
        <v>Disable_alp_marca_engajamentos_masculino_globo-esporte_display_retangulo_ros_hype_all_cpm_300x250_111348</v>
      </c>
      <c r="D370" t="str">
        <f t="shared" si="72"/>
        <v>252088453</v>
      </c>
      <c r="E370" t="str">
        <f>IF(Table1[[#This Row],[Impressions]]&gt;Table1[[#This Row],[Clicks]],"Standard",VLOOKUP(CONCATENATE(bd_adtype,"_",bd_creativetype),tabela,2,FALSE))</f>
        <v>Dynamic Click</v>
      </c>
      <c r="F370" t="str">
        <f t="shared" si="73"/>
        <v>alp_marca_engajamentos_masculino_globo-esporte_display_retangulo_ros_hype_all_cpm_300x250_111348</v>
      </c>
      <c r="G370" t="str">
        <f t="shared" si="74"/>
        <v>448144328</v>
      </c>
      <c r="H370" t="str">
        <f t="shared" si="75"/>
        <v>Tracking</v>
      </c>
      <c r="I370">
        <f t="shared" si="76"/>
        <v>0</v>
      </c>
      <c r="J370">
        <f t="shared" si="77"/>
        <v>1</v>
      </c>
      <c r="K370" s="4">
        <f t="shared" si="80"/>
        <v>3.5000000000000001E-3</v>
      </c>
      <c r="L370">
        <f t="shared" si="81"/>
        <v>0.02</v>
      </c>
      <c r="M370" s="4">
        <f t="shared" si="78"/>
        <v>3.5000000000000001E-3</v>
      </c>
      <c r="N370" s="4">
        <f t="shared" si="79"/>
        <v>0.02</v>
      </c>
    </row>
    <row r="371" spans="1:14">
      <c r="A371" t="str">
        <f t="shared" si="69"/>
        <v>alp_marca</v>
      </c>
      <c r="B371" t="str">
        <f t="shared" si="70"/>
        <v>globoesporte.globo.com</v>
      </c>
      <c r="C371" t="str">
        <f t="shared" si="71"/>
        <v>alp_marca_engajamentos_masculino_globo-esporte_display_billboard_ros_hype_all_cpm_970x250_111184</v>
      </c>
      <c r="D371" t="str">
        <f t="shared" si="72"/>
        <v>246923194</v>
      </c>
      <c r="E371" t="str">
        <f>IF(Table1[[#This Row],[Impressions]]&gt;Table1[[#This Row],[Clicks]],"Standard",VLOOKUP(CONCATENATE(bd_adtype,"_",bd_creativetype),tabela,2,FALSE))</f>
        <v>Standard</v>
      </c>
      <c r="F371" t="str">
        <f t="shared" si="73"/>
        <v>1x1 Default Web Ad</v>
      </c>
      <c r="G371" t="str">
        <f t="shared" si="74"/>
        <v>438503523</v>
      </c>
      <c r="H371" t="str">
        <f t="shared" si="75"/>
        <v>Display</v>
      </c>
      <c r="I371">
        <f t="shared" si="76"/>
        <v>1</v>
      </c>
      <c r="J371">
        <f t="shared" si="77"/>
        <v>0</v>
      </c>
      <c r="K371" s="4">
        <f t="shared" si="80"/>
        <v>3.8199999999999998E-2</v>
      </c>
      <c r="L371">
        <f t="shared" si="81"/>
        <v>0.09</v>
      </c>
      <c r="M371" s="4">
        <f t="shared" si="78"/>
        <v>3.82E-5</v>
      </c>
      <c r="N371" s="4">
        <f t="shared" si="79"/>
        <v>8.9999999999999992E-5</v>
      </c>
    </row>
    <row r="372" spans="1:14">
      <c r="A372" t="str">
        <f t="shared" si="69"/>
        <v>alp_marca</v>
      </c>
      <c r="B372" t="str">
        <f t="shared" si="70"/>
        <v>globoesporte.globo.com</v>
      </c>
      <c r="C372" t="str">
        <f t="shared" si="71"/>
        <v>alp_marca_engajamentos_masculino_globo-esporte_display_billboard_ros_hype_all_cpm_970x250_111184</v>
      </c>
      <c r="D372" t="str">
        <f t="shared" si="72"/>
        <v>246923194</v>
      </c>
      <c r="E372" t="str">
        <f>IF(Table1[[#This Row],[Impressions]]&gt;Table1[[#This Row],[Clicks]],"Standard",VLOOKUP(CONCATENATE(bd_adtype,"_",bd_creativetype),tabela,2,FALSE))</f>
        <v>Standard</v>
      </c>
      <c r="F372" t="str">
        <f t="shared" si="73"/>
        <v>alp_marca_engajamentos_masculino_globo-esporte_display_billboard_ros_hype_all_cpm_970x250_111184</v>
      </c>
      <c r="G372" t="str">
        <f t="shared" si="74"/>
        <v>443284830</v>
      </c>
      <c r="H372" t="str">
        <f t="shared" si="75"/>
        <v>Tracking</v>
      </c>
      <c r="I372">
        <f t="shared" si="76"/>
        <v>74681</v>
      </c>
      <c r="J372">
        <f t="shared" si="77"/>
        <v>40</v>
      </c>
      <c r="K372" s="4">
        <f t="shared" si="80"/>
        <v>3.8199999999999998E-2</v>
      </c>
      <c r="L372">
        <f t="shared" si="81"/>
        <v>0.09</v>
      </c>
      <c r="M372" s="4">
        <f t="shared" si="78"/>
        <v>2.8528141999999996</v>
      </c>
      <c r="N372" s="4">
        <f t="shared" si="79"/>
        <v>6.7212899999999998</v>
      </c>
    </row>
    <row r="373" spans="1:14">
      <c r="A373" t="str">
        <f t="shared" si="69"/>
        <v>alp_marca</v>
      </c>
      <c r="B373" t="str">
        <f t="shared" si="70"/>
        <v>globoesporte.globo.com</v>
      </c>
      <c r="C373" t="str">
        <f t="shared" si="71"/>
        <v>alp_marca_engajamentos_masculino_globo-esporte_display_billboard_ros_hype_all_cpm_970x250_111348</v>
      </c>
      <c r="D373" t="str">
        <f t="shared" si="72"/>
        <v>252119284</v>
      </c>
      <c r="E373" t="str">
        <f>IF(Table1[[#This Row],[Impressions]]&gt;Table1[[#This Row],[Clicks]],"Standard",VLOOKUP(CONCATENATE(bd_adtype,"_",bd_creativetype),tabela,2,FALSE))</f>
        <v>Standard</v>
      </c>
      <c r="F373" t="str">
        <f t="shared" si="73"/>
        <v>alp_marca_engajamentos_masculino_globo-esporte_display_billboard_ros_hype_all_cpm_970x250_111348</v>
      </c>
      <c r="G373" t="str">
        <f t="shared" si="74"/>
        <v>448246708</v>
      </c>
      <c r="H373" t="str">
        <f t="shared" si="75"/>
        <v>Display</v>
      </c>
      <c r="I373">
        <f t="shared" si="76"/>
        <v>1143</v>
      </c>
      <c r="J373">
        <f t="shared" si="77"/>
        <v>2</v>
      </c>
      <c r="K373" s="4">
        <f t="shared" si="80"/>
        <v>3.8199999999999998E-2</v>
      </c>
      <c r="L373">
        <f t="shared" si="81"/>
        <v>0.09</v>
      </c>
      <c r="M373" s="4">
        <f t="shared" si="78"/>
        <v>4.3662599999999996E-2</v>
      </c>
      <c r="N373" s="4">
        <f t="shared" si="79"/>
        <v>0.10286999999999999</v>
      </c>
    </row>
    <row r="374" spans="1:14">
      <c r="A374" t="str">
        <f t="shared" si="69"/>
        <v>alp_marca</v>
      </c>
      <c r="B374" t="str">
        <f t="shared" si="70"/>
        <v>globoesporte.globo.com</v>
      </c>
      <c r="C374" t="str">
        <f t="shared" si="71"/>
        <v>alp_marca_engajamentos_masculino_globo-esporte_display_maxiboard_ros_hype_all_cpm_970x150_111185</v>
      </c>
      <c r="D374" t="str">
        <f t="shared" si="72"/>
        <v>247105770</v>
      </c>
      <c r="E374" t="str">
        <f>IF(Table1[[#This Row],[Impressions]]&gt;Table1[[#This Row],[Clicks]],"Standard",VLOOKUP(CONCATENATE(bd_adtype,"_",bd_creativetype),tabela,2,FALSE))</f>
        <v>Standard</v>
      </c>
      <c r="F374" t="str">
        <f t="shared" si="73"/>
        <v>alp_marca_engajamentos_masculino_globo-esporte_display_maxiboard_ros_hype_all_cpm_970x150_111185</v>
      </c>
      <c r="G374" t="str">
        <f t="shared" si="74"/>
        <v>443353328</v>
      </c>
      <c r="H374" t="str">
        <f t="shared" si="75"/>
        <v>Tracking</v>
      </c>
      <c r="I374">
        <f t="shared" si="76"/>
        <v>35747</v>
      </c>
      <c r="J374">
        <f t="shared" si="77"/>
        <v>10</v>
      </c>
      <c r="K374" s="4">
        <f t="shared" si="80"/>
        <v>3.8199999999999998E-2</v>
      </c>
      <c r="L374">
        <f t="shared" si="81"/>
        <v>0.09</v>
      </c>
      <c r="M374" s="4">
        <f t="shared" si="78"/>
        <v>1.3655354</v>
      </c>
      <c r="N374" s="4">
        <f t="shared" si="79"/>
        <v>3.2172299999999998</v>
      </c>
    </row>
    <row r="375" spans="1:14">
      <c r="A375" t="str">
        <f t="shared" si="69"/>
        <v>alp_marca</v>
      </c>
      <c r="B375" t="str">
        <f t="shared" si="70"/>
        <v>globoesporte.globo.com</v>
      </c>
      <c r="C375" t="str">
        <f t="shared" si="71"/>
        <v>alp_marca_engajamentos_masculino_globo-esporte_display_maxiboard_ros_hype_all_cpm_970x150_111348</v>
      </c>
      <c r="D375" t="str">
        <f t="shared" si="72"/>
        <v>252179835</v>
      </c>
      <c r="E375" t="str">
        <f>IF(Table1[[#This Row],[Impressions]]&gt;Table1[[#This Row],[Clicks]],"Standard",VLOOKUP(CONCATENATE(bd_adtype,"_",bd_creativetype),tabela,2,FALSE))</f>
        <v>Standard</v>
      </c>
      <c r="F375" t="str">
        <f t="shared" si="73"/>
        <v>alp_marca_engajamentos_masculino_globo-esporte_display_maxiboard_ros_hype_all_cpm_970x150_111348</v>
      </c>
      <c r="G375" t="str">
        <f t="shared" si="74"/>
        <v>448251334</v>
      </c>
      <c r="H375" t="str">
        <f t="shared" si="75"/>
        <v>Display</v>
      </c>
      <c r="I375">
        <f t="shared" si="76"/>
        <v>1698</v>
      </c>
      <c r="J375">
        <f t="shared" si="77"/>
        <v>4</v>
      </c>
      <c r="K375" s="4">
        <f t="shared" si="80"/>
        <v>3.8199999999999998E-2</v>
      </c>
      <c r="L375">
        <f t="shared" si="81"/>
        <v>0.09</v>
      </c>
      <c r="M375" s="4">
        <f t="shared" si="78"/>
        <v>6.4863599999999993E-2</v>
      </c>
      <c r="N375" s="4">
        <f t="shared" si="79"/>
        <v>0.15281999999999998</v>
      </c>
    </row>
    <row r="376" spans="1:14">
      <c r="A376" t="str">
        <f t="shared" si="69"/>
        <v>alp_marca</v>
      </c>
      <c r="B376" t="str">
        <f t="shared" si="70"/>
        <v>globoesporte.globo.com</v>
      </c>
      <c r="C376" t="str">
        <f t="shared" si="71"/>
        <v>alp_marca_engajamentos_masculino_globo-esporte_display_retangulo_ros_hype_all_cpm_300x250_111183</v>
      </c>
      <c r="D376" t="str">
        <f t="shared" si="72"/>
        <v>247101153</v>
      </c>
      <c r="E376" t="str">
        <f>IF(Table1[[#This Row],[Impressions]]&gt;Table1[[#This Row],[Clicks]],"Standard",VLOOKUP(CONCATENATE(bd_adtype,"_",bd_creativetype),tabela,2,FALSE))</f>
        <v>Standard</v>
      </c>
      <c r="F376" t="str">
        <f t="shared" si="73"/>
        <v>alp_marca_engajamentos_masculino_globo-esporte_display_retangulo_ros_hype_all_cpm_300x250_111183</v>
      </c>
      <c r="G376" t="str">
        <f t="shared" si="74"/>
        <v>443416780</v>
      </c>
      <c r="H376" t="str">
        <f t="shared" si="75"/>
        <v>Tracking</v>
      </c>
      <c r="I376">
        <f t="shared" si="76"/>
        <v>4187791</v>
      </c>
      <c r="J376">
        <f t="shared" si="77"/>
        <v>12476</v>
      </c>
      <c r="K376" s="4">
        <f t="shared" si="80"/>
        <v>3.8199999999999998E-2</v>
      </c>
      <c r="L376">
        <f t="shared" si="81"/>
        <v>0.09</v>
      </c>
      <c r="M376" s="4">
        <f t="shared" si="78"/>
        <v>159.97361619999998</v>
      </c>
      <c r="N376" s="4">
        <f t="shared" si="79"/>
        <v>376.90118999999999</v>
      </c>
    </row>
    <row r="377" spans="1:14">
      <c r="A377" t="str">
        <f t="shared" si="69"/>
        <v>alp_marca</v>
      </c>
      <c r="B377" t="str">
        <f t="shared" si="70"/>
        <v>globoesporte.globo.com</v>
      </c>
      <c r="C377" t="str">
        <f t="shared" si="71"/>
        <v>alp_marca_engajamentos_masculino_globo-esporte_display_retangulo_ros_hype_all_cpm_300x250_111348</v>
      </c>
      <c r="D377" t="str">
        <f t="shared" si="72"/>
        <v>252119245</v>
      </c>
      <c r="E377" t="str">
        <f>IF(Table1[[#This Row],[Impressions]]&gt;Table1[[#This Row],[Clicks]],"Standard",VLOOKUP(CONCATENATE(bd_adtype,"_",bd_creativetype),tabela,2,FALSE))</f>
        <v>Standard</v>
      </c>
      <c r="F377" t="str">
        <f t="shared" si="73"/>
        <v>alp_marca_engajamentos_masculino_globo-esporte_display_retangulo_ros_hype_all_cpm_300x250_111348</v>
      </c>
      <c r="G377" t="str">
        <f t="shared" si="74"/>
        <v>448252102</v>
      </c>
      <c r="H377" t="str">
        <f t="shared" si="75"/>
        <v>Display</v>
      </c>
      <c r="I377">
        <f t="shared" si="76"/>
        <v>333095</v>
      </c>
      <c r="J377">
        <f t="shared" si="77"/>
        <v>723</v>
      </c>
      <c r="K377" s="4">
        <f t="shared" si="80"/>
        <v>3.8199999999999998E-2</v>
      </c>
      <c r="L377">
        <f t="shared" si="81"/>
        <v>0.09</v>
      </c>
      <c r="M377" s="4">
        <f t="shared" si="78"/>
        <v>12.724228999999999</v>
      </c>
      <c r="N377" s="4">
        <f t="shared" si="79"/>
        <v>29.978549999999998</v>
      </c>
    </row>
    <row r="378" spans="1:14">
      <c r="A378" t="str">
        <f t="shared" si="69"/>
        <v>alp_marca</v>
      </c>
      <c r="B378" t="str">
        <f t="shared" si="70"/>
        <v>jovemnerd.com.br</v>
      </c>
      <c r="C378" t="str">
        <f t="shared" si="71"/>
        <v>alp_marca_alcance_jovem_jovem-nerd_display_half-page_ros_got_all_cpm_300x600_111158</v>
      </c>
      <c r="D378" t="str">
        <f t="shared" si="72"/>
        <v>245972907</v>
      </c>
      <c r="E378" t="str">
        <f>IF(Table1[[#This Row],[Impressions]]&gt;Table1[[#This Row],[Clicks]],"Standard",VLOOKUP(CONCATENATE(bd_adtype,"_",bd_creativetype),tabela,2,FALSE))</f>
        <v>Dynamic Click</v>
      </c>
      <c r="F378" t="str">
        <f t="shared" si="73"/>
        <v>alp_marca_alcance_jovem_jovem-nerd_display_half-page_ros_got_all_cpm_300x600_111158</v>
      </c>
      <c r="G378" t="str">
        <f t="shared" si="74"/>
        <v>442369667</v>
      </c>
      <c r="H378" t="str">
        <f t="shared" si="75"/>
        <v>Tracking</v>
      </c>
      <c r="I378">
        <f t="shared" si="76"/>
        <v>0</v>
      </c>
      <c r="J378">
        <f t="shared" si="77"/>
        <v>1</v>
      </c>
      <c r="K378" s="4">
        <f t="shared" si="80"/>
        <v>3.5000000000000001E-3</v>
      </c>
      <c r="L378">
        <f t="shared" si="81"/>
        <v>0.02</v>
      </c>
      <c r="M378" s="4">
        <f t="shared" si="78"/>
        <v>3.5000000000000001E-3</v>
      </c>
      <c r="N378" s="4">
        <f t="shared" si="79"/>
        <v>0.02</v>
      </c>
    </row>
    <row r="379" spans="1:14">
      <c r="A379" t="str">
        <f t="shared" si="69"/>
        <v>alp_marca</v>
      </c>
      <c r="B379" t="str">
        <f t="shared" si="70"/>
        <v>jovemnerd.com.br</v>
      </c>
      <c r="C379" t="str">
        <f t="shared" si="71"/>
        <v>alp_marca_alcance_jovem_jovem-nerd_display_half-page_ros_stranger-things_all_cpm_300x600_111324</v>
      </c>
      <c r="D379" t="str">
        <f t="shared" si="72"/>
        <v>250660872</v>
      </c>
      <c r="E379" t="str">
        <f>IF(Table1[[#This Row],[Impressions]]&gt;Table1[[#This Row],[Clicks]],"Standard",VLOOKUP(CONCATENATE(bd_adtype,"_",bd_creativetype),tabela,2,FALSE))</f>
        <v>Standard</v>
      </c>
      <c r="F379" t="str">
        <f t="shared" si="73"/>
        <v>alp_marca_alcance_jovem_jovem-nerd_display_half-page_ros_stranger-things_all_cpm_300x600_111324</v>
      </c>
      <c r="G379" t="str">
        <f t="shared" si="74"/>
        <v>446775316</v>
      </c>
      <c r="H379" t="str">
        <f t="shared" si="75"/>
        <v>Tracking</v>
      </c>
      <c r="I379">
        <f t="shared" si="76"/>
        <v>188498</v>
      </c>
      <c r="J379">
        <f t="shared" si="77"/>
        <v>48</v>
      </c>
      <c r="K379" s="4">
        <f t="shared" si="80"/>
        <v>3.8199999999999998E-2</v>
      </c>
      <c r="L379">
        <f t="shared" si="81"/>
        <v>0.09</v>
      </c>
      <c r="M379" s="4">
        <f t="shared" si="78"/>
        <v>7.2006236000000001</v>
      </c>
      <c r="N379" s="4">
        <f t="shared" si="79"/>
        <v>16.96482</v>
      </c>
    </row>
    <row r="380" spans="1:14">
      <c r="A380" t="str">
        <f t="shared" si="69"/>
        <v>alp_marca</v>
      </c>
      <c r="B380" t="str">
        <f t="shared" si="70"/>
        <v>jovemnerd.com.br</v>
      </c>
      <c r="C380" t="str">
        <f t="shared" si="71"/>
        <v>alp_marca_alcance_jovem_jovem-nerd_display_retangulo_ros_stranger-things_all_cpm_300x250_111322</v>
      </c>
      <c r="D380" t="str">
        <f t="shared" si="72"/>
        <v>250660878</v>
      </c>
      <c r="E380" t="str">
        <f>IF(Table1[[#This Row],[Impressions]]&gt;Table1[[#This Row],[Clicks]],"Standard",VLOOKUP(CONCATENATE(bd_adtype,"_",bd_creativetype),tabela,2,FALSE))</f>
        <v>Standard</v>
      </c>
      <c r="F380" t="str">
        <f t="shared" si="73"/>
        <v>alp_marca_alcance_jovem_jovem-nerd_display_retangulo_ros_stranger-things_all_cpm_300x250_111322</v>
      </c>
      <c r="G380" t="str">
        <f t="shared" si="74"/>
        <v>446775322</v>
      </c>
      <c r="H380" t="str">
        <f t="shared" si="75"/>
        <v>Tracking</v>
      </c>
      <c r="I380">
        <f t="shared" si="76"/>
        <v>1496871</v>
      </c>
      <c r="J380">
        <f t="shared" si="77"/>
        <v>948</v>
      </c>
      <c r="K380" s="4">
        <f t="shared" si="80"/>
        <v>3.8199999999999998E-2</v>
      </c>
      <c r="L380">
        <f t="shared" si="81"/>
        <v>0.09</v>
      </c>
      <c r="M380" s="4">
        <f t="shared" si="78"/>
        <v>57.180472199999997</v>
      </c>
      <c r="N380" s="4">
        <f t="shared" si="79"/>
        <v>134.71838999999997</v>
      </c>
    </row>
    <row r="381" spans="1:14">
      <c r="A381" t="str">
        <f t="shared" si="69"/>
        <v>alp_marca</v>
      </c>
      <c r="B381" t="str">
        <f t="shared" si="70"/>
        <v>jovemnerd.com.br</v>
      </c>
      <c r="C381" t="str">
        <f t="shared" si="71"/>
        <v>alp_marca_alcance_jovem_jovem-nerd_display_superbanner_ros_got_all_cpm_728x90_111159</v>
      </c>
      <c r="D381" t="str">
        <f t="shared" si="72"/>
        <v>245972904</v>
      </c>
      <c r="E381" t="str">
        <f>IF(Table1[[#This Row],[Impressions]]&gt;Table1[[#This Row],[Clicks]],"Standard",VLOOKUP(CONCATENATE(bd_adtype,"_",bd_creativetype),tabela,2,FALSE))</f>
        <v>Default</v>
      </c>
      <c r="F381" t="str">
        <f t="shared" si="73"/>
        <v>1x1 Default Web Ad</v>
      </c>
      <c r="G381" t="str">
        <f t="shared" si="74"/>
        <v>438503523</v>
      </c>
      <c r="H381" t="str">
        <f t="shared" si="75"/>
        <v>Display</v>
      </c>
      <c r="I381">
        <f t="shared" si="76"/>
        <v>1</v>
      </c>
      <c r="J381">
        <f t="shared" si="77"/>
        <v>1</v>
      </c>
      <c r="K381" s="4">
        <f t="shared" si="80"/>
        <v>3.8199999999999998E-2</v>
      </c>
      <c r="L381">
        <f t="shared" si="81"/>
        <v>0.09</v>
      </c>
      <c r="M381" s="4">
        <f t="shared" si="78"/>
        <v>3.82E-5</v>
      </c>
      <c r="N381" s="4">
        <f t="shared" si="79"/>
        <v>8.9999999999999992E-5</v>
      </c>
    </row>
    <row r="382" spans="1:14">
      <c r="A382" t="str">
        <f t="shared" si="69"/>
        <v>alp_marca</v>
      </c>
      <c r="B382" t="str">
        <f t="shared" si="70"/>
        <v>jovemnerd.com.br</v>
      </c>
      <c r="C382" t="str">
        <f t="shared" si="71"/>
        <v>alp_marca_alcance_jovem_jovem-nerd_display_superbanner_ros_stranger-things_all_cpm_728x90_111323</v>
      </c>
      <c r="D382" t="str">
        <f t="shared" si="72"/>
        <v>250660875</v>
      </c>
      <c r="E382" t="str">
        <f>IF(Table1[[#This Row],[Impressions]]&gt;Table1[[#This Row],[Clicks]],"Standard",VLOOKUP(CONCATENATE(bd_adtype,"_",bd_creativetype),tabela,2,FALSE))</f>
        <v>Standard</v>
      </c>
      <c r="F382" t="str">
        <f t="shared" si="73"/>
        <v>alp_marca_alcance_jovem_jovem-nerd_display_superbanner_ros_stranger-things_all_cpm_728x90_111323</v>
      </c>
      <c r="G382" t="str">
        <f t="shared" si="74"/>
        <v>446775319</v>
      </c>
      <c r="H382" t="str">
        <f t="shared" si="75"/>
        <v>Tracking</v>
      </c>
      <c r="I382">
        <f t="shared" si="76"/>
        <v>307148</v>
      </c>
      <c r="J382">
        <f t="shared" si="77"/>
        <v>833</v>
      </c>
      <c r="K382" s="4">
        <f t="shared" si="80"/>
        <v>3.8199999999999998E-2</v>
      </c>
      <c r="L382">
        <f t="shared" si="81"/>
        <v>0.09</v>
      </c>
      <c r="M382" s="4">
        <f t="shared" si="78"/>
        <v>11.7330536</v>
      </c>
      <c r="N382" s="4">
        <f t="shared" si="79"/>
        <v>27.643319999999999</v>
      </c>
    </row>
    <row r="383" spans="1:14">
      <c r="A383" t="str">
        <f t="shared" si="69"/>
        <v>alp_marca</v>
      </c>
      <c r="B383" t="str">
        <f t="shared" si="70"/>
        <v>jovemnerd.com.br</v>
      </c>
      <c r="C383" t="str">
        <f t="shared" si="71"/>
        <v>alp_marca_engajamentos_jovem_jovem-nerd_conteudo-veiculo_video-social_youtube_stranger-things_all_fixo_acima-de-30s_111311</v>
      </c>
      <c r="D383" t="str">
        <f t="shared" si="72"/>
        <v>250442014</v>
      </c>
      <c r="E383" t="str">
        <f>IF(Table1[[#This Row],[Impressions]]&gt;Table1[[#This Row],[Clicks]],"Standard",VLOOKUP(CONCATENATE(bd_adtype,"_",bd_creativetype),tabela,2,FALSE))</f>
        <v>Dynamic Click</v>
      </c>
      <c r="F383" t="str">
        <f t="shared" si="73"/>
        <v>alp_marca_engajamentos_jovem_jovem-nerd_conteudo-veiculo_video-social_youtube_stranger-things_all_fixo_acima-de-30s_111311</v>
      </c>
      <c r="G383" t="str">
        <f t="shared" si="74"/>
        <v>446561231</v>
      </c>
      <c r="H383" t="str">
        <f t="shared" si="75"/>
        <v>Tracking</v>
      </c>
      <c r="I383">
        <f t="shared" si="76"/>
        <v>0</v>
      </c>
      <c r="J383">
        <f t="shared" si="77"/>
        <v>152</v>
      </c>
      <c r="K383" s="4">
        <f t="shared" si="80"/>
        <v>3.5000000000000001E-3</v>
      </c>
      <c r="L383">
        <f t="shared" si="81"/>
        <v>0.02</v>
      </c>
      <c r="M383" s="4">
        <f t="shared" si="78"/>
        <v>0.53200000000000003</v>
      </c>
      <c r="N383" s="4">
        <f t="shared" si="79"/>
        <v>3.04</v>
      </c>
    </row>
    <row r="384" spans="1:14">
      <c r="A384" t="str">
        <f t="shared" si="69"/>
        <v>alp_marca</v>
      </c>
      <c r="B384" t="str">
        <f t="shared" si="70"/>
        <v>papodehomem.com.br</v>
      </c>
      <c r="C384" t="str">
        <f t="shared" si="71"/>
        <v>alp_marca_alcance_masculino_papo-de-homem_display_billboard_ros_havaianas-urban_all_cpm_970x250_111113</v>
      </c>
      <c r="D384" t="str">
        <f t="shared" si="72"/>
        <v>241382692</v>
      </c>
      <c r="E384" t="str">
        <f>IF(Table1[[#This Row],[Impressions]]&gt;Table1[[#This Row],[Clicks]],"Standard",VLOOKUP(CONCATENATE(bd_adtype,"_",bd_creativetype),tabela,2,FALSE))</f>
        <v>Standard</v>
      </c>
      <c r="F384" t="str">
        <f t="shared" si="73"/>
        <v>alp_marca_alcance_masculino_papo-de-homem_display_billboard_ros_havaianas-urban_all_cpm_970x250_111113</v>
      </c>
      <c r="G384" t="str">
        <f t="shared" si="74"/>
        <v>438204942</v>
      </c>
      <c r="H384" t="str">
        <f t="shared" si="75"/>
        <v>Display</v>
      </c>
      <c r="I384">
        <f t="shared" si="76"/>
        <v>3</v>
      </c>
      <c r="J384">
        <f t="shared" si="77"/>
        <v>0</v>
      </c>
      <c r="K384" s="4">
        <f t="shared" si="80"/>
        <v>3.8199999999999998E-2</v>
      </c>
      <c r="L384">
        <f t="shared" si="81"/>
        <v>0.09</v>
      </c>
      <c r="M384" s="4">
        <f t="shared" si="78"/>
        <v>1.1459999999999999E-4</v>
      </c>
      <c r="N384" s="4">
        <f t="shared" si="79"/>
        <v>2.7E-4</v>
      </c>
    </row>
    <row r="385" spans="1:14">
      <c r="A385" t="str">
        <f t="shared" si="69"/>
        <v>alp_marca</v>
      </c>
      <c r="B385" t="str">
        <f t="shared" si="70"/>
        <v>papodehomem.com.br</v>
      </c>
      <c r="C385" t="str">
        <f t="shared" si="71"/>
        <v>alp_marca_alcance_masculino_papo-de-homem_display_billboard_ros_havaianas-urban_all_cpm_970x250_111207</v>
      </c>
      <c r="D385" t="str">
        <f t="shared" si="72"/>
        <v>248234589</v>
      </c>
      <c r="E385" t="str">
        <f>IF(Table1[[#This Row],[Impressions]]&gt;Table1[[#This Row],[Clicks]],"Standard",VLOOKUP(CONCATENATE(bd_adtype,"_",bd_creativetype),tabela,2,FALSE))</f>
        <v>Standard</v>
      </c>
      <c r="F385" t="str">
        <f t="shared" si="73"/>
        <v>alp_marca_alcance_masculino_papo-de-homem_display_billboard_ros_havaianas-urban_all_cpm_970x250_111207</v>
      </c>
      <c r="G385" t="str">
        <f t="shared" si="74"/>
        <v>444466786</v>
      </c>
      <c r="H385" t="str">
        <f t="shared" si="75"/>
        <v>Display</v>
      </c>
      <c r="I385">
        <f t="shared" si="76"/>
        <v>109040</v>
      </c>
      <c r="J385">
        <f t="shared" si="77"/>
        <v>79</v>
      </c>
      <c r="K385" s="4">
        <f t="shared" si="80"/>
        <v>3.8199999999999998E-2</v>
      </c>
      <c r="L385">
        <f t="shared" si="81"/>
        <v>0.09</v>
      </c>
      <c r="M385" s="4">
        <f t="shared" si="78"/>
        <v>4.1653279999999997</v>
      </c>
      <c r="N385" s="4">
        <f t="shared" si="79"/>
        <v>9.813600000000001</v>
      </c>
    </row>
    <row r="386" spans="1:14">
      <c r="A386" t="str">
        <f t="shared" ref="A386:A449" si="82">bd_campaign</f>
        <v>alp_marca</v>
      </c>
      <c r="B386" t="str">
        <f t="shared" ref="B386:B449" si="83">bd_site</f>
        <v>papodehomem.com.br</v>
      </c>
      <c r="C386" t="str">
        <f t="shared" ref="C386:C449" si="84">bd_placement</f>
        <v>alp_marca_alcance_masculino_papo-de-homem_display_retangulo_ros_havaianas-urban_all_cpm_300x250_111116</v>
      </c>
      <c r="D386" t="str">
        <f t="shared" ref="D386:D449" si="85">bd_placementID</f>
        <v>241295873</v>
      </c>
      <c r="E386" t="str">
        <f>IF(Table1[[#This Row],[Impressions]]&gt;Table1[[#This Row],[Clicks]],"Standard",VLOOKUP(CONCATENATE(bd_adtype,"_",bd_creativetype),tabela,2,FALSE))</f>
        <v>Standard</v>
      </c>
      <c r="F386" t="str">
        <f t="shared" ref="F386:F449" si="86">bd_ad</f>
        <v>alp_marca_alcance_masculino_papo-de-homem_display_retangulo_ros_havaianas-urban_all_cpm_300x250_111116</v>
      </c>
      <c r="G386" t="str">
        <f t="shared" ref="G386:G449" si="87">bd_adid</f>
        <v>438178371</v>
      </c>
      <c r="H386" t="str">
        <f t="shared" ref="H386:H449" si="88">bd_creativetype</f>
        <v>Display</v>
      </c>
      <c r="I386">
        <f t="shared" ref="I386:I449" si="89">bd_impression</f>
        <v>17</v>
      </c>
      <c r="J386">
        <f t="shared" ref="J386:J449" si="90">bd_clicks</f>
        <v>0</v>
      </c>
      <c r="K386" s="4">
        <f t="shared" si="80"/>
        <v>3.8199999999999998E-2</v>
      </c>
      <c r="L386">
        <f t="shared" si="81"/>
        <v>0.09</v>
      </c>
      <c r="M386" s="4">
        <f t="shared" si="78"/>
        <v>6.4939999999999996E-4</v>
      </c>
      <c r="N386" s="4">
        <f t="shared" si="79"/>
        <v>1.5300000000000001E-3</v>
      </c>
    </row>
    <row r="387" spans="1:14">
      <c r="A387" t="str">
        <f t="shared" si="82"/>
        <v>alp_marca</v>
      </c>
      <c r="B387" t="str">
        <f t="shared" si="83"/>
        <v>papodehomem.com.br</v>
      </c>
      <c r="C387" t="str">
        <f t="shared" si="84"/>
        <v>alp_marca_alcance_masculino_papo-de-homem_display_retangulo_ros_havaianas-urban_all_cpm_300x250_111207</v>
      </c>
      <c r="D387" t="str">
        <f t="shared" si="85"/>
        <v>248233251</v>
      </c>
      <c r="E387" t="str">
        <f>IF(Table1[[#This Row],[Impressions]]&gt;Table1[[#This Row],[Clicks]],"Standard",VLOOKUP(CONCATENATE(bd_adtype,"_",bd_creativetype),tabela,2,FALSE))</f>
        <v>Standard</v>
      </c>
      <c r="F387" t="str">
        <f t="shared" si="86"/>
        <v>alp_marca_alcance_masculino_papo-de-homem_display_retangulo_ros_havaianas-urban_all_cpm_300x250_111207</v>
      </c>
      <c r="G387" t="str">
        <f t="shared" si="87"/>
        <v>444464740</v>
      </c>
      <c r="H387" t="str">
        <f t="shared" si="88"/>
        <v>Display</v>
      </c>
      <c r="I387">
        <f t="shared" si="89"/>
        <v>484321</v>
      </c>
      <c r="J387">
        <f t="shared" si="90"/>
        <v>736</v>
      </c>
      <c r="K387" s="4">
        <f t="shared" si="80"/>
        <v>3.8199999999999998E-2</v>
      </c>
      <c r="L387">
        <f t="shared" si="81"/>
        <v>0.09</v>
      </c>
      <c r="M387" s="4">
        <f t="shared" si="78"/>
        <v>18.5010622</v>
      </c>
      <c r="N387" s="4">
        <f t="shared" si="79"/>
        <v>43.588889999999999</v>
      </c>
    </row>
    <row r="388" spans="1:14">
      <c r="A388" t="str">
        <f t="shared" si="82"/>
        <v>alp_marca</v>
      </c>
      <c r="B388" t="str">
        <f t="shared" si="83"/>
        <v>universa-uol_puig</v>
      </c>
      <c r="C388" t="str">
        <f t="shared" si="84"/>
        <v>alp_marca_alcance_feminino_universa-uol_display_billboard_ros_rasteiras_fashion_cpm_970x250_111341</v>
      </c>
      <c r="D388" t="str">
        <f t="shared" si="85"/>
        <v>252033517</v>
      </c>
      <c r="E388" t="str">
        <f>IF(Table1[[#This Row],[Impressions]]&gt;Table1[[#This Row],[Clicks]],"Standard",VLOOKUP(CONCATENATE(bd_adtype,"_",bd_creativetype),tabela,2,FALSE))</f>
        <v>Standard</v>
      </c>
      <c r="F388" t="str">
        <f t="shared" si="86"/>
        <v>alp_marca_alcance_feminino_universa-uol_display_billboard_ros_rasteiras_fashion_cpm_970x250_111341</v>
      </c>
      <c r="G388" t="str">
        <f t="shared" si="87"/>
        <v>448038642</v>
      </c>
      <c r="H388" t="str">
        <f t="shared" si="88"/>
        <v>Display</v>
      </c>
      <c r="I388">
        <f t="shared" si="89"/>
        <v>6362</v>
      </c>
      <c r="J388">
        <f t="shared" si="90"/>
        <v>12</v>
      </c>
      <c r="K388" s="4">
        <f t="shared" si="80"/>
        <v>3.8199999999999998E-2</v>
      </c>
      <c r="L388">
        <f t="shared" si="81"/>
        <v>0.09</v>
      </c>
      <c r="M388" s="4">
        <f t="shared" si="78"/>
        <v>0.24302839999999998</v>
      </c>
      <c r="N388" s="4">
        <f t="shared" si="79"/>
        <v>0.57257999999999998</v>
      </c>
    </row>
    <row r="389" spans="1:14">
      <c r="A389" t="str">
        <f t="shared" si="82"/>
        <v>alp_marca</v>
      </c>
      <c r="B389" t="str">
        <f t="shared" si="83"/>
        <v>universa-uol_puig</v>
      </c>
      <c r="C389" t="str">
        <f t="shared" si="84"/>
        <v>alp_marca_alcance_feminino_universa-uol_display_billboard_ros_rasteiras_funcional_cpm_970x250_111340</v>
      </c>
      <c r="D389" t="str">
        <f t="shared" si="85"/>
        <v>252034573</v>
      </c>
      <c r="E389" t="str">
        <f>IF(Table1[[#This Row],[Impressions]]&gt;Table1[[#This Row],[Clicks]],"Standard",VLOOKUP(CONCATENATE(bd_adtype,"_",bd_creativetype),tabela,2,FALSE))</f>
        <v>Standard</v>
      </c>
      <c r="F389" t="str">
        <f t="shared" si="86"/>
        <v>alp_marca_alcance_feminino_universa-uol_display_billboard_ros_rasteiras_funcional_cpm_970x250_111340</v>
      </c>
      <c r="G389" t="str">
        <f t="shared" si="87"/>
        <v>448036827</v>
      </c>
      <c r="H389" t="str">
        <f t="shared" si="88"/>
        <v>Display</v>
      </c>
      <c r="I389">
        <f t="shared" si="89"/>
        <v>1</v>
      </c>
      <c r="J389">
        <f t="shared" si="90"/>
        <v>0</v>
      </c>
      <c r="K389" s="4">
        <f t="shared" si="80"/>
        <v>3.8199999999999998E-2</v>
      </c>
      <c r="L389">
        <f t="shared" si="81"/>
        <v>0.09</v>
      </c>
      <c r="M389" s="4">
        <f t="shared" si="78"/>
        <v>3.82E-5</v>
      </c>
      <c r="N389" s="4">
        <f t="shared" si="79"/>
        <v>8.9999999999999992E-5</v>
      </c>
    </row>
    <row r="390" spans="1:14">
      <c r="A390" t="str">
        <f t="shared" si="82"/>
        <v>alp_marca</v>
      </c>
      <c r="B390" t="str">
        <f t="shared" si="83"/>
        <v>universa-uol_puig</v>
      </c>
      <c r="C390" t="str">
        <f t="shared" si="84"/>
        <v>alp_marca_alcance_feminino_universa-uol_display_half-page_ros_rasteiras_fashion_cpm_300x600_111341</v>
      </c>
      <c r="D390" t="str">
        <f t="shared" si="85"/>
        <v>252033505</v>
      </c>
      <c r="E390" t="str">
        <f>IF(Table1[[#This Row],[Impressions]]&gt;Table1[[#This Row],[Clicks]],"Standard",VLOOKUP(CONCATENATE(bd_adtype,"_",bd_creativetype),tabela,2,FALSE))</f>
        <v>Standard</v>
      </c>
      <c r="F390" t="str">
        <f t="shared" si="86"/>
        <v>alp_marca_alcance_feminino_universa-uol_display_half-page_ros_rasteiras_fashion_cpm_300x600_111341</v>
      </c>
      <c r="G390" t="str">
        <f t="shared" si="87"/>
        <v>448036851</v>
      </c>
      <c r="H390" t="str">
        <f t="shared" si="88"/>
        <v>Display</v>
      </c>
      <c r="I390">
        <f t="shared" si="89"/>
        <v>49025</v>
      </c>
      <c r="J390">
        <f t="shared" si="90"/>
        <v>69</v>
      </c>
      <c r="K390" s="4">
        <f t="shared" si="80"/>
        <v>3.8199999999999998E-2</v>
      </c>
      <c r="L390">
        <f t="shared" si="81"/>
        <v>0.09</v>
      </c>
      <c r="M390" s="4">
        <f t="shared" si="78"/>
        <v>1.8727549999999999</v>
      </c>
      <c r="N390" s="4">
        <f t="shared" si="79"/>
        <v>4.4122500000000002</v>
      </c>
    </row>
    <row r="391" spans="1:14">
      <c r="A391" t="str">
        <f t="shared" si="82"/>
        <v>alp_marca</v>
      </c>
      <c r="B391" t="str">
        <f t="shared" si="83"/>
        <v>universa-uol_puig</v>
      </c>
      <c r="C391" t="str">
        <f t="shared" si="84"/>
        <v>alp_marca_alcance_feminino_universa-uol_display_header-mobile_ros_rasteiras_fashion_cpm_320x50_111341</v>
      </c>
      <c r="D391" t="str">
        <f t="shared" si="85"/>
        <v>252265371</v>
      </c>
      <c r="E391" t="str">
        <f>IF(Table1[[#This Row],[Impressions]]&gt;Table1[[#This Row],[Clicks]],"Standard",VLOOKUP(CONCATENATE(bd_adtype,"_",bd_creativetype),tabela,2,FALSE))</f>
        <v>Standard</v>
      </c>
      <c r="F391" t="str">
        <f t="shared" si="86"/>
        <v>alp_marca_alcance_feminino_universa-uol_display_header-mobile_ros_rasteiras_fashion_cpm_320x50_111341</v>
      </c>
      <c r="G391" t="str">
        <f t="shared" si="87"/>
        <v>448238975</v>
      </c>
      <c r="H391" t="str">
        <f t="shared" si="88"/>
        <v>Display</v>
      </c>
      <c r="I391">
        <f t="shared" si="89"/>
        <v>326820</v>
      </c>
      <c r="J391">
        <f t="shared" si="90"/>
        <v>478</v>
      </c>
      <c r="K391" s="4">
        <f t="shared" si="80"/>
        <v>3.8199999999999998E-2</v>
      </c>
      <c r="L391">
        <f t="shared" si="81"/>
        <v>0.09</v>
      </c>
      <c r="M391" s="4">
        <f t="shared" si="78"/>
        <v>12.484523999999999</v>
      </c>
      <c r="N391" s="4">
        <f t="shared" si="79"/>
        <v>29.413799999999998</v>
      </c>
    </row>
    <row r="392" spans="1:14">
      <c r="A392" t="str">
        <f t="shared" si="82"/>
        <v>alp_marca</v>
      </c>
      <c r="B392" t="str">
        <f t="shared" si="83"/>
        <v>universa-uol_puig</v>
      </c>
      <c r="C392" t="str">
        <f t="shared" si="84"/>
        <v>alp_marca_alcance_feminino_universa-uol_display_retangulo_ros_rasteiras_fashion_cpm_300x250_111341</v>
      </c>
      <c r="D392" t="str">
        <f t="shared" si="85"/>
        <v>252034849</v>
      </c>
      <c r="E392" t="str">
        <f>IF(Table1[[#This Row],[Impressions]]&gt;Table1[[#This Row],[Clicks]],"Standard",VLOOKUP(CONCATENATE(bd_adtype,"_",bd_creativetype),tabela,2,FALSE))</f>
        <v>Standard</v>
      </c>
      <c r="F392" t="str">
        <f t="shared" si="86"/>
        <v>alp_marca_alcance_feminino_universa-uol_display_retangulo_ros_rasteiras_fashion_cpm_300x250_111341</v>
      </c>
      <c r="G392" t="str">
        <f t="shared" si="87"/>
        <v>448038630</v>
      </c>
      <c r="H392" t="str">
        <f t="shared" si="88"/>
        <v>Display</v>
      </c>
      <c r="I392">
        <f t="shared" si="89"/>
        <v>178687</v>
      </c>
      <c r="J392">
        <f t="shared" si="90"/>
        <v>331</v>
      </c>
      <c r="K392" s="4">
        <f t="shared" si="80"/>
        <v>3.8199999999999998E-2</v>
      </c>
      <c r="L392">
        <f t="shared" si="81"/>
        <v>0.09</v>
      </c>
      <c r="M392" s="4">
        <f t="shared" si="78"/>
        <v>6.8258434000000001</v>
      </c>
      <c r="N392" s="4">
        <f t="shared" si="79"/>
        <v>16.08183</v>
      </c>
    </row>
    <row r="393" spans="1:14">
      <c r="A393" t="str">
        <f t="shared" si="82"/>
        <v>alp_marca</v>
      </c>
      <c r="B393" t="str">
        <f t="shared" si="83"/>
        <v>universa-uol_puig</v>
      </c>
      <c r="C393" t="str">
        <f t="shared" si="84"/>
        <v>alp_marca_alcance_feminino_universa-uol_display_retangulo_ros_rasteiras_funcional_cpm_300x250_111340</v>
      </c>
      <c r="D393" t="str">
        <f t="shared" si="85"/>
        <v>251711111</v>
      </c>
      <c r="E393" t="str">
        <f>IF(Table1[[#This Row],[Impressions]]&gt;Table1[[#This Row],[Clicks]],"Standard",VLOOKUP(CONCATENATE(bd_adtype,"_",bd_creativetype),tabela,2,FALSE))</f>
        <v>Standard</v>
      </c>
      <c r="F393" t="str">
        <f t="shared" si="86"/>
        <v>alp_marca_alcance_feminino_universa-uol_display_retangulo_ros_rasteiras_funcional_cpm_300x250_111340</v>
      </c>
      <c r="G393" t="str">
        <f t="shared" si="87"/>
        <v>448038858</v>
      </c>
      <c r="H393" t="str">
        <f t="shared" si="88"/>
        <v>Display</v>
      </c>
      <c r="I393">
        <f t="shared" si="89"/>
        <v>1</v>
      </c>
      <c r="J393">
        <f t="shared" si="90"/>
        <v>0</v>
      </c>
      <c r="K393" s="4">
        <f t="shared" si="80"/>
        <v>3.8199999999999998E-2</v>
      </c>
      <c r="L393">
        <f t="shared" si="81"/>
        <v>0.09</v>
      </c>
      <c r="M393" s="4">
        <f t="shared" si="78"/>
        <v>3.82E-5</v>
      </c>
      <c r="N393" s="4">
        <f t="shared" si="79"/>
        <v>8.9999999999999992E-5</v>
      </c>
    </row>
    <row r="394" spans="1:14">
      <c r="A394" t="str">
        <f t="shared" si="82"/>
        <v>alp_marca</v>
      </c>
      <c r="B394" t="str">
        <f t="shared" si="83"/>
        <v>universa-uol_puig</v>
      </c>
      <c r="C394" t="str">
        <f t="shared" si="84"/>
        <v>alp_marca_alcance_feminino_universa-uol_display_superbanner_ros_rasteiras_fashion_cpm_728x90_111341</v>
      </c>
      <c r="D394" t="str">
        <f t="shared" si="85"/>
        <v>252035758</v>
      </c>
      <c r="E394" t="str">
        <f>IF(Table1[[#This Row],[Impressions]]&gt;Table1[[#This Row],[Clicks]],"Standard",VLOOKUP(CONCATENATE(bd_adtype,"_",bd_creativetype),tabela,2,FALSE))</f>
        <v>Standard</v>
      </c>
      <c r="F394" t="str">
        <f t="shared" si="86"/>
        <v>alp_marca_alcance_feminino_universa-uol_display_superbanner_ros_rasteiras_fashion_cpm_728x90_111341</v>
      </c>
      <c r="G394" t="str">
        <f t="shared" si="87"/>
        <v>448092575</v>
      </c>
      <c r="H394" t="str">
        <f t="shared" si="88"/>
        <v>Display</v>
      </c>
      <c r="I394">
        <f t="shared" si="89"/>
        <v>45211</v>
      </c>
      <c r="J394">
        <f t="shared" si="90"/>
        <v>44</v>
      </c>
      <c r="K394" s="4">
        <f t="shared" si="80"/>
        <v>3.8199999999999998E-2</v>
      </c>
      <c r="L394">
        <f t="shared" si="81"/>
        <v>0.09</v>
      </c>
      <c r="M394" s="4">
        <f t="shared" si="78"/>
        <v>1.7270601999999999</v>
      </c>
      <c r="N394" s="4">
        <f t="shared" si="79"/>
        <v>4.0689899999999994</v>
      </c>
    </row>
    <row r="395" spans="1:14">
      <c r="A395" t="str">
        <f t="shared" si="82"/>
        <v>alp_marca</v>
      </c>
      <c r="B395" t="str">
        <f t="shared" si="83"/>
        <v>universa-uol_puig</v>
      </c>
      <c r="C395" t="str">
        <f t="shared" si="84"/>
        <v>alp_marca_alcance_feminino_universa-uol_display_superbanner_ros_rasteiras_funcional_cpm_728x90_111340</v>
      </c>
      <c r="D395" t="str">
        <f t="shared" si="85"/>
        <v>251710241</v>
      </c>
      <c r="E395" t="str">
        <f>IF(Table1[[#This Row],[Impressions]]&gt;Table1[[#This Row],[Clicks]],"Standard",VLOOKUP(CONCATENATE(bd_adtype,"_",bd_creativetype),tabela,2,FALSE))</f>
        <v>Standard</v>
      </c>
      <c r="F395" t="str">
        <f t="shared" si="86"/>
        <v>alp_marca_alcance_feminino_universa-uol_display_superbanner_ros_rasteiras_funcional_cpm_728x90_111340</v>
      </c>
      <c r="G395" t="str">
        <f t="shared" si="87"/>
        <v>448092557</v>
      </c>
      <c r="H395" t="str">
        <f t="shared" si="88"/>
        <v>Display</v>
      </c>
      <c r="I395">
        <f t="shared" si="89"/>
        <v>1</v>
      </c>
      <c r="J395">
        <f t="shared" si="90"/>
        <v>0</v>
      </c>
      <c r="K395" s="4">
        <f t="shared" si="80"/>
        <v>3.8199999999999998E-2</v>
      </c>
      <c r="L395">
        <f t="shared" si="81"/>
        <v>0.09</v>
      </c>
      <c r="M395" s="4">
        <f t="shared" si="78"/>
        <v>3.82E-5</v>
      </c>
      <c r="N395" s="4">
        <f t="shared" si="79"/>
        <v>8.9999999999999992E-5</v>
      </c>
    </row>
    <row r="396" spans="1:14">
      <c r="A396" t="str">
        <f t="shared" si="82"/>
        <v>alp_marca</v>
      </c>
      <c r="B396" t="str">
        <f t="shared" si="83"/>
        <v>universa-uol_puig</v>
      </c>
      <c r="C396" t="str">
        <f t="shared" si="84"/>
        <v>alp_marca_alcance_feminino_universa-uol_display_superheader-mobile_ros_rasteiras_fashion_cpm_320x100_111341</v>
      </c>
      <c r="D396" t="str">
        <f t="shared" si="85"/>
        <v>252177547</v>
      </c>
      <c r="E396" t="str">
        <f>IF(Table1[[#This Row],[Impressions]]&gt;Table1[[#This Row],[Clicks]],"Standard",VLOOKUP(CONCATENATE(bd_adtype,"_",bd_creativetype),tabela,2,FALSE))</f>
        <v>Standard</v>
      </c>
      <c r="F396" t="str">
        <f t="shared" si="86"/>
        <v>alp_marca_alcance_feminino_universa-uol_display_superheader-mobile_ros_rasteiras_fashion_cpm_320x100_111341</v>
      </c>
      <c r="G396" t="str">
        <f t="shared" si="87"/>
        <v>448240193</v>
      </c>
      <c r="H396" t="str">
        <f t="shared" si="88"/>
        <v>Display</v>
      </c>
      <c r="I396">
        <f t="shared" si="89"/>
        <v>1</v>
      </c>
      <c r="J396">
        <f t="shared" si="90"/>
        <v>0</v>
      </c>
      <c r="K396" s="4">
        <f t="shared" si="80"/>
        <v>3.8199999999999998E-2</v>
      </c>
      <c r="L396">
        <f t="shared" si="81"/>
        <v>0.09</v>
      </c>
      <c r="M396" s="4">
        <f t="shared" si="78"/>
        <v>3.82E-5</v>
      </c>
      <c r="N396" s="4">
        <f t="shared" si="79"/>
        <v>8.9999999999999992E-5</v>
      </c>
    </row>
    <row r="397" spans="1:14">
      <c r="A397" t="str">
        <f t="shared" si="82"/>
        <v>alp_marca</v>
      </c>
      <c r="B397" t="str">
        <f t="shared" si="83"/>
        <v>universa-uol_puig</v>
      </c>
      <c r="C397" t="str">
        <f t="shared" si="84"/>
        <v>alp_marca_engajamentos_feminino_universa-uol_conteudo-veiculo_publieditorial_ros_rasteiras-you_all_cpm_no-size_111291</v>
      </c>
      <c r="D397" t="str">
        <f t="shared" si="85"/>
        <v>250145917</v>
      </c>
      <c r="E397" t="str">
        <f>IF(Table1[[#This Row],[Impressions]]&gt;Table1[[#This Row],[Clicks]],"Standard",VLOOKUP(CONCATENATE(bd_adtype,"_",bd_creativetype),tabela,2,FALSE))</f>
        <v>Dynamic Click</v>
      </c>
      <c r="F397" t="str">
        <f t="shared" si="86"/>
        <v>alp_marca_engajamentos_feminino_universa-uol_conteudo-veiculo_publieditorial_ros_rasteiras-you_all_cpm_no-size_111291</v>
      </c>
      <c r="G397" t="str">
        <f t="shared" si="87"/>
        <v>446267201</v>
      </c>
      <c r="H397" t="str">
        <f t="shared" si="88"/>
        <v>Tracking</v>
      </c>
      <c r="I397">
        <f t="shared" si="89"/>
        <v>0</v>
      </c>
      <c r="J397">
        <f t="shared" si="90"/>
        <v>3</v>
      </c>
      <c r="K397" s="4">
        <f t="shared" si="80"/>
        <v>3.5000000000000001E-3</v>
      </c>
      <c r="L397">
        <f t="shared" si="81"/>
        <v>0.02</v>
      </c>
      <c r="M397" s="4">
        <f t="shared" si="78"/>
        <v>1.0500000000000001E-2</v>
      </c>
      <c r="N397" s="4">
        <f t="shared" si="79"/>
        <v>0.06</v>
      </c>
    </row>
    <row r="398" spans="1:14">
      <c r="A398" t="str">
        <f t="shared" si="82"/>
        <v>alp_marca</v>
      </c>
      <c r="B398" t="str">
        <f t="shared" si="83"/>
        <v>universa-uol_puig</v>
      </c>
      <c r="C398" t="str">
        <f t="shared" si="84"/>
        <v>alp_marca_engajamentos_feminino_universa-uol_conteudo-veiculo_publieditorial_ros_rasteiras-you_all_cpm_no-size_111298</v>
      </c>
      <c r="D398" t="str">
        <f t="shared" si="85"/>
        <v>250145896</v>
      </c>
      <c r="E398" t="str">
        <f>IF(Table1[[#This Row],[Impressions]]&gt;Table1[[#This Row],[Clicks]],"Standard",VLOOKUP(CONCATENATE(bd_adtype,"_",bd_creativetype),tabela,2,FALSE))</f>
        <v>Dynamic Click</v>
      </c>
      <c r="F398" t="str">
        <f t="shared" si="86"/>
        <v>alp_marca_engajamentos_feminino_universa-uol_conteudo-veiculo_publieditorial_ros_rasteiras-you_all_cpm_no-size_111298</v>
      </c>
      <c r="G398" t="str">
        <f t="shared" si="87"/>
        <v>446267180</v>
      </c>
      <c r="H398" t="str">
        <f t="shared" si="88"/>
        <v>Tracking</v>
      </c>
      <c r="I398">
        <f t="shared" si="89"/>
        <v>0</v>
      </c>
      <c r="J398">
        <f t="shared" si="90"/>
        <v>1</v>
      </c>
      <c r="K398" s="4">
        <f t="shared" si="80"/>
        <v>3.5000000000000001E-3</v>
      </c>
      <c r="L398">
        <f t="shared" si="81"/>
        <v>0.02</v>
      </c>
      <c r="M398" s="4">
        <f t="shared" si="78"/>
        <v>3.5000000000000001E-3</v>
      </c>
      <c r="N398" s="4">
        <f t="shared" si="79"/>
        <v>0.02</v>
      </c>
    </row>
    <row r="399" spans="1:14">
      <c r="A399" t="str">
        <f t="shared" si="82"/>
        <v>alp_marca</v>
      </c>
      <c r="B399" t="str">
        <f t="shared" si="83"/>
        <v>universa-uol_puig</v>
      </c>
      <c r="C399" t="str">
        <f t="shared" si="84"/>
        <v>alp_marca_engajamentos_feminino_universa-uol_conteudo-veiculo_publieditorial_ros_rasteiras-you_all_cpm_no-size_111300</v>
      </c>
      <c r="D399" t="str">
        <f t="shared" si="85"/>
        <v>250138990</v>
      </c>
      <c r="E399" t="str">
        <f>IF(Table1[[#This Row],[Impressions]]&gt;Table1[[#This Row],[Clicks]],"Standard",VLOOKUP(CONCATENATE(bd_adtype,"_",bd_creativetype),tabela,2,FALSE))</f>
        <v>Dynamic Click</v>
      </c>
      <c r="F399" t="str">
        <f t="shared" si="86"/>
        <v>alp_marca_engajamentos_feminino_universa-uol_conteudo-veiculo_publieditorial_ros_rasteiras-you_all_cpm_no-size_111300</v>
      </c>
      <c r="G399" t="str">
        <f t="shared" si="87"/>
        <v>446267174</v>
      </c>
      <c r="H399" t="str">
        <f t="shared" si="88"/>
        <v>Tracking</v>
      </c>
      <c r="I399">
        <f t="shared" si="89"/>
        <v>0</v>
      </c>
      <c r="J399">
        <f t="shared" si="90"/>
        <v>2</v>
      </c>
      <c r="K399" s="4">
        <f t="shared" si="80"/>
        <v>3.5000000000000001E-3</v>
      </c>
      <c r="L399">
        <f t="shared" si="81"/>
        <v>0.02</v>
      </c>
      <c r="M399" s="4">
        <f t="shared" si="78"/>
        <v>7.0000000000000001E-3</v>
      </c>
      <c r="N399" s="4">
        <f t="shared" si="79"/>
        <v>0.04</v>
      </c>
    </row>
    <row r="400" spans="1:14">
      <c r="A400" t="str">
        <f t="shared" si="82"/>
        <v>alp_marca</v>
      </c>
      <c r="B400" t="str">
        <f t="shared" si="83"/>
        <v>universa-uol_puig</v>
      </c>
      <c r="C400" t="str">
        <f t="shared" si="84"/>
        <v>alp_marca_engajamentos_feminino_universa-uol_conteudo-veiculo_publieditorial_ros_rasteiras-you_all_cpm_no-size_111301</v>
      </c>
      <c r="D400" t="str">
        <f t="shared" si="85"/>
        <v>250138987</v>
      </c>
      <c r="E400" t="str">
        <f>IF(Table1[[#This Row],[Impressions]]&gt;Table1[[#This Row],[Clicks]],"Standard",VLOOKUP(CONCATENATE(bd_adtype,"_",bd_creativetype),tabela,2,FALSE))</f>
        <v>Dynamic Click</v>
      </c>
      <c r="F400" t="str">
        <f t="shared" si="86"/>
        <v>alp_marca_engajamentos_feminino_universa-uol_conteudo-veiculo_publieditorial_ros_rasteiras-you_all_cpm_no-size_111301</v>
      </c>
      <c r="G400" t="str">
        <f t="shared" si="87"/>
        <v>446267171</v>
      </c>
      <c r="H400" t="str">
        <f t="shared" si="88"/>
        <v>Tracking</v>
      </c>
      <c r="I400">
        <f t="shared" si="89"/>
        <v>0</v>
      </c>
      <c r="J400">
        <f t="shared" si="90"/>
        <v>1</v>
      </c>
      <c r="K400" s="4">
        <f t="shared" si="80"/>
        <v>3.5000000000000001E-3</v>
      </c>
      <c r="L400">
        <f t="shared" si="81"/>
        <v>0.02</v>
      </c>
      <c r="M400" s="4">
        <f t="shared" si="78"/>
        <v>3.5000000000000001E-3</v>
      </c>
      <c r="N400" s="4">
        <f t="shared" si="79"/>
        <v>0.02</v>
      </c>
    </row>
    <row r="401" spans="1:14">
      <c r="A401" t="str">
        <f t="shared" si="82"/>
        <v>alp_marca</v>
      </c>
      <c r="B401" t="str">
        <f t="shared" si="83"/>
        <v>universa-uol_puig</v>
      </c>
      <c r="C401" t="str">
        <f t="shared" si="84"/>
        <v>alp_marca_engajamentos_feminino_universa-uol_conteudo-veiculo_publieditorial_ros_rasteiras-you_all_cpm_no-size_111303</v>
      </c>
      <c r="D401" t="str">
        <f t="shared" si="85"/>
        <v>250138981</v>
      </c>
      <c r="E401" t="str">
        <f>IF(Table1[[#This Row],[Impressions]]&gt;Table1[[#This Row],[Clicks]],"Standard",VLOOKUP(CONCATENATE(bd_adtype,"_",bd_creativetype),tabela,2,FALSE))</f>
        <v>Dynamic Click</v>
      </c>
      <c r="F401" t="str">
        <f t="shared" si="86"/>
        <v>alp_marca_engajamentos_feminino_universa-uol_conteudo-veiculo_publieditorial_ros_rasteiras-you_all_cpm_no-size_111303</v>
      </c>
      <c r="G401" t="str">
        <f t="shared" si="87"/>
        <v>446267165</v>
      </c>
      <c r="H401" t="str">
        <f t="shared" si="88"/>
        <v>Tracking</v>
      </c>
      <c r="I401">
        <f t="shared" si="89"/>
        <v>0</v>
      </c>
      <c r="J401">
        <f t="shared" si="90"/>
        <v>2</v>
      </c>
      <c r="K401" s="4">
        <f t="shared" si="80"/>
        <v>3.5000000000000001E-3</v>
      </c>
      <c r="L401">
        <f t="shared" si="81"/>
        <v>0.02</v>
      </c>
      <c r="M401" s="4">
        <f t="shared" si="78"/>
        <v>7.0000000000000001E-3</v>
      </c>
      <c r="N401" s="4">
        <f t="shared" si="79"/>
        <v>0.04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172125419</v>
      </c>
      <c r="E4" s="14">
        <f>C4*D4/1000</f>
        <v>15491.287709999999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1</v>
      </c>
      <c r="E5" s="14">
        <f>C5*D5/1000</f>
        <v>8.9999999999999992E-5</v>
      </c>
      <c r="G5" s="14">
        <f>SUM(total_adops_filtrada)</f>
        <v>22240.047800000011</v>
      </c>
      <c r="H5" s="14">
        <f>SUM(total_ferramenta_filtrada)</f>
        <v>7756.224043999995</v>
      </c>
    </row>
    <row r="6" spans="1:8">
      <c r="B6" s="13" t="s">
        <v>10</v>
      </c>
      <c r="C6" s="2">
        <v>0.02</v>
      </c>
      <c r="D6" s="2">
        <f>SUMIF(adtype_filtrada,$B6,clicks_filtrada)</f>
        <v>337438</v>
      </c>
      <c r="E6" s="14">
        <f>C6*D6</f>
        <v>6748.76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22240.0478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1221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576</v>
      </c>
      <c r="D20" t="s">
        <v>577</v>
      </c>
      <c r="E20" t="s">
        <v>578</v>
      </c>
      <c r="F20" t="s">
        <v>10</v>
      </c>
      <c r="G20" t="s">
        <v>577</v>
      </c>
      <c r="H20" t="s">
        <v>579</v>
      </c>
      <c r="I20" t="s">
        <v>32</v>
      </c>
      <c r="J20">
        <v>0</v>
      </c>
      <c r="K20">
        <v>6</v>
      </c>
      <c r="L20" s="4">
        <v>3.5000000000000001E-3</v>
      </c>
      <c r="M20">
        <v>0.02</v>
      </c>
      <c r="N20" s="4">
        <v>2.1000000000000001E-2</v>
      </c>
      <c r="O20" s="4">
        <v>0.12</v>
      </c>
    </row>
    <row r="21" spans="1:15">
      <c r="B21" t="s">
        <v>52</v>
      </c>
      <c r="C21" t="s">
        <v>576</v>
      </c>
      <c r="D21" t="s">
        <v>580</v>
      </c>
      <c r="E21" t="s">
        <v>581</v>
      </c>
      <c r="F21" t="s">
        <v>10</v>
      </c>
      <c r="G21" t="s">
        <v>580</v>
      </c>
      <c r="H21" t="s">
        <v>582</v>
      </c>
      <c r="I21" t="s">
        <v>32</v>
      </c>
      <c r="J21">
        <v>0</v>
      </c>
      <c r="K21">
        <v>8</v>
      </c>
      <c r="L21" s="4">
        <v>3.5000000000000001E-3</v>
      </c>
      <c r="M21">
        <v>0.02</v>
      </c>
      <c r="N21" s="4">
        <v>2.8000000000000001E-2</v>
      </c>
      <c r="O21" s="4">
        <v>0.16</v>
      </c>
    </row>
    <row r="22" spans="1:15">
      <c r="B22" t="s">
        <v>52</v>
      </c>
      <c r="C22" t="s">
        <v>576</v>
      </c>
      <c r="D22" t="s">
        <v>583</v>
      </c>
      <c r="E22" t="s">
        <v>584</v>
      </c>
      <c r="F22" t="s">
        <v>10</v>
      </c>
      <c r="G22" t="s">
        <v>583</v>
      </c>
      <c r="H22" t="s">
        <v>585</v>
      </c>
      <c r="I22" t="s">
        <v>32</v>
      </c>
      <c r="J22">
        <v>0</v>
      </c>
      <c r="K22">
        <v>6</v>
      </c>
      <c r="L22" s="4">
        <v>3.5000000000000001E-3</v>
      </c>
      <c r="M22">
        <v>0.02</v>
      </c>
      <c r="N22" s="4">
        <v>2.1000000000000001E-2</v>
      </c>
      <c r="O22" s="4">
        <v>0.12</v>
      </c>
    </row>
    <row r="23" spans="1:15">
      <c r="B23" t="s">
        <v>52</v>
      </c>
      <c r="C23" t="s">
        <v>80</v>
      </c>
      <c r="D23" t="s">
        <v>81</v>
      </c>
      <c r="E23" t="s">
        <v>82</v>
      </c>
      <c r="F23" t="s">
        <v>12</v>
      </c>
      <c r="G23" t="s">
        <v>81</v>
      </c>
      <c r="H23" t="s">
        <v>83</v>
      </c>
      <c r="I23" t="s">
        <v>32</v>
      </c>
      <c r="J23">
        <v>3</v>
      </c>
      <c r="K23">
        <v>0</v>
      </c>
      <c r="L23" s="4">
        <v>3.8199999999999998E-2</v>
      </c>
      <c r="M23">
        <v>0.09</v>
      </c>
      <c r="N23" s="4">
        <v>1.1459999999999999E-4</v>
      </c>
      <c r="O23" s="4">
        <v>2.7E-4</v>
      </c>
    </row>
    <row r="24" spans="1:15">
      <c r="B24" t="s">
        <v>52</v>
      </c>
      <c r="C24" t="s">
        <v>85</v>
      </c>
      <c r="D24" t="s">
        <v>112</v>
      </c>
      <c r="E24" t="s">
        <v>113</v>
      </c>
      <c r="F24" t="s">
        <v>12</v>
      </c>
      <c r="G24" t="s">
        <v>112</v>
      </c>
      <c r="H24" t="s">
        <v>114</v>
      </c>
      <c r="I24" t="s">
        <v>32</v>
      </c>
      <c r="J24">
        <v>8</v>
      </c>
      <c r="K24">
        <v>0</v>
      </c>
      <c r="L24" s="4">
        <v>3.8199999999999998E-2</v>
      </c>
      <c r="M24">
        <v>0.09</v>
      </c>
      <c r="N24" s="4">
        <v>3.056E-4</v>
      </c>
      <c r="O24" s="4">
        <v>7.1999999999999994E-4</v>
      </c>
    </row>
    <row r="25" spans="1:15">
      <c r="B25" t="s">
        <v>52</v>
      </c>
      <c r="C25" t="s">
        <v>85</v>
      </c>
      <c r="D25" t="s">
        <v>115</v>
      </c>
      <c r="E25" t="s">
        <v>116</v>
      </c>
      <c r="F25" t="s">
        <v>12</v>
      </c>
      <c r="G25" t="s">
        <v>115</v>
      </c>
      <c r="H25" t="s">
        <v>117</v>
      </c>
      <c r="I25" t="s">
        <v>32</v>
      </c>
      <c r="J25">
        <v>8</v>
      </c>
      <c r="K25">
        <v>0</v>
      </c>
      <c r="L25" s="4">
        <v>3.8199999999999998E-2</v>
      </c>
      <c r="M25">
        <v>0.09</v>
      </c>
      <c r="N25" s="4">
        <v>3.056E-4</v>
      </c>
      <c r="O25" s="4">
        <v>7.1999999999999994E-4</v>
      </c>
    </row>
    <row r="26" spans="1:15">
      <c r="B26" t="s">
        <v>52</v>
      </c>
      <c r="C26" t="s">
        <v>85</v>
      </c>
      <c r="D26" t="s">
        <v>118</v>
      </c>
      <c r="E26" t="s">
        <v>119</v>
      </c>
      <c r="F26" t="s">
        <v>12</v>
      </c>
      <c r="G26" t="s">
        <v>118</v>
      </c>
      <c r="H26" t="s">
        <v>120</v>
      </c>
      <c r="I26" t="s">
        <v>32</v>
      </c>
      <c r="J26">
        <v>8</v>
      </c>
      <c r="K26">
        <v>0</v>
      </c>
      <c r="L26" s="4">
        <v>3.8199999999999998E-2</v>
      </c>
      <c r="M26">
        <v>0.09</v>
      </c>
      <c r="N26" s="4">
        <v>3.056E-4</v>
      </c>
      <c r="O26" s="4">
        <v>7.1999999999999994E-4</v>
      </c>
    </row>
    <row r="27" spans="1:15">
      <c r="B27" t="s">
        <v>52</v>
      </c>
      <c r="C27" t="s">
        <v>85</v>
      </c>
      <c r="D27" t="s">
        <v>121</v>
      </c>
      <c r="E27" t="s">
        <v>122</v>
      </c>
      <c r="F27" t="s">
        <v>12</v>
      </c>
      <c r="G27" t="s">
        <v>121</v>
      </c>
      <c r="H27" t="s">
        <v>123</v>
      </c>
      <c r="I27" t="s">
        <v>32</v>
      </c>
      <c r="J27">
        <v>8</v>
      </c>
      <c r="K27">
        <v>0</v>
      </c>
      <c r="L27" s="4">
        <v>3.8199999999999998E-2</v>
      </c>
      <c r="M27">
        <v>0.09</v>
      </c>
      <c r="N27" s="4">
        <v>3.056E-4</v>
      </c>
      <c r="O27" s="4">
        <v>7.1999999999999994E-4</v>
      </c>
    </row>
    <row r="28" spans="1:15">
      <c r="B28" t="s">
        <v>52</v>
      </c>
      <c r="C28" t="s">
        <v>85</v>
      </c>
      <c r="D28" t="s">
        <v>124</v>
      </c>
      <c r="E28" t="s">
        <v>125</v>
      </c>
      <c r="F28" t="s">
        <v>12</v>
      </c>
      <c r="G28" t="s">
        <v>124</v>
      </c>
      <c r="H28" t="s">
        <v>126</v>
      </c>
      <c r="I28" t="s">
        <v>32</v>
      </c>
      <c r="J28">
        <v>8</v>
      </c>
      <c r="K28">
        <v>1</v>
      </c>
      <c r="L28" s="4">
        <v>3.8199999999999998E-2</v>
      </c>
      <c r="M28">
        <v>0.09</v>
      </c>
      <c r="N28" s="4">
        <v>3.056E-4</v>
      </c>
      <c r="O28" s="4">
        <v>7.1999999999999994E-4</v>
      </c>
    </row>
    <row r="29" spans="1:15">
      <c r="B29" t="s">
        <v>52</v>
      </c>
      <c r="C29" t="s">
        <v>85</v>
      </c>
      <c r="D29" t="s">
        <v>127</v>
      </c>
      <c r="E29" t="s">
        <v>128</v>
      </c>
      <c r="F29" t="s">
        <v>12</v>
      </c>
      <c r="G29" t="s">
        <v>127</v>
      </c>
      <c r="H29" t="s">
        <v>129</v>
      </c>
      <c r="I29" t="s">
        <v>32</v>
      </c>
      <c r="J29">
        <v>8</v>
      </c>
      <c r="K29">
        <v>0</v>
      </c>
      <c r="L29" s="4">
        <v>3.8199999999999998E-2</v>
      </c>
      <c r="M29">
        <v>0.09</v>
      </c>
      <c r="N29" s="4">
        <v>3.056E-4</v>
      </c>
      <c r="O29" s="4">
        <v>7.1999999999999994E-4</v>
      </c>
    </row>
    <row r="30" spans="1:15">
      <c r="B30" t="s">
        <v>52</v>
      </c>
      <c r="C30" t="s">
        <v>85</v>
      </c>
      <c r="D30" t="s">
        <v>130</v>
      </c>
      <c r="E30" t="s">
        <v>131</v>
      </c>
      <c r="F30" t="s">
        <v>12</v>
      </c>
      <c r="G30" t="s">
        <v>130</v>
      </c>
      <c r="H30" t="s">
        <v>132</v>
      </c>
      <c r="I30" t="s">
        <v>32</v>
      </c>
      <c r="J30">
        <v>8</v>
      </c>
      <c r="K30">
        <v>0</v>
      </c>
      <c r="L30" s="4">
        <v>3.8199999999999998E-2</v>
      </c>
      <c r="M30">
        <v>0.09</v>
      </c>
      <c r="N30" s="4">
        <v>3.056E-4</v>
      </c>
      <c r="O30" s="4">
        <v>7.1999999999999994E-4</v>
      </c>
    </row>
    <row r="31" spans="1:15">
      <c r="B31" t="s">
        <v>52</v>
      </c>
      <c r="C31" t="s">
        <v>85</v>
      </c>
      <c r="D31" t="s">
        <v>133</v>
      </c>
      <c r="E31" t="s">
        <v>134</v>
      </c>
      <c r="F31" t="s">
        <v>12</v>
      </c>
      <c r="G31" t="s">
        <v>133</v>
      </c>
      <c r="H31" t="s">
        <v>135</v>
      </c>
      <c r="I31" t="s">
        <v>32</v>
      </c>
      <c r="J31">
        <v>8</v>
      </c>
      <c r="K31">
        <v>0</v>
      </c>
      <c r="L31" s="4">
        <v>3.8199999999999998E-2</v>
      </c>
      <c r="M31">
        <v>0.09</v>
      </c>
      <c r="N31" s="4">
        <v>3.056E-4</v>
      </c>
      <c r="O31" s="4">
        <v>7.1999999999999994E-4</v>
      </c>
    </row>
    <row r="32" spans="1:15">
      <c r="B32" t="s">
        <v>52</v>
      </c>
      <c r="C32" t="s">
        <v>85</v>
      </c>
      <c r="D32" t="s">
        <v>136</v>
      </c>
      <c r="E32" t="s">
        <v>137</v>
      </c>
      <c r="F32" t="s">
        <v>12</v>
      </c>
      <c r="G32" t="s">
        <v>136</v>
      </c>
      <c r="H32" t="s">
        <v>138</v>
      </c>
      <c r="I32" t="s">
        <v>32</v>
      </c>
      <c r="J32">
        <v>8</v>
      </c>
      <c r="K32">
        <v>0</v>
      </c>
      <c r="L32" s="4">
        <v>3.8199999999999998E-2</v>
      </c>
      <c r="M32">
        <v>0.09</v>
      </c>
      <c r="N32" s="4">
        <v>3.056E-4</v>
      </c>
      <c r="O32" s="4">
        <v>7.1999999999999994E-4</v>
      </c>
    </row>
    <row r="33" spans="2:15">
      <c r="B33" t="s">
        <v>52</v>
      </c>
      <c r="C33" t="s">
        <v>85</v>
      </c>
      <c r="D33" t="s">
        <v>139</v>
      </c>
      <c r="E33" t="s">
        <v>140</v>
      </c>
      <c r="F33" t="s">
        <v>12</v>
      </c>
      <c r="G33" t="s">
        <v>139</v>
      </c>
      <c r="H33" t="s">
        <v>141</v>
      </c>
      <c r="I33" t="s">
        <v>32</v>
      </c>
      <c r="J33">
        <v>8</v>
      </c>
      <c r="K33">
        <v>0</v>
      </c>
      <c r="L33" s="4">
        <v>3.8199999999999998E-2</v>
      </c>
      <c r="M33">
        <v>0.09</v>
      </c>
      <c r="N33" s="4">
        <v>3.056E-4</v>
      </c>
      <c r="O33" s="4">
        <v>7.1999999999999994E-4</v>
      </c>
    </row>
    <row r="34" spans="2:15">
      <c r="B34" t="s">
        <v>52</v>
      </c>
      <c r="C34" t="s">
        <v>85</v>
      </c>
      <c r="D34" t="s">
        <v>142</v>
      </c>
      <c r="E34" t="s">
        <v>143</v>
      </c>
      <c r="F34" t="s">
        <v>12</v>
      </c>
      <c r="G34" t="s">
        <v>142</v>
      </c>
      <c r="H34" t="s">
        <v>144</v>
      </c>
      <c r="I34" t="s">
        <v>32</v>
      </c>
      <c r="J34">
        <v>8</v>
      </c>
      <c r="K34">
        <v>0</v>
      </c>
      <c r="L34" s="4">
        <v>3.8199999999999998E-2</v>
      </c>
      <c r="M34">
        <v>0.09</v>
      </c>
      <c r="N34" s="4">
        <v>3.056E-4</v>
      </c>
      <c r="O34" s="4">
        <v>7.1999999999999994E-4</v>
      </c>
    </row>
    <row r="35" spans="2:15">
      <c r="B35" t="s">
        <v>52</v>
      </c>
      <c r="C35" t="s">
        <v>85</v>
      </c>
      <c r="D35" t="s">
        <v>145</v>
      </c>
      <c r="E35" t="s">
        <v>146</v>
      </c>
      <c r="F35" t="s">
        <v>12</v>
      </c>
      <c r="G35" t="s">
        <v>145</v>
      </c>
      <c r="H35" t="s">
        <v>147</v>
      </c>
      <c r="I35" t="s">
        <v>32</v>
      </c>
      <c r="J35">
        <v>8</v>
      </c>
      <c r="K35">
        <v>0</v>
      </c>
      <c r="L35" s="4">
        <v>3.8199999999999998E-2</v>
      </c>
      <c r="M35">
        <v>0.09</v>
      </c>
      <c r="N35" s="4">
        <v>3.056E-4</v>
      </c>
      <c r="O35" s="4">
        <v>7.1999999999999994E-4</v>
      </c>
    </row>
    <row r="36" spans="2:15">
      <c r="B36" t="s">
        <v>52</v>
      </c>
      <c r="C36" t="s">
        <v>85</v>
      </c>
      <c r="D36" t="s">
        <v>148</v>
      </c>
      <c r="E36" t="s">
        <v>149</v>
      </c>
      <c r="F36" t="s">
        <v>12</v>
      </c>
      <c r="G36" t="s">
        <v>148</v>
      </c>
      <c r="H36" t="s">
        <v>150</v>
      </c>
      <c r="I36" t="s">
        <v>32</v>
      </c>
      <c r="J36">
        <v>8</v>
      </c>
      <c r="K36">
        <v>0</v>
      </c>
      <c r="L36" s="4">
        <v>3.8199999999999998E-2</v>
      </c>
      <c r="M36">
        <v>0.09</v>
      </c>
      <c r="N36" s="4">
        <v>3.056E-4</v>
      </c>
      <c r="O36" s="4">
        <v>7.1999999999999994E-4</v>
      </c>
    </row>
    <row r="37" spans="2:15">
      <c r="B37" t="s">
        <v>52</v>
      </c>
      <c r="C37" t="s">
        <v>53</v>
      </c>
      <c r="D37" t="s">
        <v>586</v>
      </c>
      <c r="E37" t="s">
        <v>587</v>
      </c>
      <c r="F37" t="s">
        <v>10</v>
      </c>
      <c r="G37" t="s">
        <v>586</v>
      </c>
      <c r="H37" t="s">
        <v>588</v>
      </c>
      <c r="I37" t="s">
        <v>32</v>
      </c>
      <c r="J37">
        <v>0</v>
      </c>
      <c r="K37">
        <v>29</v>
      </c>
      <c r="L37" s="4">
        <v>3.5000000000000001E-3</v>
      </c>
      <c r="M37">
        <v>0.02</v>
      </c>
      <c r="N37" s="4">
        <v>0.10150000000000001</v>
      </c>
      <c r="O37" s="4">
        <v>0.57999999999999996</v>
      </c>
    </row>
    <row r="38" spans="2:15">
      <c r="B38" t="s">
        <v>52</v>
      </c>
      <c r="C38" t="s">
        <v>53</v>
      </c>
      <c r="D38" t="s">
        <v>589</v>
      </c>
      <c r="E38" t="s">
        <v>590</v>
      </c>
      <c r="F38" t="s">
        <v>10</v>
      </c>
      <c r="G38" t="s">
        <v>589</v>
      </c>
      <c r="H38" t="s">
        <v>591</v>
      </c>
      <c r="I38" t="s">
        <v>32</v>
      </c>
      <c r="J38">
        <v>0</v>
      </c>
      <c r="K38">
        <v>7</v>
      </c>
      <c r="L38" s="4">
        <v>3.5000000000000001E-3</v>
      </c>
      <c r="M38">
        <v>0.02</v>
      </c>
      <c r="N38" s="4">
        <v>2.4500000000000001E-2</v>
      </c>
      <c r="O38" s="4">
        <v>0.14000000000000001</v>
      </c>
    </row>
    <row r="39" spans="2:15">
      <c r="B39" t="s">
        <v>52</v>
      </c>
      <c r="C39" t="s">
        <v>53</v>
      </c>
      <c r="D39" t="s">
        <v>592</v>
      </c>
      <c r="E39" t="s">
        <v>593</v>
      </c>
      <c r="F39" t="s">
        <v>10</v>
      </c>
      <c r="G39" t="s">
        <v>592</v>
      </c>
      <c r="H39" t="s">
        <v>594</v>
      </c>
      <c r="I39" t="s">
        <v>32</v>
      </c>
      <c r="J39">
        <v>0</v>
      </c>
      <c r="K39">
        <v>1</v>
      </c>
      <c r="L39" s="4">
        <v>3.5000000000000001E-3</v>
      </c>
      <c r="M39">
        <v>0.02</v>
      </c>
      <c r="N39" s="4">
        <v>3.5000000000000001E-3</v>
      </c>
      <c r="O39" s="4">
        <v>0.02</v>
      </c>
    </row>
    <row r="40" spans="2:15">
      <c r="B40" t="s">
        <v>52</v>
      </c>
      <c r="C40" t="s">
        <v>53</v>
      </c>
      <c r="D40" t="s">
        <v>595</v>
      </c>
      <c r="E40" t="s">
        <v>596</v>
      </c>
      <c r="F40" t="s">
        <v>10</v>
      </c>
      <c r="G40" t="s">
        <v>595</v>
      </c>
      <c r="H40" t="s">
        <v>597</v>
      </c>
      <c r="I40" t="s">
        <v>32</v>
      </c>
      <c r="J40">
        <v>0</v>
      </c>
      <c r="K40">
        <v>4</v>
      </c>
      <c r="L40" s="4">
        <v>3.5000000000000001E-3</v>
      </c>
      <c r="M40">
        <v>0.02</v>
      </c>
      <c r="N40" s="4">
        <v>1.4E-2</v>
      </c>
      <c r="O40" s="4">
        <v>0.08</v>
      </c>
    </row>
    <row r="41" spans="2:15">
      <c r="B41" t="s">
        <v>52</v>
      </c>
      <c r="C41" t="s">
        <v>53</v>
      </c>
      <c r="D41" t="s">
        <v>598</v>
      </c>
      <c r="E41" t="s">
        <v>599</v>
      </c>
      <c r="F41" t="s">
        <v>10</v>
      </c>
      <c r="G41" t="s">
        <v>598</v>
      </c>
      <c r="H41" t="s">
        <v>600</v>
      </c>
      <c r="I41" t="s">
        <v>32</v>
      </c>
      <c r="J41">
        <v>0</v>
      </c>
      <c r="K41">
        <v>5</v>
      </c>
      <c r="L41" s="4">
        <v>3.5000000000000001E-3</v>
      </c>
      <c r="M41">
        <v>0.02</v>
      </c>
      <c r="N41" s="4">
        <v>1.7500000000000002E-2</v>
      </c>
      <c r="O41" s="4">
        <v>0.1</v>
      </c>
    </row>
    <row r="42" spans="2:15">
      <c r="B42" t="s">
        <v>52</v>
      </c>
      <c r="C42" t="s">
        <v>53</v>
      </c>
      <c r="D42" t="s">
        <v>601</v>
      </c>
      <c r="E42" t="s">
        <v>602</v>
      </c>
      <c r="F42" t="s">
        <v>10</v>
      </c>
      <c r="G42" t="s">
        <v>601</v>
      </c>
      <c r="H42" t="s">
        <v>603</v>
      </c>
      <c r="I42" t="s">
        <v>32</v>
      </c>
      <c r="J42">
        <v>0</v>
      </c>
      <c r="K42">
        <v>1</v>
      </c>
      <c r="L42" s="4">
        <v>3.5000000000000001E-3</v>
      </c>
      <c r="M42">
        <v>0.02</v>
      </c>
      <c r="N42" s="4">
        <v>3.5000000000000001E-3</v>
      </c>
      <c r="O42" s="4">
        <v>0.02</v>
      </c>
    </row>
    <row r="43" spans="2:15">
      <c r="B43" t="s">
        <v>52</v>
      </c>
      <c r="C43" t="s">
        <v>53</v>
      </c>
      <c r="D43" t="s">
        <v>604</v>
      </c>
      <c r="E43" t="s">
        <v>605</v>
      </c>
      <c r="F43" t="s">
        <v>10</v>
      </c>
      <c r="G43" t="s">
        <v>604</v>
      </c>
      <c r="H43" t="s">
        <v>606</v>
      </c>
      <c r="I43" t="s">
        <v>32</v>
      </c>
      <c r="J43">
        <v>0</v>
      </c>
      <c r="K43">
        <v>2</v>
      </c>
      <c r="L43" s="4">
        <v>3.5000000000000001E-3</v>
      </c>
      <c r="M43">
        <v>0.02</v>
      </c>
      <c r="N43" s="4">
        <v>7.0000000000000001E-3</v>
      </c>
      <c r="O43" s="4">
        <v>0.04</v>
      </c>
    </row>
    <row r="44" spans="2:15">
      <c r="B44" t="s">
        <v>52</v>
      </c>
      <c r="C44" t="s">
        <v>53</v>
      </c>
      <c r="D44" t="s">
        <v>607</v>
      </c>
      <c r="E44" t="s">
        <v>608</v>
      </c>
      <c r="F44" t="s">
        <v>10</v>
      </c>
      <c r="G44" t="s">
        <v>607</v>
      </c>
      <c r="H44" t="s">
        <v>609</v>
      </c>
      <c r="I44" t="s">
        <v>32</v>
      </c>
      <c r="J44">
        <v>0</v>
      </c>
      <c r="K44">
        <v>1</v>
      </c>
      <c r="L44" s="4">
        <v>3.5000000000000001E-3</v>
      </c>
      <c r="M44">
        <v>0.02</v>
      </c>
      <c r="N44" s="4">
        <v>3.5000000000000001E-3</v>
      </c>
      <c r="O44" s="4">
        <v>0.02</v>
      </c>
    </row>
    <row r="45" spans="2:15">
      <c r="B45" t="s">
        <v>52</v>
      </c>
      <c r="C45" t="s">
        <v>53</v>
      </c>
      <c r="D45" t="s">
        <v>610</v>
      </c>
      <c r="E45" t="s">
        <v>611</v>
      </c>
      <c r="F45" t="s">
        <v>10</v>
      </c>
      <c r="G45" t="s">
        <v>610</v>
      </c>
      <c r="H45" t="s">
        <v>612</v>
      </c>
      <c r="I45" t="s">
        <v>32</v>
      </c>
      <c r="J45">
        <v>0</v>
      </c>
      <c r="K45">
        <v>1</v>
      </c>
      <c r="L45" s="4">
        <v>3.5000000000000001E-3</v>
      </c>
      <c r="M45">
        <v>0.02</v>
      </c>
      <c r="N45" s="4">
        <v>3.5000000000000001E-3</v>
      </c>
      <c r="O45" s="4">
        <v>0.02</v>
      </c>
    </row>
    <row r="46" spans="2:15">
      <c r="B46" t="s">
        <v>52</v>
      </c>
      <c r="C46" t="s">
        <v>53</v>
      </c>
      <c r="D46" t="s">
        <v>613</v>
      </c>
      <c r="E46" t="s">
        <v>614</v>
      </c>
      <c r="F46" t="s">
        <v>10</v>
      </c>
      <c r="G46" t="s">
        <v>613</v>
      </c>
      <c r="H46" t="s">
        <v>615</v>
      </c>
      <c r="I46" t="s">
        <v>32</v>
      </c>
      <c r="J46">
        <v>0</v>
      </c>
      <c r="K46">
        <v>1</v>
      </c>
      <c r="L46" s="4">
        <v>3.5000000000000001E-3</v>
      </c>
      <c r="M46">
        <v>0.02</v>
      </c>
      <c r="N46" s="4">
        <v>3.5000000000000001E-3</v>
      </c>
      <c r="O46" s="4">
        <v>0.02</v>
      </c>
    </row>
    <row r="47" spans="2:15">
      <c r="B47" t="s">
        <v>52</v>
      </c>
      <c r="C47" t="s">
        <v>53</v>
      </c>
      <c r="D47" t="s">
        <v>616</v>
      </c>
      <c r="E47" t="s">
        <v>617</v>
      </c>
      <c r="F47" t="s">
        <v>10</v>
      </c>
      <c r="G47" t="s">
        <v>616</v>
      </c>
      <c r="H47" t="s">
        <v>618</v>
      </c>
      <c r="I47" t="s">
        <v>32</v>
      </c>
      <c r="J47">
        <v>0</v>
      </c>
      <c r="K47">
        <v>1</v>
      </c>
      <c r="L47" s="4">
        <v>3.5000000000000001E-3</v>
      </c>
      <c r="M47">
        <v>0.02</v>
      </c>
      <c r="N47" s="4">
        <v>3.5000000000000001E-3</v>
      </c>
      <c r="O47" s="4">
        <v>0.02</v>
      </c>
    </row>
    <row r="48" spans="2:15">
      <c r="B48" t="s">
        <v>52</v>
      </c>
      <c r="C48" t="s">
        <v>53</v>
      </c>
      <c r="D48" t="s">
        <v>619</v>
      </c>
      <c r="E48" t="s">
        <v>620</v>
      </c>
      <c r="F48" t="s">
        <v>10</v>
      </c>
      <c r="G48" t="s">
        <v>619</v>
      </c>
      <c r="H48" t="s">
        <v>621</v>
      </c>
      <c r="I48" t="s">
        <v>32</v>
      </c>
      <c r="J48">
        <v>0</v>
      </c>
      <c r="K48">
        <v>1</v>
      </c>
      <c r="L48" s="4">
        <v>3.5000000000000001E-3</v>
      </c>
      <c r="M48">
        <v>0.02</v>
      </c>
      <c r="N48" s="4">
        <v>3.5000000000000001E-3</v>
      </c>
      <c r="O48" s="4">
        <v>0.02</v>
      </c>
    </row>
    <row r="49" spans="2:15">
      <c r="B49" t="s">
        <v>52</v>
      </c>
      <c r="C49" t="s">
        <v>53</v>
      </c>
      <c r="D49" t="s">
        <v>622</v>
      </c>
      <c r="E49" t="s">
        <v>623</v>
      </c>
      <c r="F49" t="s">
        <v>10</v>
      </c>
      <c r="G49" t="s">
        <v>622</v>
      </c>
      <c r="H49" t="s">
        <v>624</v>
      </c>
      <c r="I49" t="s">
        <v>32</v>
      </c>
      <c r="J49">
        <v>0</v>
      </c>
      <c r="K49">
        <v>1</v>
      </c>
      <c r="L49" s="4">
        <v>3.5000000000000001E-3</v>
      </c>
      <c r="M49">
        <v>0.02</v>
      </c>
      <c r="N49" s="4">
        <v>3.5000000000000001E-3</v>
      </c>
      <c r="O49" s="4">
        <v>0.02</v>
      </c>
    </row>
    <row r="50" spans="2:15">
      <c r="B50" t="s">
        <v>52</v>
      </c>
      <c r="C50" t="s">
        <v>53</v>
      </c>
      <c r="D50" t="s">
        <v>625</v>
      </c>
      <c r="E50" t="s">
        <v>626</v>
      </c>
      <c r="F50" t="s">
        <v>10</v>
      </c>
      <c r="G50" t="s">
        <v>625</v>
      </c>
      <c r="H50" t="s">
        <v>627</v>
      </c>
      <c r="I50" t="s">
        <v>32</v>
      </c>
      <c r="J50">
        <v>0</v>
      </c>
      <c r="K50">
        <v>1</v>
      </c>
      <c r="L50" s="4">
        <v>3.5000000000000001E-3</v>
      </c>
      <c r="M50">
        <v>0.02</v>
      </c>
      <c r="N50" s="4">
        <v>3.5000000000000001E-3</v>
      </c>
      <c r="O50" s="4">
        <v>0.02</v>
      </c>
    </row>
    <row r="51" spans="2:15">
      <c r="B51" t="s">
        <v>52</v>
      </c>
      <c r="C51" t="s">
        <v>53</v>
      </c>
      <c r="D51" t="s">
        <v>628</v>
      </c>
      <c r="E51" t="s">
        <v>629</v>
      </c>
      <c r="F51" t="s">
        <v>10</v>
      </c>
      <c r="G51" t="s">
        <v>628</v>
      </c>
      <c r="H51" t="s">
        <v>630</v>
      </c>
      <c r="I51" t="s">
        <v>32</v>
      </c>
      <c r="J51">
        <v>0</v>
      </c>
      <c r="K51">
        <v>2</v>
      </c>
      <c r="L51" s="4">
        <v>3.5000000000000001E-3</v>
      </c>
      <c r="M51">
        <v>0.02</v>
      </c>
      <c r="N51" s="4">
        <v>7.0000000000000001E-3</v>
      </c>
      <c r="O51" s="4">
        <v>0.04</v>
      </c>
    </row>
    <row r="52" spans="2:15">
      <c r="B52" t="s">
        <v>52</v>
      </c>
      <c r="C52" t="s">
        <v>53</v>
      </c>
      <c r="D52" t="s">
        <v>631</v>
      </c>
      <c r="E52" t="s">
        <v>632</v>
      </c>
      <c r="F52" t="s">
        <v>10</v>
      </c>
      <c r="G52" t="s">
        <v>631</v>
      </c>
      <c r="H52" t="s">
        <v>633</v>
      </c>
      <c r="I52" t="s">
        <v>32</v>
      </c>
      <c r="J52">
        <v>0</v>
      </c>
      <c r="K52">
        <v>6</v>
      </c>
      <c r="L52" s="4">
        <v>3.5000000000000001E-3</v>
      </c>
      <c r="M52">
        <v>0.02</v>
      </c>
      <c r="N52" s="4">
        <v>2.1000000000000001E-2</v>
      </c>
      <c r="O52" s="4">
        <v>0.12</v>
      </c>
    </row>
    <row r="53" spans="2:15">
      <c r="B53" t="s">
        <v>52</v>
      </c>
      <c r="C53" t="s">
        <v>53</v>
      </c>
      <c r="D53" t="s">
        <v>634</v>
      </c>
      <c r="E53" t="s">
        <v>635</v>
      </c>
      <c r="F53" t="s">
        <v>10</v>
      </c>
      <c r="G53" t="s">
        <v>634</v>
      </c>
      <c r="H53" t="s">
        <v>636</v>
      </c>
      <c r="I53" t="s">
        <v>32</v>
      </c>
      <c r="J53">
        <v>0</v>
      </c>
      <c r="K53">
        <v>2</v>
      </c>
      <c r="L53" s="4">
        <v>3.5000000000000001E-3</v>
      </c>
      <c r="M53">
        <v>0.02</v>
      </c>
      <c r="N53" s="4">
        <v>7.0000000000000001E-3</v>
      </c>
      <c r="O53" s="4">
        <v>0.04</v>
      </c>
    </row>
    <row r="54" spans="2:15">
      <c r="B54" t="s">
        <v>52</v>
      </c>
      <c r="C54" t="s">
        <v>53</v>
      </c>
      <c r="D54" t="s">
        <v>637</v>
      </c>
      <c r="E54" t="s">
        <v>638</v>
      </c>
      <c r="F54" t="s">
        <v>10</v>
      </c>
      <c r="G54" t="s">
        <v>637</v>
      </c>
      <c r="H54" t="s">
        <v>639</v>
      </c>
      <c r="I54" t="s">
        <v>32</v>
      </c>
      <c r="J54">
        <v>0</v>
      </c>
      <c r="K54">
        <v>1</v>
      </c>
      <c r="L54" s="4">
        <v>3.5000000000000001E-3</v>
      </c>
      <c r="M54">
        <v>0.02</v>
      </c>
      <c r="N54" s="4">
        <v>3.5000000000000001E-3</v>
      </c>
      <c r="O54" s="4">
        <v>0.02</v>
      </c>
    </row>
    <row r="55" spans="2:15">
      <c r="B55" t="s">
        <v>52</v>
      </c>
      <c r="C55" t="s">
        <v>53</v>
      </c>
      <c r="D55" t="s">
        <v>640</v>
      </c>
      <c r="E55" t="s">
        <v>641</v>
      </c>
      <c r="F55" t="s">
        <v>10</v>
      </c>
      <c r="G55" t="s">
        <v>640</v>
      </c>
      <c r="H55" t="s">
        <v>642</v>
      </c>
      <c r="I55" t="s">
        <v>32</v>
      </c>
      <c r="J55">
        <v>0</v>
      </c>
      <c r="K55">
        <v>1</v>
      </c>
      <c r="L55" s="4">
        <v>3.5000000000000001E-3</v>
      </c>
      <c r="M55">
        <v>0.02</v>
      </c>
      <c r="N55" s="4">
        <v>3.5000000000000001E-3</v>
      </c>
      <c r="O55" s="4">
        <v>0.02</v>
      </c>
    </row>
    <row r="56" spans="2:15">
      <c r="B56" t="s">
        <v>52</v>
      </c>
      <c r="C56" t="s">
        <v>53</v>
      </c>
      <c r="D56" t="s">
        <v>643</v>
      </c>
      <c r="E56" t="s">
        <v>644</v>
      </c>
      <c r="F56" t="s">
        <v>10</v>
      </c>
      <c r="G56" t="s">
        <v>643</v>
      </c>
      <c r="H56" t="s">
        <v>645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52</v>
      </c>
      <c r="C57" t="s">
        <v>53</v>
      </c>
      <c r="D57" t="s">
        <v>285</v>
      </c>
      <c r="E57" t="s">
        <v>286</v>
      </c>
      <c r="F57" t="s">
        <v>10</v>
      </c>
      <c r="G57" t="s">
        <v>285</v>
      </c>
      <c r="H57" t="s">
        <v>287</v>
      </c>
      <c r="I57" t="s">
        <v>32</v>
      </c>
      <c r="J57">
        <v>0</v>
      </c>
      <c r="K57">
        <v>37</v>
      </c>
      <c r="L57" s="4">
        <v>3.5000000000000001E-3</v>
      </c>
      <c r="M57">
        <v>0.02</v>
      </c>
      <c r="N57" s="4">
        <v>0.1295</v>
      </c>
      <c r="O57" s="4">
        <v>0.74</v>
      </c>
    </row>
    <row r="58" spans="2:15">
      <c r="B58" t="s">
        <v>52</v>
      </c>
      <c r="C58" t="s">
        <v>53</v>
      </c>
      <c r="D58" t="s">
        <v>288</v>
      </c>
      <c r="E58" t="s">
        <v>289</v>
      </c>
      <c r="F58" t="s">
        <v>10</v>
      </c>
      <c r="G58" t="s">
        <v>288</v>
      </c>
      <c r="H58" t="s">
        <v>290</v>
      </c>
      <c r="I58" t="s">
        <v>32</v>
      </c>
      <c r="J58">
        <v>0</v>
      </c>
      <c r="K58">
        <v>93</v>
      </c>
      <c r="L58" s="4">
        <v>3.5000000000000001E-3</v>
      </c>
      <c r="M58">
        <v>0.02</v>
      </c>
      <c r="N58" s="4">
        <v>0.32550000000000001</v>
      </c>
      <c r="O58" s="4">
        <v>1.86</v>
      </c>
    </row>
    <row r="59" spans="2:15">
      <c r="B59" t="s">
        <v>52</v>
      </c>
      <c r="C59" t="s">
        <v>53</v>
      </c>
      <c r="D59" t="s">
        <v>291</v>
      </c>
      <c r="E59" t="s">
        <v>292</v>
      </c>
      <c r="F59" t="s">
        <v>10</v>
      </c>
      <c r="G59" t="s">
        <v>291</v>
      </c>
      <c r="H59" t="s">
        <v>293</v>
      </c>
      <c r="I59" t="s">
        <v>32</v>
      </c>
      <c r="J59">
        <v>0</v>
      </c>
      <c r="K59">
        <v>941</v>
      </c>
      <c r="L59" s="4">
        <v>3.5000000000000001E-3</v>
      </c>
      <c r="M59">
        <v>0.02</v>
      </c>
      <c r="N59" s="4">
        <v>3.2934999999999999</v>
      </c>
      <c r="O59" s="4">
        <v>18.82</v>
      </c>
    </row>
    <row r="60" spans="2:15">
      <c r="B60" t="s">
        <v>52</v>
      </c>
      <c r="C60" t="s">
        <v>53</v>
      </c>
      <c r="D60" t="s">
        <v>294</v>
      </c>
      <c r="E60" t="s">
        <v>295</v>
      </c>
      <c r="F60" t="s">
        <v>10</v>
      </c>
      <c r="G60" t="s">
        <v>294</v>
      </c>
      <c r="H60" t="s">
        <v>296</v>
      </c>
      <c r="I60" t="s">
        <v>32</v>
      </c>
      <c r="J60">
        <v>0</v>
      </c>
      <c r="K60">
        <v>782</v>
      </c>
      <c r="L60" s="4">
        <v>3.5000000000000001E-3</v>
      </c>
      <c r="M60">
        <v>0.02</v>
      </c>
      <c r="N60" s="4">
        <v>2.7370000000000001</v>
      </c>
      <c r="O60" s="4">
        <v>15.64</v>
      </c>
    </row>
    <row r="61" spans="2:15">
      <c r="B61" t="s">
        <v>52</v>
      </c>
      <c r="C61" t="s">
        <v>53</v>
      </c>
      <c r="D61" t="s">
        <v>151</v>
      </c>
      <c r="E61" t="s">
        <v>152</v>
      </c>
      <c r="F61" t="s">
        <v>10</v>
      </c>
      <c r="G61" t="s">
        <v>151</v>
      </c>
      <c r="H61" t="s">
        <v>153</v>
      </c>
      <c r="I61" t="s">
        <v>32</v>
      </c>
      <c r="J61">
        <v>0</v>
      </c>
      <c r="K61">
        <v>2055</v>
      </c>
      <c r="L61" s="4">
        <v>3.5000000000000001E-3</v>
      </c>
      <c r="M61">
        <v>0.02</v>
      </c>
      <c r="N61" s="4">
        <v>7.1924999999999999</v>
      </c>
      <c r="O61" s="4">
        <v>41.1</v>
      </c>
    </row>
    <row r="62" spans="2:15">
      <c r="B62" t="s">
        <v>52</v>
      </c>
      <c r="C62" t="s">
        <v>53</v>
      </c>
      <c r="D62" t="s">
        <v>646</v>
      </c>
      <c r="E62" t="s">
        <v>647</v>
      </c>
      <c r="F62" t="s">
        <v>10</v>
      </c>
      <c r="G62" t="s">
        <v>646</v>
      </c>
      <c r="H62" t="s">
        <v>648</v>
      </c>
      <c r="I62" t="s">
        <v>32</v>
      </c>
      <c r="J62">
        <v>0</v>
      </c>
      <c r="K62">
        <v>17</v>
      </c>
      <c r="L62" s="4">
        <v>3.5000000000000001E-3</v>
      </c>
      <c r="M62">
        <v>0.02</v>
      </c>
      <c r="N62" s="4">
        <v>5.9500000000000004E-2</v>
      </c>
      <c r="O62" s="4">
        <v>0.34</v>
      </c>
    </row>
    <row r="63" spans="2:15">
      <c r="B63" t="s">
        <v>52</v>
      </c>
      <c r="C63" t="s">
        <v>53</v>
      </c>
      <c r="D63" t="s">
        <v>649</v>
      </c>
      <c r="E63" t="s">
        <v>650</v>
      </c>
      <c r="F63" t="s">
        <v>10</v>
      </c>
      <c r="G63" t="s">
        <v>649</v>
      </c>
      <c r="H63" t="s">
        <v>651</v>
      </c>
      <c r="I63" t="s">
        <v>32</v>
      </c>
      <c r="J63">
        <v>0</v>
      </c>
      <c r="K63">
        <v>187</v>
      </c>
      <c r="L63" s="4">
        <v>3.5000000000000001E-3</v>
      </c>
      <c r="M63">
        <v>0.02</v>
      </c>
      <c r="N63" s="4">
        <v>0.65449999999999997</v>
      </c>
      <c r="O63" s="4">
        <v>3.74</v>
      </c>
    </row>
    <row r="64" spans="2:15">
      <c r="B64" t="s">
        <v>52</v>
      </c>
      <c r="C64" t="s">
        <v>53</v>
      </c>
      <c r="D64" t="s">
        <v>154</v>
      </c>
      <c r="E64" t="s">
        <v>155</v>
      </c>
      <c r="F64" t="s">
        <v>10</v>
      </c>
      <c r="G64" t="s">
        <v>154</v>
      </c>
      <c r="H64" t="s">
        <v>156</v>
      </c>
      <c r="I64" t="s">
        <v>32</v>
      </c>
      <c r="J64">
        <v>0</v>
      </c>
      <c r="K64">
        <v>3</v>
      </c>
      <c r="L64" s="4">
        <v>3.5000000000000001E-3</v>
      </c>
      <c r="M64">
        <v>0.02</v>
      </c>
      <c r="N64" s="4">
        <v>1.0500000000000001E-2</v>
      </c>
      <c r="O64" s="4">
        <v>0.06</v>
      </c>
    </row>
    <row r="65" spans="2:15">
      <c r="B65" t="s">
        <v>52</v>
      </c>
      <c r="C65" t="s">
        <v>53</v>
      </c>
      <c r="D65" t="s">
        <v>652</v>
      </c>
      <c r="E65" t="s">
        <v>653</v>
      </c>
      <c r="F65" t="s">
        <v>10</v>
      </c>
      <c r="G65" t="s">
        <v>652</v>
      </c>
      <c r="H65" t="s">
        <v>654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52</v>
      </c>
      <c r="C66" t="s">
        <v>53</v>
      </c>
      <c r="D66" t="s">
        <v>157</v>
      </c>
      <c r="E66" t="s">
        <v>158</v>
      </c>
      <c r="F66" t="s">
        <v>10</v>
      </c>
      <c r="G66" t="s">
        <v>157</v>
      </c>
      <c r="H66" t="s">
        <v>159</v>
      </c>
      <c r="I66" t="s">
        <v>32</v>
      </c>
      <c r="J66">
        <v>0</v>
      </c>
      <c r="K66">
        <v>3</v>
      </c>
      <c r="L66" s="4">
        <v>3.5000000000000001E-3</v>
      </c>
      <c r="M66">
        <v>0.02</v>
      </c>
      <c r="N66" s="4">
        <v>1.0500000000000001E-2</v>
      </c>
      <c r="O66" s="4">
        <v>0.06</v>
      </c>
    </row>
    <row r="67" spans="2:15">
      <c r="B67" t="s">
        <v>52</v>
      </c>
      <c r="C67" t="s">
        <v>53</v>
      </c>
      <c r="D67" t="s">
        <v>655</v>
      </c>
      <c r="E67" t="s">
        <v>656</v>
      </c>
      <c r="F67" t="s">
        <v>10</v>
      </c>
      <c r="G67" t="s">
        <v>655</v>
      </c>
      <c r="H67" t="s">
        <v>657</v>
      </c>
      <c r="I67" t="s">
        <v>32</v>
      </c>
      <c r="J67">
        <v>0</v>
      </c>
      <c r="K67">
        <v>1</v>
      </c>
      <c r="L67" s="4">
        <v>3.5000000000000001E-3</v>
      </c>
      <c r="M67">
        <v>0.02</v>
      </c>
      <c r="N67" s="4">
        <v>3.5000000000000001E-3</v>
      </c>
      <c r="O67" s="4">
        <v>0.02</v>
      </c>
    </row>
    <row r="68" spans="2:15">
      <c r="B68" t="s">
        <v>52</v>
      </c>
      <c r="C68" t="s">
        <v>53</v>
      </c>
      <c r="D68" t="s">
        <v>160</v>
      </c>
      <c r="E68" t="s">
        <v>161</v>
      </c>
      <c r="F68" t="s">
        <v>10</v>
      </c>
      <c r="G68" t="s">
        <v>160</v>
      </c>
      <c r="H68" t="s">
        <v>162</v>
      </c>
      <c r="I68" t="s">
        <v>32</v>
      </c>
      <c r="J68">
        <v>0</v>
      </c>
      <c r="K68">
        <v>2</v>
      </c>
      <c r="L68" s="4">
        <v>3.5000000000000001E-3</v>
      </c>
      <c r="M68">
        <v>0.02</v>
      </c>
      <c r="N68" s="4">
        <v>7.0000000000000001E-3</v>
      </c>
      <c r="O68" s="4">
        <v>0.04</v>
      </c>
    </row>
    <row r="69" spans="2:15">
      <c r="B69" t="s">
        <v>52</v>
      </c>
      <c r="C69" t="s">
        <v>53</v>
      </c>
      <c r="D69" t="s">
        <v>163</v>
      </c>
      <c r="E69" t="s">
        <v>164</v>
      </c>
      <c r="F69" t="s">
        <v>10</v>
      </c>
      <c r="G69" t="s">
        <v>163</v>
      </c>
      <c r="H69" t="s">
        <v>165</v>
      </c>
      <c r="I69" t="s">
        <v>32</v>
      </c>
      <c r="J69">
        <v>0</v>
      </c>
      <c r="K69">
        <v>25</v>
      </c>
      <c r="L69" s="4">
        <v>3.5000000000000001E-3</v>
      </c>
      <c r="M69">
        <v>0.02</v>
      </c>
      <c r="N69" s="4">
        <v>8.7500000000000008E-2</v>
      </c>
      <c r="O69" s="4">
        <v>0.5</v>
      </c>
    </row>
    <row r="70" spans="2:15">
      <c r="B70" t="s">
        <v>52</v>
      </c>
      <c r="C70" t="s">
        <v>53</v>
      </c>
      <c r="D70" t="s">
        <v>658</v>
      </c>
      <c r="E70" t="s">
        <v>659</v>
      </c>
      <c r="F70" t="s">
        <v>10</v>
      </c>
      <c r="G70" t="s">
        <v>658</v>
      </c>
      <c r="H70" t="s">
        <v>660</v>
      </c>
      <c r="I70" t="s">
        <v>32</v>
      </c>
      <c r="J70">
        <v>0</v>
      </c>
      <c r="K70">
        <v>22</v>
      </c>
      <c r="L70" s="4">
        <v>3.5000000000000001E-3</v>
      </c>
      <c r="M70">
        <v>0.02</v>
      </c>
      <c r="N70" s="4">
        <v>7.6999999999999999E-2</v>
      </c>
      <c r="O70" s="4">
        <v>0.44</v>
      </c>
    </row>
    <row r="71" spans="2:15">
      <c r="B71" t="s">
        <v>52</v>
      </c>
      <c r="C71" t="s">
        <v>53</v>
      </c>
      <c r="D71" t="s">
        <v>166</v>
      </c>
      <c r="E71" t="s">
        <v>167</v>
      </c>
      <c r="F71" t="s">
        <v>10</v>
      </c>
      <c r="G71" t="s">
        <v>166</v>
      </c>
      <c r="H71" t="s">
        <v>168</v>
      </c>
      <c r="I71" t="s">
        <v>32</v>
      </c>
      <c r="J71">
        <v>0</v>
      </c>
      <c r="K71">
        <v>2</v>
      </c>
      <c r="L71" s="4">
        <v>3.5000000000000001E-3</v>
      </c>
      <c r="M71">
        <v>0.02</v>
      </c>
      <c r="N71" s="4">
        <v>7.0000000000000001E-3</v>
      </c>
      <c r="O71" s="4">
        <v>0.04</v>
      </c>
    </row>
    <row r="72" spans="2:15">
      <c r="B72" t="s">
        <v>52</v>
      </c>
      <c r="C72" t="s">
        <v>53</v>
      </c>
      <c r="D72" t="s">
        <v>297</v>
      </c>
      <c r="E72" t="s">
        <v>298</v>
      </c>
      <c r="F72" t="s">
        <v>10</v>
      </c>
      <c r="G72" t="s">
        <v>297</v>
      </c>
      <c r="H72" t="s">
        <v>299</v>
      </c>
      <c r="I72" t="s">
        <v>32</v>
      </c>
      <c r="J72">
        <v>0</v>
      </c>
      <c r="K72">
        <v>123</v>
      </c>
      <c r="L72" s="4">
        <v>3.5000000000000001E-3</v>
      </c>
      <c r="M72">
        <v>0.02</v>
      </c>
      <c r="N72" s="4">
        <v>0.43049999999999999</v>
      </c>
      <c r="O72" s="4">
        <v>2.46</v>
      </c>
    </row>
    <row r="73" spans="2:15">
      <c r="B73" t="s">
        <v>52</v>
      </c>
      <c r="C73" t="s">
        <v>53</v>
      </c>
      <c r="D73" t="s">
        <v>300</v>
      </c>
      <c r="E73" t="s">
        <v>301</v>
      </c>
      <c r="F73" t="s">
        <v>10</v>
      </c>
      <c r="G73" t="s">
        <v>300</v>
      </c>
      <c r="H73" t="s">
        <v>302</v>
      </c>
      <c r="I73" t="s">
        <v>32</v>
      </c>
      <c r="J73">
        <v>0</v>
      </c>
      <c r="K73">
        <v>2752</v>
      </c>
      <c r="L73" s="4">
        <v>3.5000000000000001E-3</v>
      </c>
      <c r="M73">
        <v>0.02</v>
      </c>
      <c r="N73" s="4">
        <v>9.6319999999999997</v>
      </c>
      <c r="O73" s="4">
        <v>55.04</v>
      </c>
    </row>
    <row r="74" spans="2:15">
      <c r="B74" t="s">
        <v>52</v>
      </c>
      <c r="C74" t="s">
        <v>53</v>
      </c>
      <c r="D74" t="s">
        <v>303</v>
      </c>
      <c r="E74" t="s">
        <v>304</v>
      </c>
      <c r="F74" t="s">
        <v>10</v>
      </c>
      <c r="G74" t="s">
        <v>303</v>
      </c>
      <c r="H74" t="s">
        <v>305</v>
      </c>
      <c r="I74" t="s">
        <v>32</v>
      </c>
      <c r="J74">
        <v>0</v>
      </c>
      <c r="K74">
        <v>2</v>
      </c>
      <c r="L74" s="4">
        <v>3.5000000000000001E-3</v>
      </c>
      <c r="M74">
        <v>0.02</v>
      </c>
      <c r="N74" s="4">
        <v>7.0000000000000001E-3</v>
      </c>
      <c r="O74" s="4">
        <v>0.04</v>
      </c>
    </row>
    <row r="75" spans="2:15">
      <c r="B75" t="s">
        <v>52</v>
      </c>
      <c r="C75" t="s">
        <v>53</v>
      </c>
      <c r="D75" t="s">
        <v>306</v>
      </c>
      <c r="E75" t="s">
        <v>307</v>
      </c>
      <c r="F75" t="s">
        <v>10</v>
      </c>
      <c r="G75" t="s">
        <v>306</v>
      </c>
      <c r="H75" t="s">
        <v>308</v>
      </c>
      <c r="I75" t="s">
        <v>32</v>
      </c>
      <c r="J75">
        <v>0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52</v>
      </c>
      <c r="C76" t="s">
        <v>53</v>
      </c>
      <c r="D76" t="s">
        <v>309</v>
      </c>
      <c r="E76" t="s">
        <v>310</v>
      </c>
      <c r="F76" t="s">
        <v>10</v>
      </c>
      <c r="G76" t="s">
        <v>309</v>
      </c>
      <c r="H76" t="s">
        <v>311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52</v>
      </c>
      <c r="C77" t="s">
        <v>53</v>
      </c>
      <c r="D77" t="s">
        <v>312</v>
      </c>
      <c r="E77" t="s">
        <v>313</v>
      </c>
      <c r="F77" t="s">
        <v>10</v>
      </c>
      <c r="G77" t="s">
        <v>312</v>
      </c>
      <c r="H77" t="s">
        <v>314</v>
      </c>
      <c r="I77" t="s">
        <v>32</v>
      </c>
      <c r="J77">
        <v>0</v>
      </c>
      <c r="K77">
        <v>14</v>
      </c>
      <c r="L77" s="4">
        <v>3.5000000000000001E-3</v>
      </c>
      <c r="M77">
        <v>0.02</v>
      </c>
      <c r="N77" s="4">
        <v>4.9000000000000002E-2</v>
      </c>
      <c r="O77" s="4">
        <v>0.28000000000000003</v>
      </c>
    </row>
    <row r="78" spans="2:15">
      <c r="B78" t="s">
        <v>52</v>
      </c>
      <c r="C78" t="s">
        <v>53</v>
      </c>
      <c r="D78" t="s">
        <v>315</v>
      </c>
      <c r="E78" t="s">
        <v>316</v>
      </c>
      <c r="F78" t="s">
        <v>10</v>
      </c>
      <c r="G78" t="s">
        <v>315</v>
      </c>
      <c r="H78" t="s">
        <v>317</v>
      </c>
      <c r="I78" t="s">
        <v>32</v>
      </c>
      <c r="J78">
        <v>0</v>
      </c>
      <c r="K78">
        <v>6</v>
      </c>
      <c r="L78" s="4">
        <v>3.5000000000000001E-3</v>
      </c>
      <c r="M78">
        <v>0.02</v>
      </c>
      <c r="N78" s="4">
        <v>2.1000000000000001E-2</v>
      </c>
      <c r="O78" s="4">
        <v>0.12</v>
      </c>
    </row>
    <row r="79" spans="2:15">
      <c r="B79" t="s">
        <v>52</v>
      </c>
      <c r="C79" t="s">
        <v>53</v>
      </c>
      <c r="D79" t="s">
        <v>661</v>
      </c>
      <c r="E79" t="s">
        <v>662</v>
      </c>
      <c r="F79" t="s">
        <v>10</v>
      </c>
      <c r="G79" t="s">
        <v>661</v>
      </c>
      <c r="H79" t="s">
        <v>663</v>
      </c>
      <c r="I79" t="s">
        <v>32</v>
      </c>
      <c r="J79">
        <v>0</v>
      </c>
      <c r="K79">
        <v>1</v>
      </c>
      <c r="L79" s="4">
        <v>3.5000000000000001E-3</v>
      </c>
      <c r="M79">
        <v>0.02</v>
      </c>
      <c r="N79" s="4">
        <v>3.5000000000000001E-3</v>
      </c>
      <c r="O79" s="4">
        <v>0.02</v>
      </c>
    </row>
    <row r="80" spans="2:15">
      <c r="B80" t="s">
        <v>52</v>
      </c>
      <c r="C80" t="s">
        <v>53</v>
      </c>
      <c r="D80" t="s">
        <v>664</v>
      </c>
      <c r="E80" t="s">
        <v>665</v>
      </c>
      <c r="F80" t="s">
        <v>10</v>
      </c>
      <c r="G80" t="s">
        <v>664</v>
      </c>
      <c r="H80" t="s">
        <v>666</v>
      </c>
      <c r="I80" t="s">
        <v>32</v>
      </c>
      <c r="J80">
        <v>0</v>
      </c>
      <c r="K80">
        <v>1</v>
      </c>
      <c r="L80" s="4">
        <v>3.5000000000000001E-3</v>
      </c>
      <c r="M80">
        <v>0.02</v>
      </c>
      <c r="N80" s="4">
        <v>3.5000000000000001E-3</v>
      </c>
      <c r="O80" s="4">
        <v>0.02</v>
      </c>
    </row>
    <row r="81" spans="2:15">
      <c r="B81" t="s">
        <v>52</v>
      </c>
      <c r="C81" t="s">
        <v>53</v>
      </c>
      <c r="D81" t="s">
        <v>667</v>
      </c>
      <c r="E81" t="s">
        <v>668</v>
      </c>
      <c r="F81" t="s">
        <v>10</v>
      </c>
      <c r="G81" t="s">
        <v>667</v>
      </c>
      <c r="H81" t="s">
        <v>669</v>
      </c>
      <c r="I81" t="s">
        <v>32</v>
      </c>
      <c r="J81">
        <v>0</v>
      </c>
      <c r="K81">
        <v>1</v>
      </c>
      <c r="L81" s="4">
        <v>3.5000000000000001E-3</v>
      </c>
      <c r="M81">
        <v>0.02</v>
      </c>
      <c r="N81" s="4">
        <v>3.5000000000000001E-3</v>
      </c>
      <c r="O81" s="4">
        <v>0.02</v>
      </c>
    </row>
    <row r="82" spans="2:15">
      <c r="B82" t="s">
        <v>52</v>
      </c>
      <c r="C82" t="s">
        <v>53</v>
      </c>
      <c r="D82" t="s">
        <v>670</v>
      </c>
      <c r="E82" t="s">
        <v>671</v>
      </c>
      <c r="F82" t="s">
        <v>10</v>
      </c>
      <c r="G82" t="s">
        <v>670</v>
      </c>
      <c r="H82" t="s">
        <v>672</v>
      </c>
      <c r="I82" t="s">
        <v>32</v>
      </c>
      <c r="J82">
        <v>0</v>
      </c>
      <c r="K82">
        <v>65</v>
      </c>
      <c r="L82" s="4">
        <v>3.5000000000000001E-3</v>
      </c>
      <c r="M82">
        <v>0.02</v>
      </c>
      <c r="N82" s="4">
        <v>0.22750000000000001</v>
      </c>
      <c r="O82" s="4">
        <v>1.3</v>
      </c>
    </row>
    <row r="83" spans="2:15">
      <c r="B83" t="s">
        <v>52</v>
      </c>
      <c r="C83" t="s">
        <v>53</v>
      </c>
      <c r="D83" t="s">
        <v>673</v>
      </c>
      <c r="E83" t="s">
        <v>674</v>
      </c>
      <c r="F83" t="s">
        <v>10</v>
      </c>
      <c r="G83" t="s">
        <v>673</v>
      </c>
      <c r="H83" t="s">
        <v>675</v>
      </c>
      <c r="I83" t="s">
        <v>32</v>
      </c>
      <c r="J83">
        <v>0</v>
      </c>
      <c r="K83">
        <v>2</v>
      </c>
      <c r="L83" s="4">
        <v>3.5000000000000001E-3</v>
      </c>
      <c r="M83">
        <v>0.02</v>
      </c>
      <c r="N83" s="4">
        <v>7.0000000000000001E-3</v>
      </c>
      <c r="O83" s="4">
        <v>0.04</v>
      </c>
    </row>
    <row r="84" spans="2:15">
      <c r="B84" t="s">
        <v>52</v>
      </c>
      <c r="C84" t="s">
        <v>53</v>
      </c>
      <c r="D84" t="s">
        <v>676</v>
      </c>
      <c r="E84" t="s">
        <v>677</v>
      </c>
      <c r="F84" t="s">
        <v>10</v>
      </c>
      <c r="G84" t="s">
        <v>676</v>
      </c>
      <c r="H84" t="s">
        <v>678</v>
      </c>
      <c r="I84" t="s">
        <v>32</v>
      </c>
      <c r="J84">
        <v>0</v>
      </c>
      <c r="K84">
        <v>96</v>
      </c>
      <c r="L84" s="4">
        <v>3.5000000000000001E-3</v>
      </c>
      <c r="M84">
        <v>0.02</v>
      </c>
      <c r="N84" s="4">
        <v>0.33600000000000002</v>
      </c>
      <c r="O84" s="4">
        <v>1.92</v>
      </c>
    </row>
    <row r="85" spans="2:15">
      <c r="B85" t="s">
        <v>52</v>
      </c>
      <c r="C85" t="s">
        <v>53</v>
      </c>
      <c r="D85" t="s">
        <v>679</v>
      </c>
      <c r="E85" t="s">
        <v>680</v>
      </c>
      <c r="F85" t="s">
        <v>10</v>
      </c>
      <c r="G85" t="s">
        <v>679</v>
      </c>
      <c r="H85" t="s">
        <v>681</v>
      </c>
      <c r="I85" t="s">
        <v>32</v>
      </c>
      <c r="J85">
        <v>0</v>
      </c>
      <c r="K85">
        <v>2679</v>
      </c>
      <c r="L85" s="4">
        <v>3.5000000000000001E-3</v>
      </c>
      <c r="M85">
        <v>0.02</v>
      </c>
      <c r="N85" s="4">
        <v>9.3765000000000001</v>
      </c>
      <c r="O85" s="4">
        <v>53.58</v>
      </c>
    </row>
    <row r="86" spans="2:15">
      <c r="B86" t="s">
        <v>52</v>
      </c>
      <c r="C86" t="s">
        <v>53</v>
      </c>
      <c r="D86" t="s">
        <v>682</v>
      </c>
      <c r="E86" t="s">
        <v>683</v>
      </c>
      <c r="F86" t="s">
        <v>10</v>
      </c>
      <c r="G86" t="s">
        <v>682</v>
      </c>
      <c r="H86" t="s">
        <v>684</v>
      </c>
      <c r="I86" t="s">
        <v>32</v>
      </c>
      <c r="J86">
        <v>0</v>
      </c>
      <c r="K86">
        <v>16288</v>
      </c>
      <c r="L86" s="4">
        <v>3.5000000000000001E-3</v>
      </c>
      <c r="M86">
        <v>0.02</v>
      </c>
      <c r="N86" s="4">
        <v>57.008000000000003</v>
      </c>
      <c r="O86" s="4">
        <v>325.76</v>
      </c>
    </row>
    <row r="87" spans="2:15">
      <c r="B87" t="s">
        <v>52</v>
      </c>
      <c r="C87" t="s">
        <v>53</v>
      </c>
      <c r="D87" t="s">
        <v>685</v>
      </c>
      <c r="E87" t="s">
        <v>686</v>
      </c>
      <c r="F87" t="s">
        <v>10</v>
      </c>
      <c r="G87" t="s">
        <v>685</v>
      </c>
      <c r="H87" t="s">
        <v>687</v>
      </c>
      <c r="I87" t="s">
        <v>32</v>
      </c>
      <c r="J87">
        <v>0</v>
      </c>
      <c r="K87">
        <v>142</v>
      </c>
      <c r="L87" s="4">
        <v>3.5000000000000001E-3</v>
      </c>
      <c r="M87">
        <v>0.02</v>
      </c>
      <c r="N87" s="4">
        <v>0.497</v>
      </c>
      <c r="O87" s="4">
        <v>2.84</v>
      </c>
    </row>
    <row r="88" spans="2:15">
      <c r="B88" t="s">
        <v>52</v>
      </c>
      <c r="C88" t="s">
        <v>53</v>
      </c>
      <c r="D88" t="s">
        <v>688</v>
      </c>
      <c r="E88" t="s">
        <v>689</v>
      </c>
      <c r="F88" t="s">
        <v>10</v>
      </c>
      <c r="G88" t="s">
        <v>688</v>
      </c>
      <c r="H88" t="s">
        <v>690</v>
      </c>
      <c r="I88" t="s">
        <v>32</v>
      </c>
      <c r="J88">
        <v>0</v>
      </c>
      <c r="K88">
        <v>10</v>
      </c>
      <c r="L88" s="4">
        <v>3.5000000000000001E-3</v>
      </c>
      <c r="M88">
        <v>0.02</v>
      </c>
      <c r="N88" s="4">
        <v>3.5000000000000003E-2</v>
      </c>
      <c r="O88" s="4">
        <v>0.2</v>
      </c>
    </row>
    <row r="89" spans="2:15">
      <c r="B89" t="s">
        <v>52</v>
      </c>
      <c r="C89" t="s">
        <v>53</v>
      </c>
      <c r="D89" t="s">
        <v>691</v>
      </c>
      <c r="E89" t="s">
        <v>692</v>
      </c>
      <c r="F89" t="s">
        <v>10</v>
      </c>
      <c r="G89" t="s">
        <v>691</v>
      </c>
      <c r="H89" t="s">
        <v>693</v>
      </c>
      <c r="I89" t="s">
        <v>32</v>
      </c>
      <c r="J89">
        <v>0</v>
      </c>
      <c r="K89">
        <v>2274</v>
      </c>
      <c r="L89" s="4">
        <v>3.5000000000000001E-3</v>
      </c>
      <c r="M89">
        <v>0.02</v>
      </c>
      <c r="N89" s="4">
        <v>7.9590000000000005</v>
      </c>
      <c r="O89" s="4">
        <v>45.480000000000004</v>
      </c>
    </row>
    <row r="90" spans="2:15">
      <c r="B90" t="s">
        <v>52</v>
      </c>
      <c r="C90" t="s">
        <v>53</v>
      </c>
      <c r="D90" t="s">
        <v>694</v>
      </c>
      <c r="E90" t="s">
        <v>695</v>
      </c>
      <c r="F90" t="s">
        <v>10</v>
      </c>
      <c r="G90" t="s">
        <v>694</v>
      </c>
      <c r="H90" t="s">
        <v>696</v>
      </c>
      <c r="I90" t="s">
        <v>32</v>
      </c>
      <c r="J90">
        <v>0</v>
      </c>
      <c r="K90">
        <v>504</v>
      </c>
      <c r="L90" s="4">
        <v>3.5000000000000001E-3</v>
      </c>
      <c r="M90">
        <v>0.02</v>
      </c>
      <c r="N90" s="4">
        <v>1.764</v>
      </c>
      <c r="O90" s="4">
        <v>10.08</v>
      </c>
    </row>
    <row r="91" spans="2:15">
      <c r="B91" t="s">
        <v>52</v>
      </c>
      <c r="C91" t="s">
        <v>53</v>
      </c>
      <c r="D91" t="s">
        <v>697</v>
      </c>
      <c r="E91" t="s">
        <v>698</v>
      </c>
      <c r="F91" t="s">
        <v>10</v>
      </c>
      <c r="G91" t="s">
        <v>697</v>
      </c>
      <c r="H91" t="s">
        <v>699</v>
      </c>
      <c r="I91" t="s">
        <v>32</v>
      </c>
      <c r="J91">
        <v>0</v>
      </c>
      <c r="K91">
        <v>16124</v>
      </c>
      <c r="L91" s="4">
        <v>3.5000000000000001E-3</v>
      </c>
      <c r="M91">
        <v>0.02</v>
      </c>
      <c r="N91" s="4">
        <v>56.434000000000005</v>
      </c>
      <c r="O91" s="4">
        <v>322.48</v>
      </c>
    </row>
    <row r="92" spans="2:15">
      <c r="B92" t="s">
        <v>52</v>
      </c>
      <c r="C92" t="s">
        <v>53</v>
      </c>
      <c r="D92" t="s">
        <v>700</v>
      </c>
      <c r="E92" t="s">
        <v>701</v>
      </c>
      <c r="F92" t="s">
        <v>10</v>
      </c>
      <c r="G92" t="s">
        <v>700</v>
      </c>
      <c r="H92" t="s">
        <v>702</v>
      </c>
      <c r="I92" t="s">
        <v>32</v>
      </c>
      <c r="J92">
        <v>0</v>
      </c>
      <c r="K92">
        <v>9</v>
      </c>
      <c r="L92" s="4">
        <v>3.5000000000000001E-3</v>
      </c>
      <c r="M92">
        <v>0.02</v>
      </c>
      <c r="N92" s="4">
        <v>3.15E-2</v>
      </c>
      <c r="O92" s="4">
        <v>0.18</v>
      </c>
    </row>
    <row r="93" spans="2:15">
      <c r="B93" t="s">
        <v>52</v>
      </c>
      <c r="C93" t="s">
        <v>53</v>
      </c>
      <c r="D93" t="s">
        <v>703</v>
      </c>
      <c r="E93" t="s">
        <v>704</v>
      </c>
      <c r="F93" t="s">
        <v>10</v>
      </c>
      <c r="G93" t="s">
        <v>703</v>
      </c>
      <c r="H93" t="s">
        <v>705</v>
      </c>
      <c r="I93" t="s">
        <v>32</v>
      </c>
      <c r="J93">
        <v>0</v>
      </c>
      <c r="K93">
        <v>137</v>
      </c>
      <c r="L93" s="4">
        <v>3.5000000000000001E-3</v>
      </c>
      <c r="M93">
        <v>0.02</v>
      </c>
      <c r="N93" s="4">
        <v>0.47950000000000004</v>
      </c>
      <c r="O93" s="4">
        <v>2.74</v>
      </c>
    </row>
    <row r="94" spans="2:15">
      <c r="B94" t="s">
        <v>52</v>
      </c>
      <c r="C94" t="s">
        <v>53</v>
      </c>
      <c r="D94" t="s">
        <v>706</v>
      </c>
      <c r="E94" t="s">
        <v>707</v>
      </c>
      <c r="F94" t="s">
        <v>10</v>
      </c>
      <c r="G94" t="s">
        <v>706</v>
      </c>
      <c r="H94" t="s">
        <v>708</v>
      </c>
      <c r="I94" t="s">
        <v>32</v>
      </c>
      <c r="J94">
        <v>0</v>
      </c>
      <c r="K94">
        <v>1</v>
      </c>
      <c r="L94" s="4">
        <v>3.5000000000000001E-3</v>
      </c>
      <c r="M94">
        <v>0.02</v>
      </c>
      <c r="N94" s="4">
        <v>3.5000000000000001E-3</v>
      </c>
      <c r="O94" s="4">
        <v>0.02</v>
      </c>
    </row>
    <row r="95" spans="2:15">
      <c r="B95" t="s">
        <v>52</v>
      </c>
      <c r="C95" t="s">
        <v>53</v>
      </c>
      <c r="D95" t="s">
        <v>86</v>
      </c>
      <c r="E95" t="s">
        <v>87</v>
      </c>
      <c r="F95" t="s">
        <v>10</v>
      </c>
      <c r="G95" t="s">
        <v>86</v>
      </c>
      <c r="H95" t="s">
        <v>88</v>
      </c>
      <c r="I95" t="s">
        <v>32</v>
      </c>
      <c r="J95">
        <v>0</v>
      </c>
      <c r="K95">
        <v>2</v>
      </c>
      <c r="L95" s="4">
        <v>3.5000000000000001E-3</v>
      </c>
      <c r="M95">
        <v>0.02</v>
      </c>
      <c r="N95" s="4">
        <v>7.0000000000000001E-3</v>
      </c>
      <c r="O95" s="4">
        <v>0.04</v>
      </c>
    </row>
    <row r="96" spans="2:15">
      <c r="B96" t="s">
        <v>52</v>
      </c>
      <c r="C96" t="s">
        <v>53</v>
      </c>
      <c r="D96" t="s">
        <v>709</v>
      </c>
      <c r="E96" t="s">
        <v>710</v>
      </c>
      <c r="F96" t="s">
        <v>10</v>
      </c>
      <c r="G96" t="s">
        <v>709</v>
      </c>
      <c r="H96" t="s">
        <v>711</v>
      </c>
      <c r="I96" t="s">
        <v>32</v>
      </c>
      <c r="J96">
        <v>0</v>
      </c>
      <c r="K96">
        <v>1</v>
      </c>
      <c r="L96" s="4">
        <v>3.5000000000000001E-3</v>
      </c>
      <c r="M96">
        <v>0.02</v>
      </c>
      <c r="N96" s="4">
        <v>3.5000000000000001E-3</v>
      </c>
      <c r="O96" s="4">
        <v>0.02</v>
      </c>
    </row>
    <row r="97" spans="2:15">
      <c r="B97" t="s">
        <v>52</v>
      </c>
      <c r="C97" t="s">
        <v>53</v>
      </c>
      <c r="D97" t="s">
        <v>712</v>
      </c>
      <c r="E97" t="s">
        <v>713</v>
      </c>
      <c r="F97" t="s">
        <v>10</v>
      </c>
      <c r="G97" t="s">
        <v>712</v>
      </c>
      <c r="H97" t="s">
        <v>714</v>
      </c>
      <c r="I97" t="s">
        <v>32</v>
      </c>
      <c r="J97">
        <v>0</v>
      </c>
      <c r="K97">
        <v>1</v>
      </c>
      <c r="L97" s="4">
        <v>3.5000000000000001E-3</v>
      </c>
      <c r="M97">
        <v>0.02</v>
      </c>
      <c r="N97" s="4">
        <v>3.5000000000000001E-3</v>
      </c>
      <c r="O97" s="4">
        <v>0.02</v>
      </c>
    </row>
    <row r="98" spans="2:15">
      <c r="B98" t="s">
        <v>52</v>
      </c>
      <c r="C98" t="s">
        <v>53</v>
      </c>
      <c r="D98" t="s">
        <v>715</v>
      </c>
      <c r="E98" t="s">
        <v>716</v>
      </c>
      <c r="F98" t="s">
        <v>10</v>
      </c>
      <c r="G98" t="s">
        <v>715</v>
      </c>
      <c r="H98" t="s">
        <v>717</v>
      </c>
      <c r="I98" t="s">
        <v>32</v>
      </c>
      <c r="J98">
        <v>0</v>
      </c>
      <c r="K98">
        <v>1</v>
      </c>
      <c r="L98" s="4">
        <v>3.5000000000000001E-3</v>
      </c>
      <c r="M98">
        <v>0.02</v>
      </c>
      <c r="N98" s="4">
        <v>3.5000000000000001E-3</v>
      </c>
      <c r="O98" s="4">
        <v>0.02</v>
      </c>
    </row>
    <row r="99" spans="2:15">
      <c r="B99" t="s">
        <v>52</v>
      </c>
      <c r="C99" t="s">
        <v>53</v>
      </c>
      <c r="D99" t="s">
        <v>718</v>
      </c>
      <c r="E99" t="s">
        <v>719</v>
      </c>
      <c r="F99" t="s">
        <v>10</v>
      </c>
      <c r="G99" t="s">
        <v>718</v>
      </c>
      <c r="H99" t="s">
        <v>720</v>
      </c>
      <c r="I99" t="s">
        <v>32</v>
      </c>
      <c r="J99">
        <v>0</v>
      </c>
      <c r="K99">
        <v>25094</v>
      </c>
      <c r="L99" s="4">
        <v>3.5000000000000001E-3</v>
      </c>
      <c r="M99">
        <v>0.02</v>
      </c>
      <c r="N99" s="4">
        <v>87.829000000000008</v>
      </c>
      <c r="O99" s="4">
        <v>501.88</v>
      </c>
    </row>
    <row r="100" spans="2:15">
      <c r="B100" t="s">
        <v>52</v>
      </c>
      <c r="C100" t="s">
        <v>53</v>
      </c>
      <c r="D100" t="s">
        <v>169</v>
      </c>
      <c r="E100" t="s">
        <v>170</v>
      </c>
      <c r="F100" t="s">
        <v>10</v>
      </c>
      <c r="G100" t="s">
        <v>169</v>
      </c>
      <c r="H100" t="s">
        <v>171</v>
      </c>
      <c r="I100" t="s">
        <v>32</v>
      </c>
      <c r="J100">
        <v>0</v>
      </c>
      <c r="K100">
        <v>11</v>
      </c>
      <c r="L100" s="4">
        <v>3.5000000000000001E-3</v>
      </c>
      <c r="M100">
        <v>0.02</v>
      </c>
      <c r="N100" s="4">
        <v>3.85E-2</v>
      </c>
      <c r="O100" s="4">
        <v>0.22</v>
      </c>
    </row>
    <row r="101" spans="2:15">
      <c r="B101" t="s">
        <v>52</v>
      </c>
      <c r="C101" t="s">
        <v>53</v>
      </c>
      <c r="D101" t="s">
        <v>172</v>
      </c>
      <c r="E101" t="s">
        <v>173</v>
      </c>
      <c r="F101" t="s">
        <v>10</v>
      </c>
      <c r="G101" t="s">
        <v>172</v>
      </c>
      <c r="H101" t="s">
        <v>174</v>
      </c>
      <c r="I101" t="s">
        <v>32</v>
      </c>
      <c r="J101">
        <v>0</v>
      </c>
      <c r="K101">
        <v>2228</v>
      </c>
      <c r="L101" s="4">
        <v>3.5000000000000001E-3</v>
      </c>
      <c r="M101">
        <v>0.02</v>
      </c>
      <c r="N101" s="4">
        <v>7.798</v>
      </c>
      <c r="O101" s="4">
        <v>44.56</v>
      </c>
    </row>
    <row r="102" spans="2:15">
      <c r="B102" t="s">
        <v>52</v>
      </c>
      <c r="C102" t="s">
        <v>53</v>
      </c>
      <c r="D102" t="s">
        <v>175</v>
      </c>
      <c r="E102" t="s">
        <v>176</v>
      </c>
      <c r="F102" t="s">
        <v>10</v>
      </c>
      <c r="G102" t="s">
        <v>175</v>
      </c>
      <c r="H102" t="s">
        <v>177</v>
      </c>
      <c r="I102" t="s">
        <v>32</v>
      </c>
      <c r="J102">
        <v>0</v>
      </c>
      <c r="K102">
        <v>10</v>
      </c>
      <c r="L102" s="4">
        <v>3.5000000000000001E-3</v>
      </c>
      <c r="M102">
        <v>0.02</v>
      </c>
      <c r="N102" s="4">
        <v>3.5000000000000003E-2</v>
      </c>
      <c r="O102" s="4">
        <v>0.2</v>
      </c>
    </row>
    <row r="103" spans="2:15">
      <c r="B103" t="s">
        <v>52</v>
      </c>
      <c r="C103" t="s">
        <v>53</v>
      </c>
      <c r="D103" t="s">
        <v>721</v>
      </c>
      <c r="E103" t="s">
        <v>722</v>
      </c>
      <c r="F103" t="s">
        <v>10</v>
      </c>
      <c r="G103" t="s">
        <v>721</v>
      </c>
      <c r="H103" t="s">
        <v>723</v>
      </c>
      <c r="I103" t="s">
        <v>32</v>
      </c>
      <c r="J103">
        <v>0</v>
      </c>
      <c r="K103">
        <v>15</v>
      </c>
      <c r="L103" s="4">
        <v>3.5000000000000001E-3</v>
      </c>
      <c r="M103">
        <v>0.02</v>
      </c>
      <c r="N103" s="4">
        <v>5.2499999999999998E-2</v>
      </c>
      <c r="O103" s="4">
        <v>0.3</v>
      </c>
    </row>
    <row r="104" spans="2:15">
      <c r="B104" t="s">
        <v>52</v>
      </c>
      <c r="C104" t="s">
        <v>53</v>
      </c>
      <c r="D104" t="s">
        <v>724</v>
      </c>
      <c r="E104" t="s">
        <v>725</v>
      </c>
      <c r="F104" t="s">
        <v>10</v>
      </c>
      <c r="G104" t="s">
        <v>724</v>
      </c>
      <c r="H104" t="s">
        <v>726</v>
      </c>
      <c r="I104" t="s">
        <v>32</v>
      </c>
      <c r="J104">
        <v>0</v>
      </c>
      <c r="K104">
        <v>1</v>
      </c>
      <c r="L104" s="4">
        <v>3.5000000000000001E-3</v>
      </c>
      <c r="M104">
        <v>0.02</v>
      </c>
      <c r="N104" s="4">
        <v>3.5000000000000001E-3</v>
      </c>
      <c r="O104" s="4">
        <v>0.02</v>
      </c>
    </row>
    <row r="105" spans="2:15">
      <c r="B105" t="s">
        <v>52</v>
      </c>
      <c r="C105" t="s">
        <v>53</v>
      </c>
      <c r="D105" t="s">
        <v>727</v>
      </c>
      <c r="E105" t="s">
        <v>728</v>
      </c>
      <c r="F105" t="s">
        <v>10</v>
      </c>
      <c r="G105" t="s">
        <v>727</v>
      </c>
      <c r="H105" t="s">
        <v>729</v>
      </c>
      <c r="I105" t="s">
        <v>32</v>
      </c>
      <c r="J105">
        <v>0</v>
      </c>
      <c r="K105">
        <v>8</v>
      </c>
      <c r="L105" s="4">
        <v>3.5000000000000001E-3</v>
      </c>
      <c r="M105">
        <v>0.02</v>
      </c>
      <c r="N105" s="4">
        <v>2.8000000000000001E-2</v>
      </c>
      <c r="O105" s="4">
        <v>0.16</v>
      </c>
    </row>
    <row r="106" spans="2:15">
      <c r="B106" t="s">
        <v>52</v>
      </c>
      <c r="C106" t="s">
        <v>53</v>
      </c>
      <c r="D106" t="s">
        <v>730</v>
      </c>
      <c r="E106" t="s">
        <v>731</v>
      </c>
      <c r="F106" t="s">
        <v>10</v>
      </c>
      <c r="G106" t="s">
        <v>730</v>
      </c>
      <c r="H106" t="s">
        <v>732</v>
      </c>
      <c r="I106" t="s">
        <v>32</v>
      </c>
      <c r="J106">
        <v>0</v>
      </c>
      <c r="K106">
        <v>2</v>
      </c>
      <c r="L106" s="4">
        <v>3.5000000000000001E-3</v>
      </c>
      <c r="M106">
        <v>0.02</v>
      </c>
      <c r="N106" s="4">
        <v>7.0000000000000001E-3</v>
      </c>
      <c r="O106" s="4">
        <v>0.04</v>
      </c>
    </row>
    <row r="107" spans="2:15">
      <c r="B107" t="s">
        <v>52</v>
      </c>
      <c r="C107" t="s">
        <v>53</v>
      </c>
      <c r="D107" t="s">
        <v>733</v>
      </c>
      <c r="E107" t="s">
        <v>734</v>
      </c>
      <c r="F107" t="s">
        <v>10</v>
      </c>
      <c r="G107" t="s">
        <v>733</v>
      </c>
      <c r="H107" t="s">
        <v>735</v>
      </c>
      <c r="I107" t="s">
        <v>32</v>
      </c>
      <c r="J107">
        <v>0</v>
      </c>
      <c r="K107">
        <v>1</v>
      </c>
      <c r="L107" s="4">
        <v>3.5000000000000001E-3</v>
      </c>
      <c r="M107">
        <v>0.02</v>
      </c>
      <c r="N107" s="4">
        <v>3.5000000000000001E-3</v>
      </c>
      <c r="O107" s="4">
        <v>0.02</v>
      </c>
    </row>
    <row r="108" spans="2:15">
      <c r="B108" t="s">
        <v>52</v>
      </c>
      <c r="C108" t="s">
        <v>53</v>
      </c>
      <c r="D108" t="s">
        <v>736</v>
      </c>
      <c r="E108" t="s">
        <v>737</v>
      </c>
      <c r="F108" t="s">
        <v>10</v>
      </c>
      <c r="G108" t="s">
        <v>736</v>
      </c>
      <c r="H108" t="s">
        <v>738</v>
      </c>
      <c r="I108" t="s">
        <v>32</v>
      </c>
      <c r="J108">
        <v>0</v>
      </c>
      <c r="K108">
        <v>1</v>
      </c>
      <c r="L108" s="4">
        <v>3.5000000000000001E-3</v>
      </c>
      <c r="M108">
        <v>0.02</v>
      </c>
      <c r="N108" s="4">
        <v>3.5000000000000001E-3</v>
      </c>
      <c r="O108" s="4">
        <v>0.02</v>
      </c>
    </row>
    <row r="109" spans="2:15">
      <c r="B109" t="s">
        <v>52</v>
      </c>
      <c r="C109" t="s">
        <v>53</v>
      </c>
      <c r="D109" t="s">
        <v>739</v>
      </c>
      <c r="E109" t="s">
        <v>740</v>
      </c>
      <c r="F109" t="s">
        <v>10</v>
      </c>
      <c r="G109" t="s">
        <v>739</v>
      </c>
      <c r="H109" t="s">
        <v>741</v>
      </c>
      <c r="I109" t="s">
        <v>32</v>
      </c>
      <c r="J109">
        <v>0</v>
      </c>
      <c r="K109">
        <v>1</v>
      </c>
      <c r="L109" s="4">
        <v>3.5000000000000001E-3</v>
      </c>
      <c r="M109">
        <v>0.02</v>
      </c>
      <c r="N109" s="4">
        <v>3.5000000000000001E-3</v>
      </c>
      <c r="O109" s="4">
        <v>0.02</v>
      </c>
    </row>
    <row r="110" spans="2:15">
      <c r="B110" t="s">
        <v>52</v>
      </c>
      <c r="C110" t="s">
        <v>53</v>
      </c>
      <c r="D110" t="s">
        <v>742</v>
      </c>
      <c r="E110" t="s">
        <v>743</v>
      </c>
      <c r="F110" t="s">
        <v>10</v>
      </c>
      <c r="G110" t="s">
        <v>742</v>
      </c>
      <c r="H110" t="s">
        <v>744</v>
      </c>
      <c r="I110" t="s">
        <v>32</v>
      </c>
      <c r="J110">
        <v>0</v>
      </c>
      <c r="K110">
        <v>625</v>
      </c>
      <c r="L110" s="4">
        <v>3.5000000000000001E-3</v>
      </c>
      <c r="M110">
        <v>0.02</v>
      </c>
      <c r="N110" s="4">
        <v>2.1875</v>
      </c>
      <c r="O110" s="4">
        <v>12.5</v>
      </c>
    </row>
    <row r="111" spans="2:15">
      <c r="B111" t="s">
        <v>52</v>
      </c>
      <c r="C111" t="s">
        <v>53</v>
      </c>
      <c r="D111" t="s">
        <v>745</v>
      </c>
      <c r="E111" t="s">
        <v>746</v>
      </c>
      <c r="F111" t="s">
        <v>10</v>
      </c>
      <c r="G111" t="s">
        <v>745</v>
      </c>
      <c r="H111" t="s">
        <v>747</v>
      </c>
      <c r="I111" t="s">
        <v>32</v>
      </c>
      <c r="J111">
        <v>0</v>
      </c>
      <c r="K111">
        <v>1</v>
      </c>
      <c r="L111" s="4">
        <v>3.5000000000000001E-3</v>
      </c>
      <c r="M111">
        <v>0.02</v>
      </c>
      <c r="N111" s="4">
        <v>3.5000000000000001E-3</v>
      </c>
      <c r="O111" s="4">
        <v>0.02</v>
      </c>
    </row>
    <row r="112" spans="2:15">
      <c r="B112" t="s">
        <v>52</v>
      </c>
      <c r="C112" t="s">
        <v>53</v>
      </c>
      <c r="D112" t="s">
        <v>748</v>
      </c>
      <c r="E112" t="s">
        <v>749</v>
      </c>
      <c r="F112" t="s">
        <v>10</v>
      </c>
      <c r="G112" t="s">
        <v>748</v>
      </c>
      <c r="H112" t="s">
        <v>750</v>
      </c>
      <c r="I112" t="s">
        <v>32</v>
      </c>
      <c r="J112">
        <v>0</v>
      </c>
      <c r="K112">
        <v>1</v>
      </c>
      <c r="L112" s="4">
        <v>3.5000000000000001E-3</v>
      </c>
      <c r="M112">
        <v>0.02</v>
      </c>
      <c r="N112" s="4">
        <v>3.5000000000000001E-3</v>
      </c>
      <c r="O112" s="4">
        <v>0.02</v>
      </c>
    </row>
    <row r="113" spans="2:15">
      <c r="B113" t="s">
        <v>52</v>
      </c>
      <c r="C113" t="s">
        <v>53</v>
      </c>
      <c r="D113" t="s">
        <v>751</v>
      </c>
      <c r="E113" t="s">
        <v>752</v>
      </c>
      <c r="F113" t="s">
        <v>10</v>
      </c>
      <c r="G113" t="s">
        <v>751</v>
      </c>
      <c r="H113" t="s">
        <v>753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52</v>
      </c>
      <c r="C114" t="s">
        <v>53</v>
      </c>
      <c r="D114" t="s">
        <v>754</v>
      </c>
      <c r="E114" t="s">
        <v>755</v>
      </c>
      <c r="F114" t="s">
        <v>10</v>
      </c>
      <c r="G114" t="s">
        <v>754</v>
      </c>
      <c r="H114" t="s">
        <v>756</v>
      </c>
      <c r="I114" t="s">
        <v>32</v>
      </c>
      <c r="J114">
        <v>0</v>
      </c>
      <c r="K114">
        <v>1</v>
      </c>
      <c r="L114" s="4">
        <v>3.5000000000000001E-3</v>
      </c>
      <c r="M114">
        <v>0.02</v>
      </c>
      <c r="N114" s="4">
        <v>3.5000000000000001E-3</v>
      </c>
      <c r="O114" s="4">
        <v>0.02</v>
      </c>
    </row>
    <row r="115" spans="2:15">
      <c r="B115" t="s">
        <v>52</v>
      </c>
      <c r="C115" t="s">
        <v>53</v>
      </c>
      <c r="D115" t="s">
        <v>178</v>
      </c>
      <c r="E115" t="s">
        <v>179</v>
      </c>
      <c r="F115" t="s">
        <v>10</v>
      </c>
      <c r="G115" t="s">
        <v>178</v>
      </c>
      <c r="H115" t="s">
        <v>180</v>
      </c>
      <c r="I115" t="s">
        <v>32</v>
      </c>
      <c r="J115">
        <v>0</v>
      </c>
      <c r="K115">
        <v>93</v>
      </c>
      <c r="L115" s="4">
        <v>3.5000000000000001E-3</v>
      </c>
      <c r="M115">
        <v>0.02</v>
      </c>
      <c r="N115" s="4">
        <v>0.32550000000000001</v>
      </c>
      <c r="O115" s="4">
        <v>1.86</v>
      </c>
    </row>
    <row r="116" spans="2:15">
      <c r="B116" t="s">
        <v>52</v>
      </c>
      <c r="C116" t="s">
        <v>53</v>
      </c>
      <c r="D116" t="s">
        <v>757</v>
      </c>
      <c r="E116" t="s">
        <v>758</v>
      </c>
      <c r="F116" t="s">
        <v>10</v>
      </c>
      <c r="G116" t="s">
        <v>757</v>
      </c>
      <c r="H116" t="s">
        <v>759</v>
      </c>
      <c r="I116" t="s">
        <v>32</v>
      </c>
      <c r="J116">
        <v>0</v>
      </c>
      <c r="K116">
        <v>2070</v>
      </c>
      <c r="L116" s="4">
        <v>3.5000000000000001E-3</v>
      </c>
      <c r="M116">
        <v>0.02</v>
      </c>
      <c r="N116" s="4">
        <v>7.2450000000000001</v>
      </c>
      <c r="O116" s="4">
        <v>41.4</v>
      </c>
    </row>
    <row r="117" spans="2:15">
      <c r="B117" t="s">
        <v>52</v>
      </c>
      <c r="C117" t="s">
        <v>53</v>
      </c>
      <c r="D117" t="s">
        <v>181</v>
      </c>
      <c r="E117" t="s">
        <v>182</v>
      </c>
      <c r="F117" t="s">
        <v>10</v>
      </c>
      <c r="G117" t="s">
        <v>181</v>
      </c>
      <c r="H117" t="s">
        <v>183</v>
      </c>
      <c r="I117" t="s">
        <v>32</v>
      </c>
      <c r="J117">
        <v>0</v>
      </c>
      <c r="K117">
        <v>1756</v>
      </c>
      <c r="L117" s="4">
        <v>3.5000000000000001E-3</v>
      </c>
      <c r="M117">
        <v>0.02</v>
      </c>
      <c r="N117" s="4">
        <v>6.1459999999999999</v>
      </c>
      <c r="O117" s="4">
        <v>35.119999999999997</v>
      </c>
    </row>
    <row r="118" spans="2:15">
      <c r="B118" t="s">
        <v>52</v>
      </c>
      <c r="C118" t="s">
        <v>53</v>
      </c>
      <c r="D118" t="s">
        <v>760</v>
      </c>
      <c r="E118" t="s">
        <v>761</v>
      </c>
      <c r="F118" t="s">
        <v>10</v>
      </c>
      <c r="G118" t="s">
        <v>760</v>
      </c>
      <c r="H118" t="s">
        <v>762</v>
      </c>
      <c r="I118" t="s">
        <v>32</v>
      </c>
      <c r="J118">
        <v>0</v>
      </c>
      <c r="K118">
        <v>21352</v>
      </c>
      <c r="L118" s="4">
        <v>3.5000000000000001E-3</v>
      </c>
      <c r="M118">
        <v>0.02</v>
      </c>
      <c r="N118" s="4">
        <v>74.731999999999999</v>
      </c>
      <c r="O118" s="4">
        <v>427.04</v>
      </c>
    </row>
    <row r="119" spans="2:15">
      <c r="B119" t="s">
        <v>52</v>
      </c>
      <c r="C119" t="s">
        <v>53</v>
      </c>
      <c r="D119" t="s">
        <v>763</v>
      </c>
      <c r="E119" t="s">
        <v>764</v>
      </c>
      <c r="F119" t="s">
        <v>10</v>
      </c>
      <c r="G119" t="s">
        <v>763</v>
      </c>
      <c r="H119" t="s">
        <v>765</v>
      </c>
      <c r="I119" t="s">
        <v>32</v>
      </c>
      <c r="J119">
        <v>0</v>
      </c>
      <c r="K119">
        <v>6</v>
      </c>
      <c r="L119" s="4">
        <v>3.5000000000000001E-3</v>
      </c>
      <c r="M119">
        <v>0.02</v>
      </c>
      <c r="N119" s="4">
        <v>2.1000000000000001E-2</v>
      </c>
      <c r="O119" s="4">
        <v>0.12</v>
      </c>
    </row>
    <row r="120" spans="2:15">
      <c r="B120" t="s">
        <v>52</v>
      </c>
      <c r="C120" t="s">
        <v>53</v>
      </c>
      <c r="D120" t="s">
        <v>766</v>
      </c>
      <c r="E120" t="s">
        <v>767</v>
      </c>
      <c r="F120" t="s">
        <v>10</v>
      </c>
      <c r="G120" t="s">
        <v>766</v>
      </c>
      <c r="H120" t="s">
        <v>768</v>
      </c>
      <c r="I120" t="s">
        <v>32</v>
      </c>
      <c r="J120">
        <v>0</v>
      </c>
      <c r="K120">
        <v>93</v>
      </c>
      <c r="L120" s="4">
        <v>3.5000000000000001E-3</v>
      </c>
      <c r="M120">
        <v>0.02</v>
      </c>
      <c r="N120" s="4">
        <v>0.32550000000000001</v>
      </c>
      <c r="O120" s="4">
        <v>1.86</v>
      </c>
    </row>
    <row r="121" spans="2:15">
      <c r="B121" t="s">
        <v>52</v>
      </c>
      <c r="C121" t="s">
        <v>53</v>
      </c>
      <c r="D121" t="s">
        <v>769</v>
      </c>
      <c r="E121" t="s">
        <v>770</v>
      </c>
      <c r="F121" t="s">
        <v>10</v>
      </c>
      <c r="G121" t="s">
        <v>769</v>
      </c>
      <c r="H121" t="s">
        <v>771</v>
      </c>
      <c r="I121" t="s">
        <v>32</v>
      </c>
      <c r="J121">
        <v>0</v>
      </c>
      <c r="K121">
        <v>1</v>
      </c>
      <c r="L121" s="4">
        <v>3.5000000000000001E-3</v>
      </c>
      <c r="M121">
        <v>0.02</v>
      </c>
      <c r="N121" s="4">
        <v>3.5000000000000001E-3</v>
      </c>
      <c r="O121" s="4">
        <v>0.02</v>
      </c>
    </row>
    <row r="122" spans="2:15">
      <c r="B122" t="s">
        <v>52</v>
      </c>
      <c r="C122" t="s">
        <v>53</v>
      </c>
      <c r="D122" t="s">
        <v>772</v>
      </c>
      <c r="E122" t="s">
        <v>773</v>
      </c>
      <c r="F122" t="s">
        <v>10</v>
      </c>
      <c r="G122" t="s">
        <v>772</v>
      </c>
      <c r="H122" t="s">
        <v>774</v>
      </c>
      <c r="I122" t="s">
        <v>32</v>
      </c>
      <c r="J122">
        <v>0</v>
      </c>
      <c r="K122">
        <v>70</v>
      </c>
      <c r="L122" s="4">
        <v>3.5000000000000001E-3</v>
      </c>
      <c r="M122">
        <v>0.02</v>
      </c>
      <c r="N122" s="4">
        <v>0.245</v>
      </c>
      <c r="O122" s="4">
        <v>1.4000000000000001</v>
      </c>
    </row>
    <row r="123" spans="2:15">
      <c r="B123" t="s">
        <v>52</v>
      </c>
      <c r="C123" t="s">
        <v>53</v>
      </c>
      <c r="D123" t="s">
        <v>184</v>
      </c>
      <c r="E123" t="s">
        <v>185</v>
      </c>
      <c r="F123" t="s">
        <v>10</v>
      </c>
      <c r="G123" t="s">
        <v>184</v>
      </c>
      <c r="H123" t="s">
        <v>186</v>
      </c>
      <c r="I123" t="s">
        <v>32</v>
      </c>
      <c r="J123">
        <v>0</v>
      </c>
      <c r="K123">
        <v>4</v>
      </c>
      <c r="L123" s="4">
        <v>3.5000000000000001E-3</v>
      </c>
      <c r="M123">
        <v>0.02</v>
      </c>
      <c r="N123" s="4">
        <v>1.4E-2</v>
      </c>
      <c r="O123" s="4">
        <v>0.08</v>
      </c>
    </row>
    <row r="124" spans="2:15">
      <c r="B124" t="s">
        <v>52</v>
      </c>
      <c r="C124" t="s">
        <v>53</v>
      </c>
      <c r="D124" t="s">
        <v>775</v>
      </c>
      <c r="E124" t="s">
        <v>776</v>
      </c>
      <c r="F124" t="s">
        <v>10</v>
      </c>
      <c r="G124" t="s">
        <v>775</v>
      </c>
      <c r="H124" t="s">
        <v>777</v>
      </c>
      <c r="I124" t="s">
        <v>32</v>
      </c>
      <c r="J124">
        <v>0</v>
      </c>
      <c r="K124">
        <v>440</v>
      </c>
      <c r="L124" s="4">
        <v>3.5000000000000001E-3</v>
      </c>
      <c r="M124">
        <v>0.02</v>
      </c>
      <c r="N124" s="4">
        <v>1.54</v>
      </c>
      <c r="O124" s="4">
        <v>8.8000000000000007</v>
      </c>
    </row>
    <row r="125" spans="2:15">
      <c r="B125" t="s">
        <v>52</v>
      </c>
      <c r="C125" t="s">
        <v>53</v>
      </c>
      <c r="D125" t="s">
        <v>318</v>
      </c>
      <c r="E125" t="s">
        <v>319</v>
      </c>
      <c r="F125" t="s">
        <v>10</v>
      </c>
      <c r="G125" t="s">
        <v>318</v>
      </c>
      <c r="H125" t="s">
        <v>320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52</v>
      </c>
      <c r="C126" t="s">
        <v>53</v>
      </c>
      <c r="D126" t="s">
        <v>778</v>
      </c>
      <c r="E126" t="s">
        <v>779</v>
      </c>
      <c r="F126" t="s">
        <v>10</v>
      </c>
      <c r="G126" t="s">
        <v>778</v>
      </c>
      <c r="H126" t="s">
        <v>780</v>
      </c>
      <c r="I126" t="s">
        <v>32</v>
      </c>
      <c r="J126">
        <v>0</v>
      </c>
      <c r="K126">
        <v>17</v>
      </c>
      <c r="L126" s="4">
        <v>3.5000000000000001E-3</v>
      </c>
      <c r="M126">
        <v>0.02</v>
      </c>
      <c r="N126" s="4">
        <v>5.9500000000000004E-2</v>
      </c>
      <c r="O126" s="4">
        <v>0.34</v>
      </c>
    </row>
    <row r="127" spans="2:15">
      <c r="B127" t="s">
        <v>52</v>
      </c>
      <c r="C127" t="s">
        <v>53</v>
      </c>
      <c r="D127" t="s">
        <v>187</v>
      </c>
      <c r="E127" t="s">
        <v>188</v>
      </c>
      <c r="F127" t="s">
        <v>10</v>
      </c>
      <c r="G127" t="s">
        <v>187</v>
      </c>
      <c r="H127" t="s">
        <v>189</v>
      </c>
      <c r="I127" t="s">
        <v>32</v>
      </c>
      <c r="J127">
        <v>0</v>
      </c>
      <c r="K127">
        <v>118</v>
      </c>
      <c r="L127" s="4">
        <v>3.5000000000000001E-3</v>
      </c>
      <c r="M127">
        <v>0.02</v>
      </c>
      <c r="N127" s="4">
        <v>0.41300000000000003</v>
      </c>
      <c r="O127" s="4">
        <v>2.36</v>
      </c>
    </row>
    <row r="128" spans="2:15">
      <c r="B128" t="s">
        <v>52</v>
      </c>
      <c r="C128" t="s">
        <v>53</v>
      </c>
      <c r="D128" t="s">
        <v>190</v>
      </c>
      <c r="E128" t="s">
        <v>191</v>
      </c>
      <c r="F128" t="s">
        <v>10</v>
      </c>
      <c r="G128" t="s">
        <v>190</v>
      </c>
      <c r="H128" t="s">
        <v>192</v>
      </c>
      <c r="I128" t="s">
        <v>32</v>
      </c>
      <c r="J128">
        <v>0</v>
      </c>
      <c r="K128">
        <v>74</v>
      </c>
      <c r="L128" s="4">
        <v>3.5000000000000001E-3</v>
      </c>
      <c r="M128">
        <v>0.02</v>
      </c>
      <c r="N128" s="4">
        <v>0.25900000000000001</v>
      </c>
      <c r="O128" s="4">
        <v>1.48</v>
      </c>
    </row>
    <row r="129" spans="2:15">
      <c r="B129" t="s">
        <v>52</v>
      </c>
      <c r="C129" t="s">
        <v>53</v>
      </c>
      <c r="D129" t="s">
        <v>321</v>
      </c>
      <c r="E129" t="s">
        <v>322</v>
      </c>
      <c r="F129" t="s">
        <v>10</v>
      </c>
      <c r="G129" t="s">
        <v>321</v>
      </c>
      <c r="H129" t="s">
        <v>323</v>
      </c>
      <c r="I129" t="s">
        <v>32</v>
      </c>
      <c r="J129">
        <v>0</v>
      </c>
      <c r="K129">
        <v>4</v>
      </c>
      <c r="L129" s="4">
        <v>3.5000000000000001E-3</v>
      </c>
      <c r="M129">
        <v>0.02</v>
      </c>
      <c r="N129" s="4">
        <v>1.4E-2</v>
      </c>
      <c r="O129" s="4">
        <v>0.08</v>
      </c>
    </row>
    <row r="130" spans="2:15">
      <c r="B130" t="s">
        <v>52</v>
      </c>
      <c r="C130" t="s">
        <v>53</v>
      </c>
      <c r="D130" t="s">
        <v>324</v>
      </c>
      <c r="E130" t="s">
        <v>325</v>
      </c>
      <c r="F130" t="s">
        <v>10</v>
      </c>
      <c r="G130" t="s">
        <v>324</v>
      </c>
      <c r="H130" t="s">
        <v>326</v>
      </c>
      <c r="I130" t="s">
        <v>32</v>
      </c>
      <c r="J130">
        <v>0</v>
      </c>
      <c r="K130">
        <v>37</v>
      </c>
      <c r="L130" s="4">
        <v>3.5000000000000001E-3</v>
      </c>
      <c r="M130">
        <v>0.02</v>
      </c>
      <c r="N130" s="4">
        <v>0.1295</v>
      </c>
      <c r="O130" s="4">
        <v>0.74</v>
      </c>
    </row>
    <row r="131" spans="2:15">
      <c r="B131" t="s">
        <v>52</v>
      </c>
      <c r="C131" t="s">
        <v>53</v>
      </c>
      <c r="D131" t="s">
        <v>327</v>
      </c>
      <c r="E131" t="s">
        <v>328</v>
      </c>
      <c r="F131" t="s">
        <v>10</v>
      </c>
      <c r="G131" t="s">
        <v>327</v>
      </c>
      <c r="H131" t="s">
        <v>329</v>
      </c>
      <c r="I131" t="s">
        <v>32</v>
      </c>
      <c r="J131">
        <v>0</v>
      </c>
      <c r="K131">
        <v>1</v>
      </c>
      <c r="L131" s="4">
        <v>3.5000000000000001E-3</v>
      </c>
      <c r="M131">
        <v>0.02</v>
      </c>
      <c r="N131" s="4">
        <v>3.5000000000000001E-3</v>
      </c>
      <c r="O131" s="4">
        <v>0.02</v>
      </c>
    </row>
    <row r="132" spans="2:15">
      <c r="B132" t="s">
        <v>52</v>
      </c>
      <c r="C132" t="s">
        <v>53</v>
      </c>
      <c r="D132" t="s">
        <v>781</v>
      </c>
      <c r="E132" t="s">
        <v>782</v>
      </c>
      <c r="F132" t="s">
        <v>10</v>
      </c>
      <c r="G132" t="s">
        <v>781</v>
      </c>
      <c r="H132" t="s">
        <v>783</v>
      </c>
      <c r="I132" t="s">
        <v>32</v>
      </c>
      <c r="J132">
        <v>0</v>
      </c>
      <c r="K132">
        <v>1</v>
      </c>
      <c r="L132" s="4">
        <v>3.5000000000000001E-3</v>
      </c>
      <c r="M132">
        <v>0.02</v>
      </c>
      <c r="N132" s="4">
        <v>3.5000000000000001E-3</v>
      </c>
      <c r="O132" s="4">
        <v>0.02</v>
      </c>
    </row>
    <row r="133" spans="2:15">
      <c r="B133" t="s">
        <v>52</v>
      </c>
      <c r="C133" t="s">
        <v>53</v>
      </c>
      <c r="D133" t="s">
        <v>54</v>
      </c>
      <c r="E133" t="s">
        <v>55</v>
      </c>
      <c r="F133" t="s">
        <v>10</v>
      </c>
      <c r="G133" t="s">
        <v>54</v>
      </c>
      <c r="H133" t="s">
        <v>56</v>
      </c>
      <c r="I133" t="s">
        <v>32</v>
      </c>
      <c r="J133">
        <v>0</v>
      </c>
      <c r="K133">
        <v>83</v>
      </c>
      <c r="L133" s="4">
        <v>3.5000000000000001E-3</v>
      </c>
      <c r="M133">
        <v>0.02</v>
      </c>
      <c r="N133" s="4">
        <v>0.29049999999999998</v>
      </c>
      <c r="O133" s="4">
        <v>1.6600000000000001</v>
      </c>
    </row>
    <row r="134" spans="2:15">
      <c r="B134" t="s">
        <v>52</v>
      </c>
      <c r="C134" t="s">
        <v>53</v>
      </c>
      <c r="D134" t="s">
        <v>784</v>
      </c>
      <c r="E134" t="s">
        <v>785</v>
      </c>
      <c r="F134" t="s">
        <v>10</v>
      </c>
      <c r="G134" t="s">
        <v>784</v>
      </c>
      <c r="H134" t="s">
        <v>786</v>
      </c>
      <c r="I134" t="s">
        <v>32</v>
      </c>
      <c r="J134">
        <v>0</v>
      </c>
      <c r="K134">
        <v>24</v>
      </c>
      <c r="L134" s="4">
        <v>3.5000000000000001E-3</v>
      </c>
      <c r="M134">
        <v>0.02</v>
      </c>
      <c r="N134" s="4">
        <v>8.4000000000000005E-2</v>
      </c>
      <c r="O134" s="4">
        <v>0.48</v>
      </c>
    </row>
    <row r="135" spans="2:15">
      <c r="B135" t="s">
        <v>52</v>
      </c>
      <c r="C135" t="s">
        <v>53</v>
      </c>
      <c r="D135" t="s">
        <v>787</v>
      </c>
      <c r="E135" t="s">
        <v>788</v>
      </c>
      <c r="F135" t="s">
        <v>10</v>
      </c>
      <c r="G135" t="s">
        <v>787</v>
      </c>
      <c r="H135" t="s">
        <v>789</v>
      </c>
      <c r="I135" t="s">
        <v>32</v>
      </c>
      <c r="J135">
        <v>0</v>
      </c>
      <c r="K135">
        <v>1</v>
      </c>
      <c r="L135" s="4">
        <v>3.5000000000000001E-3</v>
      </c>
      <c r="M135">
        <v>0.02</v>
      </c>
      <c r="N135" s="4">
        <v>3.5000000000000001E-3</v>
      </c>
      <c r="O135" s="4">
        <v>0.02</v>
      </c>
    </row>
    <row r="136" spans="2:15">
      <c r="B136" t="s">
        <v>52</v>
      </c>
      <c r="C136" t="s">
        <v>53</v>
      </c>
      <c r="D136" t="s">
        <v>57</v>
      </c>
      <c r="E136" t="s">
        <v>58</v>
      </c>
      <c r="F136" t="s">
        <v>10</v>
      </c>
      <c r="G136" t="s">
        <v>57</v>
      </c>
      <c r="H136" t="s">
        <v>59</v>
      </c>
      <c r="I136" t="s">
        <v>32</v>
      </c>
      <c r="J136">
        <v>0</v>
      </c>
      <c r="K136">
        <v>9</v>
      </c>
      <c r="L136" s="4">
        <v>3.5000000000000001E-3</v>
      </c>
      <c r="M136">
        <v>0.02</v>
      </c>
      <c r="N136" s="4">
        <v>3.15E-2</v>
      </c>
      <c r="O136" s="4">
        <v>0.18</v>
      </c>
    </row>
    <row r="137" spans="2:15">
      <c r="B137" t="s">
        <v>52</v>
      </c>
      <c r="C137" t="s">
        <v>53</v>
      </c>
      <c r="D137" t="s">
        <v>60</v>
      </c>
      <c r="E137" t="s">
        <v>61</v>
      </c>
      <c r="F137" t="s">
        <v>10</v>
      </c>
      <c r="G137" t="s">
        <v>60</v>
      </c>
      <c r="H137" t="s">
        <v>62</v>
      </c>
      <c r="I137" t="s">
        <v>32</v>
      </c>
      <c r="J137">
        <v>0</v>
      </c>
      <c r="K137">
        <v>2</v>
      </c>
      <c r="L137" s="4">
        <v>3.5000000000000001E-3</v>
      </c>
      <c r="M137">
        <v>0.02</v>
      </c>
      <c r="N137" s="4">
        <v>7.0000000000000001E-3</v>
      </c>
      <c r="O137" s="4">
        <v>0.04</v>
      </c>
    </row>
    <row r="138" spans="2:15">
      <c r="B138" t="s">
        <v>52</v>
      </c>
      <c r="C138" t="s">
        <v>53</v>
      </c>
      <c r="D138" t="s">
        <v>790</v>
      </c>
      <c r="E138" t="s">
        <v>791</v>
      </c>
      <c r="F138" t="s">
        <v>10</v>
      </c>
      <c r="G138" t="s">
        <v>790</v>
      </c>
      <c r="H138" t="s">
        <v>792</v>
      </c>
      <c r="I138" t="s">
        <v>32</v>
      </c>
      <c r="J138">
        <v>0</v>
      </c>
      <c r="K138">
        <v>1</v>
      </c>
      <c r="L138" s="4">
        <v>3.5000000000000001E-3</v>
      </c>
      <c r="M138">
        <v>0.02</v>
      </c>
      <c r="N138" s="4">
        <v>3.5000000000000001E-3</v>
      </c>
      <c r="O138" s="4">
        <v>0.02</v>
      </c>
    </row>
    <row r="139" spans="2:15">
      <c r="B139" t="s">
        <v>52</v>
      </c>
      <c r="C139" t="s">
        <v>53</v>
      </c>
      <c r="D139" t="s">
        <v>193</v>
      </c>
      <c r="E139" t="s">
        <v>194</v>
      </c>
      <c r="F139" t="s">
        <v>10</v>
      </c>
      <c r="G139" t="s">
        <v>193</v>
      </c>
      <c r="H139" t="s">
        <v>195</v>
      </c>
      <c r="I139" t="s">
        <v>32</v>
      </c>
      <c r="J139">
        <v>0</v>
      </c>
      <c r="K139">
        <v>649</v>
      </c>
      <c r="L139" s="4">
        <v>3.5000000000000001E-3</v>
      </c>
      <c r="M139">
        <v>0.02</v>
      </c>
      <c r="N139" s="4">
        <v>2.2715000000000001</v>
      </c>
      <c r="O139" s="4">
        <v>12.98</v>
      </c>
    </row>
    <row r="140" spans="2:15">
      <c r="B140" t="s">
        <v>52</v>
      </c>
      <c r="C140" t="s">
        <v>53</v>
      </c>
      <c r="D140" t="s">
        <v>793</v>
      </c>
      <c r="E140" t="s">
        <v>794</v>
      </c>
      <c r="F140" t="s">
        <v>10</v>
      </c>
      <c r="G140" t="s">
        <v>793</v>
      </c>
      <c r="H140" t="s">
        <v>795</v>
      </c>
      <c r="I140" t="s">
        <v>32</v>
      </c>
      <c r="J140">
        <v>0</v>
      </c>
      <c r="K140">
        <v>75</v>
      </c>
      <c r="L140" s="4">
        <v>3.5000000000000001E-3</v>
      </c>
      <c r="M140">
        <v>0.02</v>
      </c>
      <c r="N140" s="4">
        <v>0.26250000000000001</v>
      </c>
      <c r="O140" s="4">
        <v>1.5</v>
      </c>
    </row>
    <row r="141" spans="2:15">
      <c r="B141" t="s">
        <v>52</v>
      </c>
      <c r="C141" t="s">
        <v>53</v>
      </c>
      <c r="D141" t="s">
        <v>796</v>
      </c>
      <c r="E141" t="s">
        <v>797</v>
      </c>
      <c r="F141" t="s">
        <v>10</v>
      </c>
      <c r="G141" t="s">
        <v>796</v>
      </c>
      <c r="H141" t="s">
        <v>798</v>
      </c>
      <c r="I141" t="s">
        <v>32</v>
      </c>
      <c r="J141">
        <v>0</v>
      </c>
      <c r="K141">
        <v>331</v>
      </c>
      <c r="L141" s="4">
        <v>3.5000000000000001E-3</v>
      </c>
      <c r="M141">
        <v>0.02</v>
      </c>
      <c r="N141" s="4">
        <v>1.1585000000000001</v>
      </c>
      <c r="O141" s="4">
        <v>6.62</v>
      </c>
    </row>
    <row r="142" spans="2:15">
      <c r="B142" t="s">
        <v>52</v>
      </c>
      <c r="C142" t="s">
        <v>53</v>
      </c>
      <c r="D142" t="s">
        <v>196</v>
      </c>
      <c r="E142" t="s">
        <v>197</v>
      </c>
      <c r="F142" t="s">
        <v>10</v>
      </c>
      <c r="G142" t="s">
        <v>196</v>
      </c>
      <c r="H142" t="s">
        <v>198</v>
      </c>
      <c r="I142" t="s">
        <v>32</v>
      </c>
      <c r="J142">
        <v>0</v>
      </c>
      <c r="K142">
        <v>18</v>
      </c>
      <c r="L142" s="4">
        <v>3.5000000000000001E-3</v>
      </c>
      <c r="M142">
        <v>0.02</v>
      </c>
      <c r="N142" s="4">
        <v>6.3E-2</v>
      </c>
      <c r="O142" s="4">
        <v>0.36</v>
      </c>
    </row>
    <row r="143" spans="2:15">
      <c r="B143" t="s">
        <v>52</v>
      </c>
      <c r="C143" t="s">
        <v>53</v>
      </c>
      <c r="D143" t="s">
        <v>799</v>
      </c>
      <c r="E143" t="s">
        <v>800</v>
      </c>
      <c r="F143" t="s">
        <v>10</v>
      </c>
      <c r="G143" t="s">
        <v>799</v>
      </c>
      <c r="H143" t="s">
        <v>801</v>
      </c>
      <c r="I143" t="s">
        <v>32</v>
      </c>
      <c r="J143">
        <v>0</v>
      </c>
      <c r="K143">
        <v>2</v>
      </c>
      <c r="L143" s="4">
        <v>3.5000000000000001E-3</v>
      </c>
      <c r="M143">
        <v>0.02</v>
      </c>
      <c r="N143" s="4">
        <v>7.0000000000000001E-3</v>
      </c>
      <c r="O143" s="4">
        <v>0.04</v>
      </c>
    </row>
    <row r="144" spans="2:15">
      <c r="B144" t="s">
        <v>52</v>
      </c>
      <c r="C144" t="s">
        <v>53</v>
      </c>
      <c r="D144" t="s">
        <v>199</v>
      </c>
      <c r="E144" t="s">
        <v>200</v>
      </c>
      <c r="F144" t="s">
        <v>10</v>
      </c>
      <c r="G144" t="s">
        <v>199</v>
      </c>
      <c r="H144" t="s">
        <v>201</v>
      </c>
      <c r="I144" t="s">
        <v>32</v>
      </c>
      <c r="J144">
        <v>0</v>
      </c>
      <c r="K144">
        <v>140</v>
      </c>
      <c r="L144" s="4">
        <v>3.5000000000000001E-3</v>
      </c>
      <c r="M144">
        <v>0.02</v>
      </c>
      <c r="N144" s="4">
        <v>0.49</v>
      </c>
      <c r="O144" s="4">
        <v>2.8000000000000003</v>
      </c>
    </row>
    <row r="145" spans="2:15">
      <c r="B145" t="s">
        <v>52</v>
      </c>
      <c r="C145" t="s">
        <v>53</v>
      </c>
      <c r="D145" t="s">
        <v>802</v>
      </c>
      <c r="E145" t="s">
        <v>803</v>
      </c>
      <c r="F145" t="s">
        <v>10</v>
      </c>
      <c r="G145" t="s">
        <v>802</v>
      </c>
      <c r="H145" t="s">
        <v>804</v>
      </c>
      <c r="I145" t="s">
        <v>32</v>
      </c>
      <c r="J145">
        <v>0</v>
      </c>
      <c r="K145">
        <v>7</v>
      </c>
      <c r="L145" s="4">
        <v>3.5000000000000001E-3</v>
      </c>
      <c r="M145">
        <v>0.02</v>
      </c>
      <c r="N145" s="4">
        <v>2.4500000000000001E-2</v>
      </c>
      <c r="O145" s="4">
        <v>0.14000000000000001</v>
      </c>
    </row>
    <row r="146" spans="2:15">
      <c r="B146" t="s">
        <v>52</v>
      </c>
      <c r="C146" t="s">
        <v>53</v>
      </c>
      <c r="D146" t="s">
        <v>202</v>
      </c>
      <c r="E146" t="s">
        <v>203</v>
      </c>
      <c r="F146" t="s">
        <v>10</v>
      </c>
      <c r="G146" t="s">
        <v>202</v>
      </c>
      <c r="H146" t="s">
        <v>204</v>
      </c>
      <c r="I146" t="s">
        <v>32</v>
      </c>
      <c r="J146">
        <v>0</v>
      </c>
      <c r="K146">
        <v>106</v>
      </c>
      <c r="L146" s="4">
        <v>3.5000000000000001E-3</v>
      </c>
      <c r="M146">
        <v>0.02</v>
      </c>
      <c r="N146" s="4">
        <v>0.371</v>
      </c>
      <c r="O146" s="4">
        <v>2.12</v>
      </c>
    </row>
    <row r="147" spans="2:15">
      <c r="B147" t="s">
        <v>52</v>
      </c>
      <c r="C147" t="s">
        <v>53</v>
      </c>
      <c r="D147" t="s">
        <v>805</v>
      </c>
      <c r="E147" t="s">
        <v>806</v>
      </c>
      <c r="F147" t="s">
        <v>10</v>
      </c>
      <c r="G147" t="s">
        <v>805</v>
      </c>
      <c r="H147" t="s">
        <v>807</v>
      </c>
      <c r="I147" t="s">
        <v>32</v>
      </c>
      <c r="J147">
        <v>0</v>
      </c>
      <c r="K147">
        <v>4</v>
      </c>
      <c r="L147" s="4">
        <v>3.5000000000000001E-3</v>
      </c>
      <c r="M147">
        <v>0.02</v>
      </c>
      <c r="N147" s="4">
        <v>1.4E-2</v>
      </c>
      <c r="O147" s="4">
        <v>0.08</v>
      </c>
    </row>
    <row r="148" spans="2:15">
      <c r="B148" t="s">
        <v>52</v>
      </c>
      <c r="C148" t="s">
        <v>53</v>
      </c>
      <c r="D148" t="s">
        <v>205</v>
      </c>
      <c r="E148" t="s">
        <v>206</v>
      </c>
      <c r="F148" t="s">
        <v>10</v>
      </c>
      <c r="G148" t="s">
        <v>205</v>
      </c>
      <c r="H148" t="s">
        <v>207</v>
      </c>
      <c r="I148" t="s">
        <v>32</v>
      </c>
      <c r="J148">
        <v>0</v>
      </c>
      <c r="K148">
        <v>277</v>
      </c>
      <c r="L148" s="4">
        <v>3.5000000000000001E-3</v>
      </c>
      <c r="M148">
        <v>0.02</v>
      </c>
      <c r="N148" s="4">
        <v>0.96950000000000003</v>
      </c>
      <c r="O148" s="4">
        <v>5.54</v>
      </c>
    </row>
    <row r="149" spans="2:15">
      <c r="B149" t="s">
        <v>52</v>
      </c>
      <c r="C149" t="s">
        <v>53</v>
      </c>
      <c r="D149" t="s">
        <v>808</v>
      </c>
      <c r="E149" t="s">
        <v>809</v>
      </c>
      <c r="F149" t="s">
        <v>10</v>
      </c>
      <c r="G149" t="s">
        <v>808</v>
      </c>
      <c r="H149" t="s">
        <v>810</v>
      </c>
      <c r="I149" t="s">
        <v>32</v>
      </c>
      <c r="J149">
        <v>0</v>
      </c>
      <c r="K149">
        <v>10</v>
      </c>
      <c r="L149" s="4">
        <v>3.5000000000000001E-3</v>
      </c>
      <c r="M149">
        <v>0.02</v>
      </c>
      <c r="N149" s="4">
        <v>3.5000000000000003E-2</v>
      </c>
      <c r="O149" s="4">
        <v>0.2</v>
      </c>
    </row>
    <row r="150" spans="2:15">
      <c r="B150" t="s">
        <v>52</v>
      </c>
      <c r="C150" t="s">
        <v>53</v>
      </c>
      <c r="D150" t="s">
        <v>208</v>
      </c>
      <c r="E150" t="s">
        <v>209</v>
      </c>
      <c r="F150" t="s">
        <v>10</v>
      </c>
      <c r="G150" t="s">
        <v>208</v>
      </c>
      <c r="H150" t="s">
        <v>210</v>
      </c>
      <c r="I150" t="s">
        <v>32</v>
      </c>
      <c r="J150">
        <v>0</v>
      </c>
      <c r="K150">
        <v>9</v>
      </c>
      <c r="L150" s="4">
        <v>3.5000000000000001E-3</v>
      </c>
      <c r="M150">
        <v>0.02</v>
      </c>
      <c r="N150" s="4">
        <v>3.15E-2</v>
      </c>
      <c r="O150" s="4">
        <v>0.18</v>
      </c>
    </row>
    <row r="151" spans="2:15">
      <c r="B151" t="s">
        <v>52</v>
      </c>
      <c r="C151" t="s">
        <v>53</v>
      </c>
      <c r="D151" t="s">
        <v>330</v>
      </c>
      <c r="E151" t="s">
        <v>331</v>
      </c>
      <c r="F151" t="s">
        <v>10</v>
      </c>
      <c r="G151" t="s">
        <v>330</v>
      </c>
      <c r="H151" t="s">
        <v>332</v>
      </c>
      <c r="I151" t="s">
        <v>32</v>
      </c>
      <c r="J151">
        <v>0</v>
      </c>
      <c r="K151">
        <v>7</v>
      </c>
      <c r="L151" s="4">
        <v>3.5000000000000001E-3</v>
      </c>
      <c r="M151">
        <v>0.02</v>
      </c>
      <c r="N151" s="4">
        <v>2.4500000000000001E-2</v>
      </c>
      <c r="O151" s="4">
        <v>0.14000000000000001</v>
      </c>
    </row>
    <row r="152" spans="2:15">
      <c r="B152" t="s">
        <v>52</v>
      </c>
      <c r="C152" t="s">
        <v>53</v>
      </c>
      <c r="D152" t="s">
        <v>333</v>
      </c>
      <c r="E152" t="s">
        <v>334</v>
      </c>
      <c r="F152" t="s">
        <v>10</v>
      </c>
      <c r="G152" t="s">
        <v>333</v>
      </c>
      <c r="H152" t="s">
        <v>335</v>
      </c>
      <c r="I152" t="s">
        <v>32</v>
      </c>
      <c r="J152">
        <v>0</v>
      </c>
      <c r="K152">
        <v>4</v>
      </c>
      <c r="L152" s="4">
        <v>3.5000000000000001E-3</v>
      </c>
      <c r="M152">
        <v>0.02</v>
      </c>
      <c r="N152" s="4">
        <v>1.4E-2</v>
      </c>
      <c r="O152" s="4">
        <v>0.08</v>
      </c>
    </row>
    <row r="153" spans="2:15">
      <c r="B153" t="s">
        <v>52</v>
      </c>
      <c r="C153" t="s">
        <v>53</v>
      </c>
      <c r="D153" t="s">
        <v>63</v>
      </c>
      <c r="E153" t="s">
        <v>64</v>
      </c>
      <c r="F153" t="s">
        <v>10</v>
      </c>
      <c r="G153" t="s">
        <v>63</v>
      </c>
      <c r="H153" t="s">
        <v>65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52</v>
      </c>
      <c r="C154" t="s">
        <v>53</v>
      </c>
      <c r="D154" t="s">
        <v>211</v>
      </c>
      <c r="E154" t="s">
        <v>212</v>
      </c>
      <c r="F154" t="s">
        <v>10</v>
      </c>
      <c r="G154" t="s">
        <v>211</v>
      </c>
      <c r="H154" t="s">
        <v>213</v>
      </c>
      <c r="I154" t="s">
        <v>32</v>
      </c>
      <c r="J154">
        <v>0</v>
      </c>
      <c r="K154">
        <v>6636</v>
      </c>
      <c r="L154" s="4">
        <v>3.5000000000000001E-3</v>
      </c>
      <c r="M154">
        <v>0.02</v>
      </c>
      <c r="N154" s="4">
        <v>23.225999999999999</v>
      </c>
      <c r="O154" s="4">
        <v>132.72</v>
      </c>
    </row>
    <row r="155" spans="2:15">
      <c r="B155" t="s">
        <v>52</v>
      </c>
      <c r="C155" t="s">
        <v>53</v>
      </c>
      <c r="D155" t="s">
        <v>214</v>
      </c>
      <c r="E155" t="s">
        <v>215</v>
      </c>
      <c r="F155" t="s">
        <v>10</v>
      </c>
      <c r="G155" t="s">
        <v>214</v>
      </c>
      <c r="H155" t="s">
        <v>216</v>
      </c>
      <c r="I155" t="s">
        <v>32</v>
      </c>
      <c r="J155">
        <v>0</v>
      </c>
      <c r="K155">
        <v>14</v>
      </c>
      <c r="L155" s="4">
        <v>3.5000000000000001E-3</v>
      </c>
      <c r="M155">
        <v>0.02</v>
      </c>
      <c r="N155" s="4">
        <v>4.9000000000000002E-2</v>
      </c>
      <c r="O155" s="4">
        <v>0.28000000000000003</v>
      </c>
    </row>
    <row r="156" spans="2:15">
      <c r="B156" t="s">
        <v>52</v>
      </c>
      <c r="C156" t="s">
        <v>53</v>
      </c>
      <c r="D156" t="s">
        <v>217</v>
      </c>
      <c r="E156" t="s">
        <v>218</v>
      </c>
      <c r="F156" t="s">
        <v>10</v>
      </c>
      <c r="G156" t="s">
        <v>217</v>
      </c>
      <c r="H156" t="s">
        <v>219</v>
      </c>
      <c r="I156" t="s">
        <v>32</v>
      </c>
      <c r="J156">
        <v>0</v>
      </c>
      <c r="K156">
        <v>129</v>
      </c>
      <c r="L156" s="4">
        <v>3.5000000000000001E-3</v>
      </c>
      <c r="M156">
        <v>0.02</v>
      </c>
      <c r="N156" s="4">
        <v>0.45150000000000001</v>
      </c>
      <c r="O156" s="4">
        <v>2.58</v>
      </c>
    </row>
    <row r="157" spans="2:15">
      <c r="B157" t="s">
        <v>52</v>
      </c>
      <c r="C157" t="s">
        <v>53</v>
      </c>
      <c r="D157" t="s">
        <v>220</v>
      </c>
      <c r="E157" t="s">
        <v>221</v>
      </c>
      <c r="F157" t="s">
        <v>10</v>
      </c>
      <c r="G157" t="s">
        <v>220</v>
      </c>
      <c r="H157" t="s">
        <v>222</v>
      </c>
      <c r="I157" t="s">
        <v>32</v>
      </c>
      <c r="J157">
        <v>0</v>
      </c>
      <c r="K157">
        <v>3</v>
      </c>
      <c r="L157" s="4">
        <v>3.5000000000000001E-3</v>
      </c>
      <c r="M157">
        <v>0.02</v>
      </c>
      <c r="N157" s="4">
        <v>1.0500000000000001E-2</v>
      </c>
      <c r="O157" s="4">
        <v>0.06</v>
      </c>
    </row>
    <row r="158" spans="2:15">
      <c r="B158" t="s">
        <v>52</v>
      </c>
      <c r="C158" t="s">
        <v>53</v>
      </c>
      <c r="D158" t="s">
        <v>223</v>
      </c>
      <c r="E158" t="s">
        <v>224</v>
      </c>
      <c r="F158" t="s">
        <v>10</v>
      </c>
      <c r="G158" t="s">
        <v>223</v>
      </c>
      <c r="H158" t="s">
        <v>225</v>
      </c>
      <c r="I158" t="s">
        <v>32</v>
      </c>
      <c r="J158">
        <v>0</v>
      </c>
      <c r="K158">
        <v>227</v>
      </c>
      <c r="L158" s="4">
        <v>3.5000000000000001E-3</v>
      </c>
      <c r="M158">
        <v>0.02</v>
      </c>
      <c r="N158" s="4">
        <v>0.79449999999999998</v>
      </c>
      <c r="O158" s="4">
        <v>4.54</v>
      </c>
    </row>
    <row r="159" spans="2:15">
      <c r="B159" t="s">
        <v>52</v>
      </c>
      <c r="C159" t="s">
        <v>53</v>
      </c>
      <c r="D159" t="s">
        <v>226</v>
      </c>
      <c r="E159" t="s">
        <v>227</v>
      </c>
      <c r="F159" t="s">
        <v>10</v>
      </c>
      <c r="G159" t="s">
        <v>226</v>
      </c>
      <c r="H159" t="s">
        <v>228</v>
      </c>
      <c r="I159" t="s">
        <v>32</v>
      </c>
      <c r="J159">
        <v>0</v>
      </c>
      <c r="K159">
        <v>59</v>
      </c>
      <c r="L159" s="4">
        <v>3.5000000000000001E-3</v>
      </c>
      <c r="M159">
        <v>0.02</v>
      </c>
      <c r="N159" s="4">
        <v>0.20650000000000002</v>
      </c>
      <c r="O159" s="4">
        <v>1.18</v>
      </c>
    </row>
    <row r="160" spans="2:15">
      <c r="B160" t="s">
        <v>52</v>
      </c>
      <c r="C160" t="s">
        <v>53</v>
      </c>
      <c r="D160" t="s">
        <v>229</v>
      </c>
      <c r="E160" t="s">
        <v>230</v>
      </c>
      <c r="F160" t="s">
        <v>10</v>
      </c>
      <c r="G160" t="s">
        <v>229</v>
      </c>
      <c r="H160" t="s">
        <v>231</v>
      </c>
      <c r="I160" t="s">
        <v>32</v>
      </c>
      <c r="J160">
        <v>0</v>
      </c>
      <c r="K160">
        <v>12</v>
      </c>
      <c r="L160" s="4">
        <v>3.5000000000000001E-3</v>
      </c>
      <c r="M160">
        <v>0.02</v>
      </c>
      <c r="N160" s="4">
        <v>4.2000000000000003E-2</v>
      </c>
      <c r="O160" s="4">
        <v>0.24</v>
      </c>
    </row>
    <row r="161" spans="2:15">
      <c r="B161" t="s">
        <v>52</v>
      </c>
      <c r="C161" t="s">
        <v>53</v>
      </c>
      <c r="D161" t="s">
        <v>336</v>
      </c>
      <c r="E161" t="s">
        <v>337</v>
      </c>
      <c r="F161" t="s">
        <v>10</v>
      </c>
      <c r="G161" t="s">
        <v>336</v>
      </c>
      <c r="H161" t="s">
        <v>338</v>
      </c>
      <c r="I161" t="s">
        <v>32</v>
      </c>
      <c r="J161">
        <v>0</v>
      </c>
      <c r="K161">
        <v>148</v>
      </c>
      <c r="L161" s="4">
        <v>3.5000000000000001E-3</v>
      </c>
      <c r="M161">
        <v>0.02</v>
      </c>
      <c r="N161" s="4">
        <v>0.51800000000000002</v>
      </c>
      <c r="O161" s="4">
        <v>2.96</v>
      </c>
    </row>
    <row r="162" spans="2:15">
      <c r="B162" t="s">
        <v>52</v>
      </c>
      <c r="C162" t="s">
        <v>53</v>
      </c>
      <c r="D162" t="s">
        <v>339</v>
      </c>
      <c r="E162" t="s">
        <v>340</v>
      </c>
      <c r="F162" t="s">
        <v>10</v>
      </c>
      <c r="G162" t="s">
        <v>339</v>
      </c>
      <c r="H162" t="s">
        <v>341</v>
      </c>
      <c r="I162" t="s">
        <v>32</v>
      </c>
      <c r="J162">
        <v>0</v>
      </c>
      <c r="K162">
        <v>66</v>
      </c>
      <c r="L162" s="4">
        <v>3.5000000000000001E-3</v>
      </c>
      <c r="M162">
        <v>0.02</v>
      </c>
      <c r="N162" s="4">
        <v>0.23100000000000001</v>
      </c>
      <c r="O162" s="4">
        <v>1.32</v>
      </c>
    </row>
    <row r="163" spans="2:15">
      <c r="B163" t="s">
        <v>52</v>
      </c>
      <c r="C163" t="s">
        <v>53</v>
      </c>
      <c r="D163" t="s">
        <v>811</v>
      </c>
      <c r="E163" t="s">
        <v>812</v>
      </c>
      <c r="F163" t="s">
        <v>10</v>
      </c>
      <c r="G163" t="s">
        <v>811</v>
      </c>
      <c r="H163" t="s">
        <v>813</v>
      </c>
      <c r="I163" t="s">
        <v>32</v>
      </c>
      <c r="J163">
        <v>0</v>
      </c>
      <c r="K163">
        <v>1</v>
      </c>
      <c r="L163" s="4">
        <v>3.5000000000000001E-3</v>
      </c>
      <c r="M163">
        <v>0.02</v>
      </c>
      <c r="N163" s="4">
        <v>3.5000000000000001E-3</v>
      </c>
      <c r="O163" s="4">
        <v>0.02</v>
      </c>
    </row>
    <row r="164" spans="2:15">
      <c r="B164" t="s">
        <v>52</v>
      </c>
      <c r="C164" t="s">
        <v>53</v>
      </c>
      <c r="D164" t="s">
        <v>814</v>
      </c>
      <c r="E164" t="s">
        <v>815</v>
      </c>
      <c r="F164" t="s">
        <v>10</v>
      </c>
      <c r="G164" t="s">
        <v>814</v>
      </c>
      <c r="H164" t="s">
        <v>816</v>
      </c>
      <c r="I164" t="s">
        <v>32</v>
      </c>
      <c r="J164">
        <v>0</v>
      </c>
      <c r="K164">
        <v>27</v>
      </c>
      <c r="L164" s="4">
        <v>3.5000000000000001E-3</v>
      </c>
      <c r="M164">
        <v>0.02</v>
      </c>
      <c r="N164" s="4">
        <v>9.4500000000000001E-2</v>
      </c>
      <c r="O164" s="4">
        <v>0.54</v>
      </c>
    </row>
    <row r="165" spans="2:15">
      <c r="B165" t="s">
        <v>52</v>
      </c>
      <c r="C165" t="s">
        <v>53</v>
      </c>
      <c r="D165" t="s">
        <v>342</v>
      </c>
      <c r="E165" t="s">
        <v>343</v>
      </c>
      <c r="F165" t="s">
        <v>10</v>
      </c>
      <c r="G165" t="s">
        <v>342</v>
      </c>
      <c r="H165" t="s">
        <v>344</v>
      </c>
      <c r="I165" t="s">
        <v>32</v>
      </c>
      <c r="J165">
        <v>0</v>
      </c>
      <c r="K165">
        <v>31</v>
      </c>
      <c r="L165" s="4">
        <v>3.5000000000000001E-3</v>
      </c>
      <c r="M165">
        <v>0.02</v>
      </c>
      <c r="N165" s="4">
        <v>0.1085</v>
      </c>
      <c r="O165" s="4">
        <v>0.62</v>
      </c>
    </row>
    <row r="166" spans="2:15">
      <c r="B166" t="s">
        <v>52</v>
      </c>
      <c r="C166" t="s">
        <v>53</v>
      </c>
      <c r="D166" t="s">
        <v>817</v>
      </c>
      <c r="E166" t="s">
        <v>818</v>
      </c>
      <c r="F166" t="s">
        <v>10</v>
      </c>
      <c r="G166" t="s">
        <v>817</v>
      </c>
      <c r="H166" t="s">
        <v>819</v>
      </c>
      <c r="I166" t="s">
        <v>32</v>
      </c>
      <c r="J166">
        <v>0</v>
      </c>
      <c r="K166">
        <v>2</v>
      </c>
      <c r="L166" s="4">
        <v>3.5000000000000001E-3</v>
      </c>
      <c r="M166">
        <v>0.02</v>
      </c>
      <c r="N166" s="4">
        <v>7.0000000000000001E-3</v>
      </c>
      <c r="O166" s="4">
        <v>0.04</v>
      </c>
    </row>
    <row r="167" spans="2:15">
      <c r="B167" t="s">
        <v>52</v>
      </c>
      <c r="C167" t="s">
        <v>53</v>
      </c>
      <c r="D167" t="s">
        <v>345</v>
      </c>
      <c r="E167" t="s">
        <v>346</v>
      </c>
      <c r="F167" t="s">
        <v>10</v>
      </c>
      <c r="G167" t="s">
        <v>345</v>
      </c>
      <c r="H167" t="s">
        <v>347</v>
      </c>
      <c r="I167" t="s">
        <v>32</v>
      </c>
      <c r="J167">
        <v>0</v>
      </c>
      <c r="K167">
        <v>227</v>
      </c>
      <c r="L167" s="4">
        <v>3.5000000000000001E-3</v>
      </c>
      <c r="M167">
        <v>0.02</v>
      </c>
      <c r="N167" s="4">
        <v>0.79449999999999998</v>
      </c>
      <c r="O167" s="4">
        <v>4.54</v>
      </c>
    </row>
    <row r="168" spans="2:15">
      <c r="B168" t="s">
        <v>52</v>
      </c>
      <c r="C168" t="s">
        <v>53</v>
      </c>
      <c r="D168" t="s">
        <v>348</v>
      </c>
      <c r="E168" t="s">
        <v>349</v>
      </c>
      <c r="F168" t="s">
        <v>10</v>
      </c>
      <c r="G168" t="s">
        <v>348</v>
      </c>
      <c r="H168" t="s">
        <v>350</v>
      </c>
      <c r="I168" t="s">
        <v>32</v>
      </c>
      <c r="J168">
        <v>0</v>
      </c>
      <c r="K168">
        <v>882</v>
      </c>
      <c r="L168" s="4">
        <v>3.5000000000000001E-3</v>
      </c>
      <c r="M168">
        <v>0.02</v>
      </c>
      <c r="N168" s="4">
        <v>3.0870000000000002</v>
      </c>
      <c r="O168" s="4">
        <v>17.64</v>
      </c>
    </row>
    <row r="169" spans="2:15">
      <c r="B169" t="s">
        <v>52</v>
      </c>
      <c r="C169" t="s">
        <v>53</v>
      </c>
      <c r="D169" t="s">
        <v>351</v>
      </c>
      <c r="E169" t="s">
        <v>352</v>
      </c>
      <c r="F169" t="s">
        <v>10</v>
      </c>
      <c r="G169" t="s">
        <v>351</v>
      </c>
      <c r="H169" t="s">
        <v>353</v>
      </c>
      <c r="I169" t="s">
        <v>32</v>
      </c>
      <c r="J169">
        <v>0</v>
      </c>
      <c r="K169">
        <v>3</v>
      </c>
      <c r="L169" s="4">
        <v>3.5000000000000001E-3</v>
      </c>
      <c r="M169">
        <v>0.02</v>
      </c>
      <c r="N169" s="4">
        <v>1.0500000000000001E-2</v>
      </c>
      <c r="O169" s="4">
        <v>0.06</v>
      </c>
    </row>
    <row r="170" spans="2:15">
      <c r="B170" t="s">
        <v>52</v>
      </c>
      <c r="C170" t="s">
        <v>53</v>
      </c>
      <c r="D170" t="s">
        <v>354</v>
      </c>
      <c r="E170" t="s">
        <v>355</v>
      </c>
      <c r="F170" t="s">
        <v>10</v>
      </c>
      <c r="G170" t="s">
        <v>354</v>
      </c>
      <c r="H170" t="s">
        <v>356</v>
      </c>
      <c r="I170" t="s">
        <v>32</v>
      </c>
      <c r="J170">
        <v>0</v>
      </c>
      <c r="K170">
        <v>1</v>
      </c>
      <c r="L170" s="4">
        <v>3.5000000000000001E-3</v>
      </c>
      <c r="M170">
        <v>0.02</v>
      </c>
      <c r="N170" s="4">
        <v>3.5000000000000001E-3</v>
      </c>
      <c r="O170" s="4">
        <v>0.02</v>
      </c>
    </row>
    <row r="171" spans="2:15">
      <c r="B171" t="s">
        <v>52</v>
      </c>
      <c r="C171" t="s">
        <v>53</v>
      </c>
      <c r="D171" t="s">
        <v>357</v>
      </c>
      <c r="E171" t="s">
        <v>358</v>
      </c>
      <c r="F171" t="s">
        <v>10</v>
      </c>
      <c r="G171" t="s">
        <v>357</v>
      </c>
      <c r="H171" t="s">
        <v>359</v>
      </c>
      <c r="I171" t="s">
        <v>32</v>
      </c>
      <c r="J171">
        <v>0</v>
      </c>
      <c r="K171">
        <v>6</v>
      </c>
      <c r="L171" s="4">
        <v>3.5000000000000001E-3</v>
      </c>
      <c r="M171">
        <v>0.02</v>
      </c>
      <c r="N171" s="4">
        <v>2.1000000000000001E-2</v>
      </c>
      <c r="O171" s="4">
        <v>0.12</v>
      </c>
    </row>
    <row r="172" spans="2:15">
      <c r="B172" t="s">
        <v>52</v>
      </c>
      <c r="C172" t="s">
        <v>53</v>
      </c>
      <c r="D172" t="s">
        <v>360</v>
      </c>
      <c r="E172" t="s">
        <v>361</v>
      </c>
      <c r="F172" t="s">
        <v>10</v>
      </c>
      <c r="G172" t="s">
        <v>360</v>
      </c>
      <c r="H172" t="s">
        <v>362</v>
      </c>
      <c r="I172" t="s">
        <v>32</v>
      </c>
      <c r="J172">
        <v>0</v>
      </c>
      <c r="K172">
        <v>7</v>
      </c>
      <c r="L172" s="4">
        <v>3.5000000000000001E-3</v>
      </c>
      <c r="M172">
        <v>0.02</v>
      </c>
      <c r="N172" s="4">
        <v>2.4500000000000001E-2</v>
      </c>
      <c r="O172" s="4">
        <v>0.14000000000000001</v>
      </c>
    </row>
    <row r="173" spans="2:15">
      <c r="B173" t="s">
        <v>52</v>
      </c>
      <c r="C173" t="s">
        <v>53</v>
      </c>
      <c r="D173" t="s">
        <v>363</v>
      </c>
      <c r="E173" t="s">
        <v>364</v>
      </c>
      <c r="F173" t="s">
        <v>10</v>
      </c>
      <c r="G173" t="s">
        <v>363</v>
      </c>
      <c r="H173" t="s">
        <v>365</v>
      </c>
      <c r="I173" t="s">
        <v>32</v>
      </c>
      <c r="J173">
        <v>0</v>
      </c>
      <c r="K173">
        <v>2</v>
      </c>
      <c r="L173" s="4">
        <v>3.5000000000000001E-3</v>
      </c>
      <c r="M173">
        <v>0.02</v>
      </c>
      <c r="N173" s="4">
        <v>7.0000000000000001E-3</v>
      </c>
      <c r="O173" s="4">
        <v>0.04</v>
      </c>
    </row>
    <row r="174" spans="2:15">
      <c r="B174" t="s">
        <v>52</v>
      </c>
      <c r="C174" t="s">
        <v>53</v>
      </c>
      <c r="D174" t="s">
        <v>89</v>
      </c>
      <c r="E174" t="s">
        <v>90</v>
      </c>
      <c r="F174" t="s">
        <v>10</v>
      </c>
      <c r="G174" t="s">
        <v>89</v>
      </c>
      <c r="H174" t="s">
        <v>91</v>
      </c>
      <c r="I174" t="s">
        <v>32</v>
      </c>
      <c r="J174">
        <v>0</v>
      </c>
      <c r="K174">
        <v>31</v>
      </c>
      <c r="L174" s="4">
        <v>3.5000000000000001E-3</v>
      </c>
      <c r="M174">
        <v>0.02</v>
      </c>
      <c r="N174" s="4">
        <v>0.1085</v>
      </c>
      <c r="O174" s="4">
        <v>0.62</v>
      </c>
    </row>
    <row r="175" spans="2:15">
      <c r="B175" t="s">
        <v>52</v>
      </c>
      <c r="C175" t="s">
        <v>53</v>
      </c>
      <c r="D175" t="s">
        <v>92</v>
      </c>
      <c r="E175" t="s">
        <v>93</v>
      </c>
      <c r="F175" t="s">
        <v>10</v>
      </c>
      <c r="G175" t="s">
        <v>92</v>
      </c>
      <c r="H175" t="s">
        <v>94</v>
      </c>
      <c r="I175" t="s">
        <v>32</v>
      </c>
      <c r="J175">
        <v>0</v>
      </c>
      <c r="K175">
        <v>52</v>
      </c>
      <c r="L175" s="4">
        <v>3.5000000000000001E-3</v>
      </c>
      <c r="M175">
        <v>0.02</v>
      </c>
      <c r="N175" s="4">
        <v>0.182</v>
      </c>
      <c r="O175" s="4">
        <v>1.04</v>
      </c>
    </row>
    <row r="176" spans="2:15">
      <c r="B176" t="s">
        <v>52</v>
      </c>
      <c r="C176" t="s">
        <v>53</v>
      </c>
      <c r="D176" t="s">
        <v>95</v>
      </c>
      <c r="E176" t="s">
        <v>96</v>
      </c>
      <c r="F176" t="s">
        <v>10</v>
      </c>
      <c r="G176" t="s">
        <v>95</v>
      </c>
      <c r="H176" t="s">
        <v>97</v>
      </c>
      <c r="I176" t="s">
        <v>32</v>
      </c>
      <c r="J176">
        <v>0</v>
      </c>
      <c r="K176">
        <v>98</v>
      </c>
      <c r="L176" s="4">
        <v>3.5000000000000001E-3</v>
      </c>
      <c r="M176">
        <v>0.02</v>
      </c>
      <c r="N176" s="4">
        <v>0.34300000000000003</v>
      </c>
      <c r="O176" s="4">
        <v>1.96</v>
      </c>
    </row>
    <row r="177" spans="2:15">
      <c r="B177" t="s">
        <v>52</v>
      </c>
      <c r="C177" t="s">
        <v>53</v>
      </c>
      <c r="D177" t="s">
        <v>820</v>
      </c>
      <c r="E177" t="s">
        <v>821</v>
      </c>
      <c r="F177" t="s">
        <v>10</v>
      </c>
      <c r="G177" t="s">
        <v>820</v>
      </c>
      <c r="H177" t="s">
        <v>822</v>
      </c>
      <c r="I177" t="s">
        <v>32</v>
      </c>
      <c r="J177">
        <v>0</v>
      </c>
      <c r="K177">
        <v>1</v>
      </c>
      <c r="L177" s="4">
        <v>3.5000000000000001E-3</v>
      </c>
      <c r="M177">
        <v>0.02</v>
      </c>
      <c r="N177" s="4">
        <v>3.5000000000000001E-3</v>
      </c>
      <c r="O177" s="4">
        <v>0.02</v>
      </c>
    </row>
    <row r="178" spans="2:15">
      <c r="B178" t="s">
        <v>52</v>
      </c>
      <c r="C178" t="s">
        <v>53</v>
      </c>
      <c r="D178" t="s">
        <v>823</v>
      </c>
      <c r="E178" t="s">
        <v>824</v>
      </c>
      <c r="F178" t="s">
        <v>10</v>
      </c>
      <c r="G178" t="s">
        <v>823</v>
      </c>
      <c r="H178" t="s">
        <v>825</v>
      </c>
      <c r="I178" t="s">
        <v>32</v>
      </c>
      <c r="J178">
        <v>0</v>
      </c>
      <c r="K178">
        <v>1</v>
      </c>
      <c r="L178" s="4">
        <v>3.5000000000000001E-3</v>
      </c>
      <c r="M178">
        <v>0.02</v>
      </c>
      <c r="N178" s="4">
        <v>3.5000000000000001E-3</v>
      </c>
      <c r="O178" s="4">
        <v>0.02</v>
      </c>
    </row>
    <row r="179" spans="2:15">
      <c r="B179" t="s">
        <v>52</v>
      </c>
      <c r="C179" t="s">
        <v>53</v>
      </c>
      <c r="D179" t="s">
        <v>366</v>
      </c>
      <c r="E179" t="s">
        <v>367</v>
      </c>
      <c r="F179" t="s">
        <v>10</v>
      </c>
      <c r="G179" t="s">
        <v>366</v>
      </c>
      <c r="H179" t="s">
        <v>368</v>
      </c>
      <c r="I179" t="s">
        <v>32</v>
      </c>
      <c r="J179">
        <v>0</v>
      </c>
      <c r="K179">
        <v>2</v>
      </c>
      <c r="L179" s="4">
        <v>3.5000000000000001E-3</v>
      </c>
      <c r="M179">
        <v>0.02</v>
      </c>
      <c r="N179" s="4">
        <v>7.0000000000000001E-3</v>
      </c>
      <c r="O179" s="4">
        <v>0.04</v>
      </c>
    </row>
    <row r="180" spans="2:15">
      <c r="B180" t="s">
        <v>52</v>
      </c>
      <c r="C180" t="s">
        <v>53</v>
      </c>
      <c r="D180" t="s">
        <v>826</v>
      </c>
      <c r="E180" t="s">
        <v>827</v>
      </c>
      <c r="F180" t="s">
        <v>10</v>
      </c>
      <c r="G180" t="s">
        <v>826</v>
      </c>
      <c r="H180" t="s">
        <v>828</v>
      </c>
      <c r="I180" t="s">
        <v>32</v>
      </c>
      <c r="J180">
        <v>0</v>
      </c>
      <c r="K180">
        <v>2032</v>
      </c>
      <c r="L180" s="4">
        <v>3.5000000000000001E-3</v>
      </c>
      <c r="M180">
        <v>0.02</v>
      </c>
      <c r="N180" s="4">
        <v>7.1120000000000001</v>
      </c>
      <c r="O180" s="4">
        <v>40.64</v>
      </c>
    </row>
    <row r="181" spans="2:15">
      <c r="B181" t="s">
        <v>52</v>
      </c>
      <c r="C181" t="s">
        <v>53</v>
      </c>
      <c r="D181" t="s">
        <v>232</v>
      </c>
      <c r="E181" t="s">
        <v>233</v>
      </c>
      <c r="F181" t="s">
        <v>10</v>
      </c>
      <c r="G181" t="s">
        <v>232</v>
      </c>
      <c r="H181" t="s">
        <v>234</v>
      </c>
      <c r="I181" t="s">
        <v>32</v>
      </c>
      <c r="J181">
        <v>0</v>
      </c>
      <c r="K181">
        <v>2759</v>
      </c>
      <c r="L181" s="4">
        <v>3.5000000000000001E-3</v>
      </c>
      <c r="M181">
        <v>0.02</v>
      </c>
      <c r="N181" s="4">
        <v>9.6564999999999994</v>
      </c>
      <c r="O181" s="4">
        <v>55.18</v>
      </c>
    </row>
    <row r="182" spans="2:15">
      <c r="B182" t="s">
        <v>52</v>
      </c>
      <c r="C182" t="s">
        <v>53</v>
      </c>
      <c r="D182" t="s">
        <v>369</v>
      </c>
      <c r="E182" t="s">
        <v>370</v>
      </c>
      <c r="F182" t="s">
        <v>10</v>
      </c>
      <c r="G182" t="s">
        <v>369</v>
      </c>
      <c r="H182" t="s">
        <v>371</v>
      </c>
      <c r="I182" t="s">
        <v>32</v>
      </c>
      <c r="J182">
        <v>0</v>
      </c>
      <c r="K182">
        <v>11</v>
      </c>
      <c r="L182" s="4">
        <v>3.5000000000000001E-3</v>
      </c>
      <c r="M182">
        <v>0.02</v>
      </c>
      <c r="N182" s="4">
        <v>3.85E-2</v>
      </c>
      <c r="O182" s="4">
        <v>0.22</v>
      </c>
    </row>
    <row r="183" spans="2:15">
      <c r="B183" t="s">
        <v>52</v>
      </c>
      <c r="C183" t="s">
        <v>53</v>
      </c>
      <c r="D183" t="s">
        <v>372</v>
      </c>
      <c r="E183" t="s">
        <v>373</v>
      </c>
      <c r="F183" t="s">
        <v>10</v>
      </c>
      <c r="G183" t="s">
        <v>372</v>
      </c>
      <c r="H183" t="s">
        <v>374</v>
      </c>
      <c r="I183" t="s">
        <v>32</v>
      </c>
      <c r="J183">
        <v>0</v>
      </c>
      <c r="K183">
        <v>15</v>
      </c>
      <c r="L183" s="4">
        <v>3.5000000000000001E-3</v>
      </c>
      <c r="M183">
        <v>0.02</v>
      </c>
      <c r="N183" s="4">
        <v>5.2499999999999998E-2</v>
      </c>
      <c r="O183" s="4">
        <v>0.3</v>
      </c>
    </row>
    <row r="184" spans="2:15">
      <c r="B184" t="s">
        <v>52</v>
      </c>
      <c r="C184" t="s">
        <v>53</v>
      </c>
      <c r="D184" t="s">
        <v>829</v>
      </c>
      <c r="E184" t="s">
        <v>830</v>
      </c>
      <c r="F184" t="s">
        <v>10</v>
      </c>
      <c r="G184" t="s">
        <v>829</v>
      </c>
      <c r="H184" t="s">
        <v>831</v>
      </c>
      <c r="I184" t="s">
        <v>32</v>
      </c>
      <c r="J184">
        <v>0</v>
      </c>
      <c r="K184">
        <v>24</v>
      </c>
      <c r="L184" s="4">
        <v>3.5000000000000001E-3</v>
      </c>
      <c r="M184">
        <v>0.02</v>
      </c>
      <c r="N184" s="4">
        <v>8.4000000000000005E-2</v>
      </c>
      <c r="O184" s="4">
        <v>0.48</v>
      </c>
    </row>
    <row r="185" spans="2:15">
      <c r="B185" t="s">
        <v>52</v>
      </c>
      <c r="C185" t="s">
        <v>53</v>
      </c>
      <c r="D185" t="s">
        <v>375</v>
      </c>
      <c r="E185" t="s">
        <v>376</v>
      </c>
      <c r="F185" t="s">
        <v>10</v>
      </c>
      <c r="G185" t="s">
        <v>375</v>
      </c>
      <c r="H185" t="s">
        <v>377</v>
      </c>
      <c r="I185" t="s">
        <v>32</v>
      </c>
      <c r="J185">
        <v>0</v>
      </c>
      <c r="K185">
        <v>24</v>
      </c>
      <c r="L185" s="4">
        <v>3.5000000000000001E-3</v>
      </c>
      <c r="M185">
        <v>0.02</v>
      </c>
      <c r="N185" s="4">
        <v>8.4000000000000005E-2</v>
      </c>
      <c r="O185" s="4">
        <v>0.48</v>
      </c>
    </row>
    <row r="186" spans="2:15">
      <c r="B186" t="s">
        <v>52</v>
      </c>
      <c r="C186" t="s">
        <v>53</v>
      </c>
      <c r="D186" t="s">
        <v>378</v>
      </c>
      <c r="E186" t="s">
        <v>379</v>
      </c>
      <c r="F186" t="s">
        <v>10</v>
      </c>
      <c r="G186" t="s">
        <v>378</v>
      </c>
      <c r="H186" t="s">
        <v>380</v>
      </c>
      <c r="I186" t="s">
        <v>32</v>
      </c>
      <c r="J186">
        <v>0</v>
      </c>
      <c r="K186">
        <v>18</v>
      </c>
      <c r="L186" s="4">
        <v>3.5000000000000001E-3</v>
      </c>
      <c r="M186">
        <v>0.02</v>
      </c>
      <c r="N186" s="4">
        <v>6.3E-2</v>
      </c>
      <c r="O186" s="4">
        <v>0.36</v>
      </c>
    </row>
    <row r="187" spans="2:15">
      <c r="B187" t="s">
        <v>52</v>
      </c>
      <c r="C187" t="s">
        <v>53</v>
      </c>
      <c r="D187" t="s">
        <v>832</v>
      </c>
      <c r="E187" t="s">
        <v>833</v>
      </c>
      <c r="F187" t="s">
        <v>10</v>
      </c>
      <c r="G187" t="s">
        <v>832</v>
      </c>
      <c r="H187" t="s">
        <v>834</v>
      </c>
      <c r="I187" t="s">
        <v>32</v>
      </c>
      <c r="J187">
        <v>0</v>
      </c>
      <c r="K187">
        <v>1</v>
      </c>
      <c r="L187" s="4">
        <v>3.5000000000000001E-3</v>
      </c>
      <c r="M187">
        <v>0.02</v>
      </c>
      <c r="N187" s="4">
        <v>3.5000000000000001E-3</v>
      </c>
      <c r="O187" s="4">
        <v>0.02</v>
      </c>
    </row>
    <row r="188" spans="2:15">
      <c r="B188" t="s">
        <v>52</v>
      </c>
      <c r="C188" t="s">
        <v>53</v>
      </c>
      <c r="D188" t="s">
        <v>835</v>
      </c>
      <c r="E188" t="s">
        <v>836</v>
      </c>
      <c r="F188" t="s">
        <v>10</v>
      </c>
      <c r="G188" t="s">
        <v>835</v>
      </c>
      <c r="H188" t="s">
        <v>837</v>
      </c>
      <c r="I188" t="s">
        <v>32</v>
      </c>
      <c r="J188">
        <v>0</v>
      </c>
      <c r="K188">
        <v>1</v>
      </c>
      <c r="L188" s="4">
        <v>3.5000000000000001E-3</v>
      </c>
      <c r="M188">
        <v>0.02</v>
      </c>
      <c r="N188" s="4">
        <v>3.5000000000000001E-3</v>
      </c>
      <c r="O188" s="4">
        <v>0.02</v>
      </c>
    </row>
    <row r="189" spans="2:15">
      <c r="B189" t="s">
        <v>52</v>
      </c>
      <c r="C189" t="s">
        <v>53</v>
      </c>
      <c r="D189" t="s">
        <v>838</v>
      </c>
      <c r="E189" t="s">
        <v>839</v>
      </c>
      <c r="F189" t="s">
        <v>10</v>
      </c>
      <c r="G189" t="s">
        <v>838</v>
      </c>
      <c r="H189" t="s">
        <v>840</v>
      </c>
      <c r="I189" t="s">
        <v>32</v>
      </c>
      <c r="J189">
        <v>0</v>
      </c>
      <c r="K189">
        <v>1</v>
      </c>
      <c r="L189" s="4">
        <v>3.5000000000000001E-3</v>
      </c>
      <c r="M189">
        <v>0.02</v>
      </c>
      <c r="N189" s="4">
        <v>3.5000000000000001E-3</v>
      </c>
      <c r="O189" s="4">
        <v>0.02</v>
      </c>
    </row>
    <row r="190" spans="2:15">
      <c r="B190" t="s">
        <v>52</v>
      </c>
      <c r="C190" t="s">
        <v>53</v>
      </c>
      <c r="D190" t="s">
        <v>381</v>
      </c>
      <c r="E190" t="s">
        <v>382</v>
      </c>
      <c r="F190" t="s">
        <v>10</v>
      </c>
      <c r="G190" t="s">
        <v>381</v>
      </c>
      <c r="H190" t="s">
        <v>383</v>
      </c>
      <c r="I190" t="s">
        <v>32</v>
      </c>
      <c r="J190">
        <v>0</v>
      </c>
      <c r="K190">
        <v>20</v>
      </c>
      <c r="L190" s="4">
        <v>3.5000000000000001E-3</v>
      </c>
      <c r="M190">
        <v>0.02</v>
      </c>
      <c r="N190" s="4">
        <v>7.0000000000000007E-2</v>
      </c>
      <c r="O190" s="4">
        <v>0.4</v>
      </c>
    </row>
    <row r="191" spans="2:15">
      <c r="B191" t="s">
        <v>52</v>
      </c>
      <c r="C191" t="s">
        <v>53</v>
      </c>
      <c r="D191" t="s">
        <v>841</v>
      </c>
      <c r="E191" t="s">
        <v>842</v>
      </c>
      <c r="F191" t="s">
        <v>10</v>
      </c>
      <c r="G191" t="s">
        <v>841</v>
      </c>
      <c r="H191" t="s">
        <v>843</v>
      </c>
      <c r="I191" t="s">
        <v>32</v>
      </c>
      <c r="J191">
        <v>0</v>
      </c>
      <c r="K191">
        <v>1</v>
      </c>
      <c r="L191" s="4">
        <v>3.5000000000000001E-3</v>
      </c>
      <c r="M191">
        <v>0.02</v>
      </c>
      <c r="N191" s="4">
        <v>3.5000000000000001E-3</v>
      </c>
      <c r="O191" s="4">
        <v>0.02</v>
      </c>
    </row>
    <row r="192" spans="2:15">
      <c r="B192" t="s">
        <v>52</v>
      </c>
      <c r="C192" t="s">
        <v>53</v>
      </c>
      <c r="D192" t="s">
        <v>844</v>
      </c>
      <c r="E192" t="s">
        <v>845</v>
      </c>
      <c r="F192" t="s">
        <v>10</v>
      </c>
      <c r="G192" t="s">
        <v>844</v>
      </c>
      <c r="H192" t="s">
        <v>846</v>
      </c>
      <c r="I192" t="s">
        <v>32</v>
      </c>
      <c r="J192">
        <v>0</v>
      </c>
      <c r="K192">
        <v>1</v>
      </c>
      <c r="L192" s="4">
        <v>3.5000000000000001E-3</v>
      </c>
      <c r="M192">
        <v>0.02</v>
      </c>
      <c r="N192" s="4">
        <v>3.5000000000000001E-3</v>
      </c>
      <c r="O192" s="4">
        <v>0.02</v>
      </c>
    </row>
    <row r="193" spans="2:15">
      <c r="B193" t="s">
        <v>52</v>
      </c>
      <c r="C193" t="s">
        <v>53</v>
      </c>
      <c r="D193" t="s">
        <v>847</v>
      </c>
      <c r="E193" t="s">
        <v>848</v>
      </c>
      <c r="F193" t="s">
        <v>10</v>
      </c>
      <c r="G193" t="s">
        <v>847</v>
      </c>
      <c r="H193" t="s">
        <v>849</v>
      </c>
      <c r="I193" t="s">
        <v>32</v>
      </c>
      <c r="J193">
        <v>0</v>
      </c>
      <c r="K193">
        <v>1</v>
      </c>
      <c r="L193" s="4">
        <v>3.5000000000000001E-3</v>
      </c>
      <c r="M193">
        <v>0.02</v>
      </c>
      <c r="N193" s="4">
        <v>3.5000000000000001E-3</v>
      </c>
      <c r="O193" s="4">
        <v>0.02</v>
      </c>
    </row>
    <row r="194" spans="2:15">
      <c r="B194" t="s">
        <v>52</v>
      </c>
      <c r="C194" t="s">
        <v>53</v>
      </c>
      <c r="D194" t="s">
        <v>850</v>
      </c>
      <c r="E194" t="s">
        <v>851</v>
      </c>
      <c r="F194" t="s">
        <v>10</v>
      </c>
      <c r="G194" t="s">
        <v>850</v>
      </c>
      <c r="H194" t="s">
        <v>852</v>
      </c>
      <c r="I194" t="s">
        <v>32</v>
      </c>
      <c r="J194">
        <v>0</v>
      </c>
      <c r="K194">
        <v>1</v>
      </c>
      <c r="L194" s="4">
        <v>3.5000000000000001E-3</v>
      </c>
      <c r="M194">
        <v>0.02</v>
      </c>
      <c r="N194" s="4">
        <v>3.5000000000000001E-3</v>
      </c>
      <c r="O194" s="4">
        <v>0.02</v>
      </c>
    </row>
    <row r="195" spans="2:15">
      <c r="B195" t="s">
        <v>52</v>
      </c>
      <c r="C195" t="s">
        <v>53</v>
      </c>
      <c r="D195" t="s">
        <v>384</v>
      </c>
      <c r="E195" t="s">
        <v>385</v>
      </c>
      <c r="F195" t="s">
        <v>10</v>
      </c>
      <c r="G195" t="s">
        <v>384</v>
      </c>
      <c r="H195" t="s">
        <v>386</v>
      </c>
      <c r="I195" t="s">
        <v>32</v>
      </c>
      <c r="J195">
        <v>0</v>
      </c>
      <c r="K195">
        <v>17</v>
      </c>
      <c r="L195" s="4">
        <v>3.5000000000000001E-3</v>
      </c>
      <c r="M195">
        <v>0.02</v>
      </c>
      <c r="N195" s="4">
        <v>5.9500000000000004E-2</v>
      </c>
      <c r="O195" s="4">
        <v>0.34</v>
      </c>
    </row>
    <row r="196" spans="2:15">
      <c r="B196" t="s">
        <v>52</v>
      </c>
      <c r="C196" t="s">
        <v>53</v>
      </c>
      <c r="D196" t="s">
        <v>387</v>
      </c>
      <c r="E196" t="s">
        <v>388</v>
      </c>
      <c r="F196" t="s">
        <v>10</v>
      </c>
      <c r="G196" t="s">
        <v>387</v>
      </c>
      <c r="H196" t="s">
        <v>389</v>
      </c>
      <c r="I196" t="s">
        <v>32</v>
      </c>
      <c r="J196">
        <v>0</v>
      </c>
      <c r="K196">
        <v>15</v>
      </c>
      <c r="L196" s="4">
        <v>3.5000000000000001E-3</v>
      </c>
      <c r="M196">
        <v>0.02</v>
      </c>
      <c r="N196" s="4">
        <v>5.2499999999999998E-2</v>
      </c>
      <c r="O196" s="4">
        <v>0.3</v>
      </c>
    </row>
    <row r="197" spans="2:15">
      <c r="B197" t="s">
        <v>52</v>
      </c>
      <c r="C197" t="s">
        <v>53</v>
      </c>
      <c r="D197" t="s">
        <v>853</v>
      </c>
      <c r="E197" t="s">
        <v>854</v>
      </c>
      <c r="F197" t="s">
        <v>10</v>
      </c>
      <c r="G197" t="s">
        <v>853</v>
      </c>
      <c r="H197" t="s">
        <v>855</v>
      </c>
      <c r="I197" t="s">
        <v>32</v>
      </c>
      <c r="J197">
        <v>0</v>
      </c>
      <c r="K197">
        <v>1</v>
      </c>
      <c r="L197" s="4">
        <v>3.5000000000000001E-3</v>
      </c>
      <c r="M197">
        <v>0.02</v>
      </c>
      <c r="N197" s="4">
        <v>3.5000000000000001E-3</v>
      </c>
      <c r="O197" s="4">
        <v>0.02</v>
      </c>
    </row>
    <row r="198" spans="2:15">
      <c r="B198" t="s">
        <v>52</v>
      </c>
      <c r="C198" t="s">
        <v>53</v>
      </c>
      <c r="D198" t="s">
        <v>856</v>
      </c>
      <c r="E198" t="s">
        <v>857</v>
      </c>
      <c r="F198" t="s">
        <v>10</v>
      </c>
      <c r="G198" t="s">
        <v>856</v>
      </c>
      <c r="H198" t="s">
        <v>858</v>
      </c>
      <c r="I198" t="s">
        <v>32</v>
      </c>
      <c r="J198">
        <v>0</v>
      </c>
      <c r="K198">
        <v>1</v>
      </c>
      <c r="L198" s="4">
        <v>3.5000000000000001E-3</v>
      </c>
      <c r="M198">
        <v>0.02</v>
      </c>
      <c r="N198" s="4">
        <v>3.5000000000000001E-3</v>
      </c>
      <c r="O198" s="4">
        <v>0.02</v>
      </c>
    </row>
    <row r="199" spans="2:15">
      <c r="B199" t="s">
        <v>66</v>
      </c>
      <c r="C199" t="s">
        <v>859</v>
      </c>
      <c r="D199" t="s">
        <v>860</v>
      </c>
      <c r="E199" t="s">
        <v>861</v>
      </c>
      <c r="F199" t="s">
        <v>12</v>
      </c>
      <c r="G199" t="s">
        <v>860</v>
      </c>
      <c r="H199" t="s">
        <v>862</v>
      </c>
      <c r="I199" t="s">
        <v>32</v>
      </c>
      <c r="J199">
        <v>45014</v>
      </c>
      <c r="K199">
        <v>16</v>
      </c>
      <c r="L199" s="4">
        <v>3.8199999999999998E-2</v>
      </c>
      <c r="M199">
        <v>0.09</v>
      </c>
      <c r="N199" s="4">
        <v>1.7195347999999999</v>
      </c>
      <c r="O199" s="4">
        <v>4.0512600000000001</v>
      </c>
    </row>
    <row r="200" spans="2:15">
      <c r="B200" t="s">
        <v>66</v>
      </c>
      <c r="C200" t="s">
        <v>859</v>
      </c>
      <c r="D200" t="s">
        <v>863</v>
      </c>
      <c r="E200" t="s">
        <v>864</v>
      </c>
      <c r="F200" t="s">
        <v>12</v>
      </c>
      <c r="G200" t="s">
        <v>863</v>
      </c>
      <c r="H200" t="s">
        <v>865</v>
      </c>
      <c r="I200" t="s">
        <v>32</v>
      </c>
      <c r="J200">
        <v>192108</v>
      </c>
      <c r="K200">
        <v>109</v>
      </c>
      <c r="L200" s="4">
        <v>3.8199999999999998E-2</v>
      </c>
      <c r="M200">
        <v>0.09</v>
      </c>
      <c r="N200" s="4">
        <v>7.3385255999999996</v>
      </c>
      <c r="O200" s="4">
        <v>17.289720000000003</v>
      </c>
    </row>
    <row r="201" spans="2:15">
      <c r="B201" t="s">
        <v>66</v>
      </c>
      <c r="C201" t="s">
        <v>859</v>
      </c>
      <c r="D201" t="s">
        <v>866</v>
      </c>
      <c r="E201" t="s">
        <v>867</v>
      </c>
      <c r="F201" t="s">
        <v>12</v>
      </c>
      <c r="G201" t="s">
        <v>866</v>
      </c>
      <c r="H201" t="s">
        <v>868</v>
      </c>
      <c r="I201" t="s">
        <v>32</v>
      </c>
      <c r="J201">
        <v>45118</v>
      </c>
      <c r="K201">
        <v>12</v>
      </c>
      <c r="L201" s="4">
        <v>3.8199999999999998E-2</v>
      </c>
      <c r="M201">
        <v>0.09</v>
      </c>
      <c r="N201" s="4">
        <v>1.7235075999999998</v>
      </c>
      <c r="O201" s="4">
        <v>4.0606200000000001</v>
      </c>
    </row>
    <row r="202" spans="2:15">
      <c r="B202" t="s">
        <v>66</v>
      </c>
      <c r="C202" t="s">
        <v>859</v>
      </c>
      <c r="D202" t="s">
        <v>869</v>
      </c>
      <c r="E202" t="s">
        <v>870</v>
      </c>
      <c r="F202" t="s">
        <v>12</v>
      </c>
      <c r="G202" t="s">
        <v>869</v>
      </c>
      <c r="H202" t="s">
        <v>871</v>
      </c>
      <c r="I202" t="s">
        <v>32</v>
      </c>
      <c r="J202">
        <v>43527</v>
      </c>
      <c r="K202">
        <v>12</v>
      </c>
      <c r="L202" s="4">
        <v>3.8199999999999998E-2</v>
      </c>
      <c r="M202">
        <v>0.09</v>
      </c>
      <c r="N202" s="4">
        <v>1.6627314</v>
      </c>
      <c r="O202" s="4">
        <v>3.91743</v>
      </c>
    </row>
    <row r="203" spans="2:15">
      <c r="B203" t="s">
        <v>66</v>
      </c>
      <c r="C203" t="s">
        <v>67</v>
      </c>
      <c r="D203" t="s">
        <v>390</v>
      </c>
      <c r="E203" t="s">
        <v>391</v>
      </c>
      <c r="F203" t="s">
        <v>10</v>
      </c>
      <c r="G203" t="s">
        <v>390</v>
      </c>
      <c r="H203" t="s">
        <v>392</v>
      </c>
      <c r="I203" t="s">
        <v>32</v>
      </c>
      <c r="J203">
        <v>0</v>
      </c>
      <c r="K203">
        <v>1</v>
      </c>
      <c r="L203" s="4">
        <v>3.5000000000000001E-3</v>
      </c>
      <c r="M203">
        <v>0.02</v>
      </c>
      <c r="N203" s="4">
        <v>3.5000000000000001E-3</v>
      </c>
      <c r="O203" s="4">
        <v>0.02</v>
      </c>
    </row>
    <row r="204" spans="2:15">
      <c r="B204" t="s">
        <v>66</v>
      </c>
      <c r="C204" t="s">
        <v>67</v>
      </c>
      <c r="D204" t="s">
        <v>98</v>
      </c>
      <c r="E204" t="s">
        <v>99</v>
      </c>
      <c r="F204" t="s">
        <v>12</v>
      </c>
      <c r="G204" t="s">
        <v>98</v>
      </c>
      <c r="H204" t="s">
        <v>100</v>
      </c>
      <c r="I204" t="s">
        <v>32</v>
      </c>
      <c r="J204">
        <v>2</v>
      </c>
      <c r="K204">
        <v>0</v>
      </c>
      <c r="L204" s="4">
        <v>3.8199999999999998E-2</v>
      </c>
      <c r="M204">
        <v>0.09</v>
      </c>
      <c r="N204" s="4">
        <v>7.64E-5</v>
      </c>
      <c r="O204" s="4">
        <v>1.7999999999999998E-4</v>
      </c>
    </row>
    <row r="205" spans="2:15">
      <c r="B205" t="s">
        <v>66</v>
      </c>
      <c r="C205" t="s">
        <v>67</v>
      </c>
      <c r="D205" t="s">
        <v>393</v>
      </c>
      <c r="E205" t="s">
        <v>394</v>
      </c>
      <c r="F205" t="s">
        <v>10</v>
      </c>
      <c r="G205" t="s">
        <v>393</v>
      </c>
      <c r="H205" t="s">
        <v>395</v>
      </c>
      <c r="I205" t="s">
        <v>32</v>
      </c>
      <c r="J205">
        <v>0</v>
      </c>
      <c r="K205">
        <v>1</v>
      </c>
      <c r="L205" s="4">
        <v>3.5000000000000001E-3</v>
      </c>
      <c r="M205">
        <v>0.02</v>
      </c>
      <c r="N205" s="4">
        <v>3.5000000000000001E-3</v>
      </c>
      <c r="O205" s="4">
        <v>0.02</v>
      </c>
    </row>
    <row r="206" spans="2:15">
      <c r="B206" t="s">
        <v>66</v>
      </c>
      <c r="C206" t="s">
        <v>67</v>
      </c>
      <c r="D206" t="s">
        <v>396</v>
      </c>
      <c r="E206" t="s">
        <v>397</v>
      </c>
      <c r="F206" t="s">
        <v>12</v>
      </c>
      <c r="G206" t="s">
        <v>109</v>
      </c>
      <c r="H206" t="s">
        <v>110</v>
      </c>
      <c r="I206" t="s">
        <v>31</v>
      </c>
      <c r="J206">
        <v>2</v>
      </c>
      <c r="K206">
        <v>0</v>
      </c>
      <c r="L206" s="4">
        <v>3.8199999999999998E-2</v>
      </c>
      <c r="M206">
        <v>0.09</v>
      </c>
      <c r="N206" s="4">
        <v>7.64E-5</v>
      </c>
      <c r="O206" s="4">
        <v>1.7999999999999998E-4</v>
      </c>
    </row>
    <row r="207" spans="2:15">
      <c r="B207" t="s">
        <v>66</v>
      </c>
      <c r="C207" t="s">
        <v>398</v>
      </c>
      <c r="D207" t="s">
        <v>872</v>
      </c>
      <c r="E207" t="s">
        <v>873</v>
      </c>
      <c r="F207" t="s">
        <v>12</v>
      </c>
      <c r="G207" t="s">
        <v>872</v>
      </c>
      <c r="H207" t="s">
        <v>874</v>
      </c>
      <c r="I207" t="s">
        <v>32</v>
      </c>
      <c r="J207">
        <v>23875</v>
      </c>
      <c r="K207">
        <v>1</v>
      </c>
      <c r="L207" s="4">
        <v>3.8199999999999998E-2</v>
      </c>
      <c r="M207">
        <v>0.09</v>
      </c>
      <c r="N207" s="4">
        <v>0.91202499999999997</v>
      </c>
      <c r="O207" s="4">
        <v>2.1487500000000002</v>
      </c>
    </row>
    <row r="208" spans="2:15">
      <c r="B208" t="s">
        <v>66</v>
      </c>
      <c r="C208" t="s">
        <v>398</v>
      </c>
      <c r="D208" t="s">
        <v>875</v>
      </c>
      <c r="E208" t="s">
        <v>876</v>
      </c>
      <c r="F208" t="s">
        <v>12</v>
      </c>
      <c r="G208" t="s">
        <v>875</v>
      </c>
      <c r="H208" t="s">
        <v>877</v>
      </c>
      <c r="I208" t="s">
        <v>32</v>
      </c>
      <c r="J208">
        <v>570169</v>
      </c>
      <c r="K208">
        <v>861</v>
      </c>
      <c r="L208" s="4">
        <v>3.8199999999999998E-2</v>
      </c>
      <c r="M208">
        <v>0.09</v>
      </c>
      <c r="N208" s="4">
        <v>21.780455799999999</v>
      </c>
      <c r="O208" s="4">
        <v>51.31521</v>
      </c>
    </row>
    <row r="209" spans="2:15">
      <c r="B209" t="s">
        <v>66</v>
      </c>
      <c r="C209" t="s">
        <v>398</v>
      </c>
      <c r="D209" t="s">
        <v>399</v>
      </c>
      <c r="E209" t="s">
        <v>400</v>
      </c>
      <c r="F209" t="s">
        <v>10</v>
      </c>
      <c r="G209" t="s">
        <v>399</v>
      </c>
      <c r="H209" t="s">
        <v>401</v>
      </c>
      <c r="I209" t="s">
        <v>32</v>
      </c>
      <c r="J209">
        <v>0</v>
      </c>
      <c r="K209">
        <v>1</v>
      </c>
      <c r="L209" s="4">
        <v>3.5000000000000001E-3</v>
      </c>
      <c r="M209">
        <v>0.02</v>
      </c>
      <c r="N209" s="4">
        <v>3.5000000000000001E-3</v>
      </c>
      <c r="O209" s="4">
        <v>0.02</v>
      </c>
    </row>
    <row r="210" spans="2:15">
      <c r="B210" t="s">
        <v>66</v>
      </c>
      <c r="C210" t="s">
        <v>398</v>
      </c>
      <c r="D210" t="s">
        <v>878</v>
      </c>
      <c r="E210" t="s">
        <v>879</v>
      </c>
      <c r="F210" t="s">
        <v>12</v>
      </c>
      <c r="G210" t="s">
        <v>878</v>
      </c>
      <c r="H210" t="s">
        <v>880</v>
      </c>
      <c r="I210" t="s">
        <v>32</v>
      </c>
      <c r="J210">
        <v>212876</v>
      </c>
      <c r="K210">
        <v>621</v>
      </c>
      <c r="L210" s="4">
        <v>3.8199999999999998E-2</v>
      </c>
      <c r="M210">
        <v>0.09</v>
      </c>
      <c r="N210" s="4">
        <v>8.1318631999999997</v>
      </c>
      <c r="O210" s="4">
        <v>19.158840000000001</v>
      </c>
    </row>
    <row r="211" spans="2:15">
      <c r="B211" t="s">
        <v>66</v>
      </c>
      <c r="C211" t="s">
        <v>398</v>
      </c>
      <c r="D211" t="s">
        <v>881</v>
      </c>
      <c r="E211" t="s">
        <v>882</v>
      </c>
      <c r="F211" t="s">
        <v>12</v>
      </c>
      <c r="G211" t="s">
        <v>881</v>
      </c>
      <c r="H211" t="s">
        <v>883</v>
      </c>
      <c r="I211" t="s">
        <v>32</v>
      </c>
      <c r="J211">
        <v>37731</v>
      </c>
      <c r="K211">
        <v>61</v>
      </c>
      <c r="L211" s="4">
        <v>3.8199999999999998E-2</v>
      </c>
      <c r="M211">
        <v>0.09</v>
      </c>
      <c r="N211" s="4">
        <v>1.4413241999999999</v>
      </c>
      <c r="O211" s="4">
        <v>3.3957899999999999</v>
      </c>
    </row>
    <row r="212" spans="2:15">
      <c r="B212" t="s">
        <v>66</v>
      </c>
      <c r="C212" t="s">
        <v>398</v>
      </c>
      <c r="D212" t="s">
        <v>884</v>
      </c>
      <c r="E212" t="s">
        <v>885</v>
      </c>
      <c r="F212" t="s">
        <v>12</v>
      </c>
      <c r="G212" t="s">
        <v>884</v>
      </c>
      <c r="H212" t="s">
        <v>886</v>
      </c>
      <c r="I212" t="s">
        <v>32</v>
      </c>
      <c r="J212">
        <v>408825</v>
      </c>
      <c r="K212">
        <v>737</v>
      </c>
      <c r="L212" s="4">
        <v>3.8199999999999998E-2</v>
      </c>
      <c r="M212">
        <v>0.09</v>
      </c>
      <c r="N212" s="4">
        <v>15.617115</v>
      </c>
      <c r="O212" s="4">
        <v>36.794249999999998</v>
      </c>
    </row>
    <row r="213" spans="2:15">
      <c r="B213" t="s">
        <v>66</v>
      </c>
      <c r="C213" t="s">
        <v>398</v>
      </c>
      <c r="D213" t="s">
        <v>402</v>
      </c>
      <c r="E213" t="s">
        <v>403</v>
      </c>
      <c r="F213" t="s">
        <v>10</v>
      </c>
      <c r="G213" t="s">
        <v>402</v>
      </c>
      <c r="H213" t="s">
        <v>404</v>
      </c>
      <c r="I213" t="s">
        <v>32</v>
      </c>
      <c r="J213">
        <v>0</v>
      </c>
      <c r="K213">
        <v>1</v>
      </c>
      <c r="L213" s="4">
        <v>3.5000000000000001E-3</v>
      </c>
      <c r="M213">
        <v>0.02</v>
      </c>
      <c r="N213" s="4">
        <v>3.5000000000000001E-3</v>
      </c>
      <c r="O213" s="4">
        <v>0.02</v>
      </c>
    </row>
    <row r="214" spans="2:15">
      <c r="B214" t="s">
        <v>66</v>
      </c>
      <c r="C214" t="s">
        <v>398</v>
      </c>
      <c r="D214" t="s">
        <v>887</v>
      </c>
      <c r="E214" t="s">
        <v>888</v>
      </c>
      <c r="F214" t="s">
        <v>12</v>
      </c>
      <c r="G214" t="s">
        <v>887</v>
      </c>
      <c r="H214" t="s">
        <v>889</v>
      </c>
      <c r="I214" t="s">
        <v>32</v>
      </c>
      <c r="J214">
        <v>62737</v>
      </c>
      <c r="K214">
        <v>47</v>
      </c>
      <c r="L214" s="4">
        <v>3.8199999999999998E-2</v>
      </c>
      <c r="M214">
        <v>0.09</v>
      </c>
      <c r="N214" s="4">
        <v>2.3965533999999997</v>
      </c>
      <c r="O214" s="4">
        <v>5.6463299999999998</v>
      </c>
    </row>
    <row r="215" spans="2:15">
      <c r="B215" t="s">
        <v>66</v>
      </c>
      <c r="C215" t="s">
        <v>398</v>
      </c>
      <c r="D215" t="s">
        <v>890</v>
      </c>
      <c r="E215" t="s">
        <v>891</v>
      </c>
      <c r="F215" t="s">
        <v>12</v>
      </c>
      <c r="G215" t="s">
        <v>890</v>
      </c>
      <c r="H215" t="s">
        <v>892</v>
      </c>
      <c r="I215" t="s">
        <v>32</v>
      </c>
      <c r="J215">
        <v>199997</v>
      </c>
      <c r="K215">
        <v>692</v>
      </c>
      <c r="L215" s="4">
        <v>3.8199999999999998E-2</v>
      </c>
      <c r="M215">
        <v>0.09</v>
      </c>
      <c r="N215" s="4">
        <v>7.6398853999999989</v>
      </c>
      <c r="O215" s="4">
        <v>17.99973</v>
      </c>
    </row>
    <row r="216" spans="2:15">
      <c r="B216" t="s">
        <v>66</v>
      </c>
      <c r="C216" t="s">
        <v>398</v>
      </c>
      <c r="D216" t="s">
        <v>893</v>
      </c>
      <c r="E216" t="s">
        <v>894</v>
      </c>
      <c r="F216" t="s">
        <v>12</v>
      </c>
      <c r="G216" t="s">
        <v>893</v>
      </c>
      <c r="H216" t="s">
        <v>895</v>
      </c>
      <c r="I216" t="s">
        <v>32</v>
      </c>
      <c r="J216">
        <v>73721</v>
      </c>
      <c r="K216">
        <v>376</v>
      </c>
      <c r="L216" s="4">
        <v>3.8199999999999998E-2</v>
      </c>
      <c r="M216">
        <v>0.09</v>
      </c>
      <c r="N216" s="4">
        <v>2.8161421999999998</v>
      </c>
      <c r="O216" s="4">
        <v>6.6348899999999995</v>
      </c>
    </row>
    <row r="217" spans="2:15">
      <c r="B217" t="s">
        <v>66</v>
      </c>
      <c r="C217" t="s">
        <v>398</v>
      </c>
      <c r="D217" t="s">
        <v>896</v>
      </c>
      <c r="E217" t="s">
        <v>897</v>
      </c>
      <c r="F217" t="s">
        <v>12</v>
      </c>
      <c r="G217" t="s">
        <v>896</v>
      </c>
      <c r="H217" t="s">
        <v>898</v>
      </c>
      <c r="I217" t="s">
        <v>32</v>
      </c>
      <c r="J217">
        <v>22713</v>
      </c>
      <c r="K217">
        <v>105</v>
      </c>
      <c r="L217" s="4">
        <v>3.8199999999999998E-2</v>
      </c>
      <c r="M217">
        <v>0.09</v>
      </c>
      <c r="N217" s="4">
        <v>0.86763659999999998</v>
      </c>
      <c r="O217" s="4">
        <v>2.0441699999999998</v>
      </c>
    </row>
    <row r="218" spans="2:15">
      <c r="B218" t="s">
        <v>66</v>
      </c>
      <c r="C218" t="s">
        <v>398</v>
      </c>
      <c r="D218" t="s">
        <v>899</v>
      </c>
      <c r="E218" t="s">
        <v>900</v>
      </c>
      <c r="F218" t="s">
        <v>12</v>
      </c>
      <c r="G218" t="s">
        <v>899</v>
      </c>
      <c r="H218" t="s">
        <v>901</v>
      </c>
      <c r="I218" t="s">
        <v>32</v>
      </c>
      <c r="J218">
        <v>246590</v>
      </c>
      <c r="K218">
        <v>483</v>
      </c>
      <c r="L218" s="4">
        <v>3.8199999999999998E-2</v>
      </c>
      <c r="M218">
        <v>0.09</v>
      </c>
      <c r="N218" s="4">
        <v>9.4197379999999988</v>
      </c>
      <c r="O218" s="4">
        <v>22.193099999999998</v>
      </c>
    </row>
    <row r="219" spans="2:15">
      <c r="B219" t="s">
        <v>66</v>
      </c>
      <c r="C219" t="s">
        <v>398</v>
      </c>
      <c r="D219" t="s">
        <v>902</v>
      </c>
      <c r="E219" t="s">
        <v>903</v>
      </c>
      <c r="F219" t="s">
        <v>10</v>
      </c>
      <c r="G219" t="s">
        <v>902</v>
      </c>
      <c r="H219" t="s">
        <v>904</v>
      </c>
      <c r="I219" t="s">
        <v>32</v>
      </c>
      <c r="J219">
        <v>0</v>
      </c>
      <c r="K219">
        <v>1</v>
      </c>
      <c r="L219" s="4">
        <v>3.5000000000000001E-3</v>
      </c>
      <c r="M219">
        <v>0.02</v>
      </c>
      <c r="N219" s="4">
        <v>3.5000000000000001E-3</v>
      </c>
      <c r="O219" s="4">
        <v>0.02</v>
      </c>
    </row>
    <row r="220" spans="2:15">
      <c r="B220" t="s">
        <v>66</v>
      </c>
      <c r="C220" t="s">
        <v>79</v>
      </c>
      <c r="D220" t="s">
        <v>405</v>
      </c>
      <c r="E220" t="s">
        <v>406</v>
      </c>
      <c r="F220" t="s">
        <v>10</v>
      </c>
      <c r="G220" t="s">
        <v>405</v>
      </c>
      <c r="H220" t="s">
        <v>407</v>
      </c>
      <c r="I220" t="s">
        <v>32</v>
      </c>
      <c r="J220">
        <v>324</v>
      </c>
      <c r="K220">
        <v>431</v>
      </c>
      <c r="L220" s="4">
        <v>3.5000000000000001E-3</v>
      </c>
      <c r="M220">
        <v>0.02</v>
      </c>
      <c r="N220" s="4">
        <v>1.5085</v>
      </c>
      <c r="O220" s="4">
        <v>8.620000000000001</v>
      </c>
    </row>
    <row r="221" spans="2:15">
      <c r="B221" t="s">
        <v>66</v>
      </c>
      <c r="C221" t="s">
        <v>79</v>
      </c>
      <c r="D221" t="s">
        <v>408</v>
      </c>
      <c r="E221" t="s">
        <v>409</v>
      </c>
      <c r="F221" t="s">
        <v>10</v>
      </c>
      <c r="G221" t="s">
        <v>408</v>
      </c>
      <c r="H221" t="s">
        <v>410</v>
      </c>
      <c r="I221" t="s">
        <v>32</v>
      </c>
      <c r="J221">
        <v>227</v>
      </c>
      <c r="K221">
        <v>340</v>
      </c>
      <c r="L221" s="4">
        <v>3.5000000000000001E-3</v>
      </c>
      <c r="M221">
        <v>0.02</v>
      </c>
      <c r="N221" s="4">
        <v>1.19</v>
      </c>
      <c r="O221" s="4">
        <v>6.8</v>
      </c>
    </row>
    <row r="222" spans="2:15">
      <c r="B222" t="s">
        <v>66</v>
      </c>
      <c r="C222" t="s">
        <v>79</v>
      </c>
      <c r="D222" t="s">
        <v>411</v>
      </c>
      <c r="E222" t="s">
        <v>412</v>
      </c>
      <c r="F222" t="s">
        <v>10</v>
      </c>
      <c r="G222" t="s">
        <v>411</v>
      </c>
      <c r="H222" t="s">
        <v>413</v>
      </c>
      <c r="I222" t="s">
        <v>32</v>
      </c>
      <c r="J222">
        <v>312</v>
      </c>
      <c r="K222">
        <v>1027</v>
      </c>
      <c r="L222" s="4">
        <v>3.5000000000000001E-3</v>
      </c>
      <c r="M222">
        <v>0.02</v>
      </c>
      <c r="N222" s="4">
        <v>3.5945</v>
      </c>
      <c r="O222" s="4">
        <v>20.54</v>
      </c>
    </row>
    <row r="223" spans="2:15">
      <c r="B223" t="s">
        <v>66</v>
      </c>
      <c r="C223" t="s">
        <v>79</v>
      </c>
      <c r="D223" t="s">
        <v>905</v>
      </c>
      <c r="E223" t="s">
        <v>906</v>
      </c>
      <c r="F223" t="s">
        <v>10</v>
      </c>
      <c r="G223" t="s">
        <v>905</v>
      </c>
      <c r="H223" t="s">
        <v>907</v>
      </c>
      <c r="I223" t="s">
        <v>32</v>
      </c>
      <c r="J223">
        <v>3552</v>
      </c>
      <c r="K223">
        <v>12182</v>
      </c>
      <c r="L223" s="4">
        <v>3.5000000000000001E-3</v>
      </c>
      <c r="M223">
        <v>0.02</v>
      </c>
      <c r="N223" s="4">
        <v>42.637</v>
      </c>
      <c r="O223" s="4">
        <v>243.64000000000001</v>
      </c>
    </row>
    <row r="224" spans="2:15">
      <c r="B224" t="s">
        <v>66</v>
      </c>
      <c r="C224" t="s">
        <v>79</v>
      </c>
      <c r="D224" t="s">
        <v>908</v>
      </c>
      <c r="E224" t="s">
        <v>909</v>
      </c>
      <c r="F224" t="s">
        <v>10</v>
      </c>
      <c r="G224" t="s">
        <v>908</v>
      </c>
      <c r="H224" t="s">
        <v>910</v>
      </c>
      <c r="I224" t="s">
        <v>32</v>
      </c>
      <c r="J224">
        <v>2711</v>
      </c>
      <c r="K224">
        <v>6566</v>
      </c>
      <c r="L224" s="4">
        <v>3.5000000000000001E-3</v>
      </c>
      <c r="M224">
        <v>0.02</v>
      </c>
      <c r="N224" s="4">
        <v>22.981000000000002</v>
      </c>
      <c r="O224" s="4">
        <v>131.32</v>
      </c>
    </row>
    <row r="225" spans="2:15">
      <c r="B225" t="s">
        <v>66</v>
      </c>
      <c r="C225" t="s">
        <v>79</v>
      </c>
      <c r="D225" t="s">
        <v>911</v>
      </c>
      <c r="E225" t="s">
        <v>912</v>
      </c>
      <c r="F225" t="s">
        <v>10</v>
      </c>
      <c r="G225" t="s">
        <v>911</v>
      </c>
      <c r="H225" t="s">
        <v>913</v>
      </c>
      <c r="I225" t="s">
        <v>32</v>
      </c>
      <c r="J225">
        <v>0</v>
      </c>
      <c r="K225">
        <v>1</v>
      </c>
      <c r="L225" s="4">
        <v>3.5000000000000001E-3</v>
      </c>
      <c r="M225">
        <v>0.02</v>
      </c>
      <c r="N225" s="4">
        <v>3.5000000000000001E-3</v>
      </c>
      <c r="O225" s="4">
        <v>0.02</v>
      </c>
    </row>
    <row r="226" spans="2:15">
      <c r="B226" t="s">
        <v>66</v>
      </c>
      <c r="C226" t="s">
        <v>79</v>
      </c>
      <c r="D226" t="s">
        <v>914</v>
      </c>
      <c r="E226" t="s">
        <v>915</v>
      </c>
      <c r="F226" t="s">
        <v>10</v>
      </c>
      <c r="G226" t="s">
        <v>914</v>
      </c>
      <c r="H226" t="s">
        <v>916</v>
      </c>
      <c r="I226" t="s">
        <v>32</v>
      </c>
      <c r="J226">
        <v>1090</v>
      </c>
      <c r="K226">
        <v>5952</v>
      </c>
      <c r="L226" s="4">
        <v>3.5000000000000001E-3</v>
      </c>
      <c r="M226">
        <v>0.02</v>
      </c>
      <c r="N226" s="4">
        <v>20.832000000000001</v>
      </c>
      <c r="O226" s="4">
        <v>119.04</v>
      </c>
    </row>
    <row r="227" spans="2:15">
      <c r="B227" t="s">
        <v>66</v>
      </c>
      <c r="C227" t="s">
        <v>79</v>
      </c>
      <c r="D227" t="s">
        <v>414</v>
      </c>
      <c r="E227" t="s">
        <v>415</v>
      </c>
      <c r="F227" t="s">
        <v>12</v>
      </c>
      <c r="G227" t="s">
        <v>414</v>
      </c>
      <c r="H227" t="s">
        <v>416</v>
      </c>
      <c r="I227" t="s">
        <v>32</v>
      </c>
      <c r="J227">
        <v>5733197</v>
      </c>
      <c r="K227">
        <v>29775</v>
      </c>
      <c r="L227" s="4">
        <v>3.8199999999999998E-2</v>
      </c>
      <c r="M227">
        <v>0.09</v>
      </c>
      <c r="N227" s="4">
        <v>219.00812539999998</v>
      </c>
      <c r="O227" s="4">
        <v>515.98772999999994</v>
      </c>
    </row>
    <row r="228" spans="2:15">
      <c r="B228" t="s">
        <v>66</v>
      </c>
      <c r="C228" t="s">
        <v>79</v>
      </c>
      <c r="D228" t="s">
        <v>417</v>
      </c>
      <c r="E228" t="s">
        <v>418</v>
      </c>
      <c r="F228" t="s">
        <v>10</v>
      </c>
      <c r="G228" t="s">
        <v>417</v>
      </c>
      <c r="H228" t="s">
        <v>419</v>
      </c>
      <c r="I228" t="s">
        <v>32</v>
      </c>
      <c r="J228">
        <v>0</v>
      </c>
      <c r="K228">
        <v>16</v>
      </c>
      <c r="L228" s="4">
        <v>3.5000000000000001E-3</v>
      </c>
      <c r="M228">
        <v>0.02</v>
      </c>
      <c r="N228" s="4">
        <v>5.6000000000000001E-2</v>
      </c>
      <c r="O228" s="4">
        <v>0.32</v>
      </c>
    </row>
    <row r="229" spans="2:15">
      <c r="B229" t="s">
        <v>66</v>
      </c>
      <c r="C229" t="s">
        <v>79</v>
      </c>
      <c r="D229" t="s">
        <v>420</v>
      </c>
      <c r="E229" t="s">
        <v>421</v>
      </c>
      <c r="F229" t="s">
        <v>10</v>
      </c>
      <c r="G229" t="s">
        <v>420</v>
      </c>
      <c r="H229" t="s">
        <v>422</v>
      </c>
      <c r="I229" t="s">
        <v>32</v>
      </c>
      <c r="J229">
        <v>1950</v>
      </c>
      <c r="K229">
        <v>9831</v>
      </c>
      <c r="L229" s="4">
        <v>3.5000000000000001E-3</v>
      </c>
      <c r="M229">
        <v>0.02</v>
      </c>
      <c r="N229" s="4">
        <v>34.408500000000004</v>
      </c>
      <c r="O229" s="4">
        <v>196.62</v>
      </c>
    </row>
    <row r="230" spans="2:15">
      <c r="B230" t="s">
        <v>66</v>
      </c>
      <c r="C230" t="s">
        <v>79</v>
      </c>
      <c r="D230" t="s">
        <v>423</v>
      </c>
      <c r="E230" t="s">
        <v>424</v>
      </c>
      <c r="F230" t="s">
        <v>10</v>
      </c>
      <c r="G230" t="s">
        <v>423</v>
      </c>
      <c r="H230" t="s">
        <v>425</v>
      </c>
      <c r="I230" t="s">
        <v>32</v>
      </c>
      <c r="J230">
        <v>0</v>
      </c>
      <c r="K230">
        <v>1</v>
      </c>
      <c r="L230" s="4">
        <v>3.5000000000000001E-3</v>
      </c>
      <c r="M230">
        <v>0.02</v>
      </c>
      <c r="N230" s="4">
        <v>3.5000000000000001E-3</v>
      </c>
      <c r="O230" s="4">
        <v>0.02</v>
      </c>
    </row>
    <row r="231" spans="2:15">
      <c r="B231" t="s">
        <v>66</v>
      </c>
      <c r="C231" t="s">
        <v>426</v>
      </c>
      <c r="D231" t="s">
        <v>427</v>
      </c>
      <c r="E231" t="s">
        <v>428</v>
      </c>
      <c r="F231" t="s">
        <v>12</v>
      </c>
      <c r="G231" t="s">
        <v>427</v>
      </c>
      <c r="H231" t="s">
        <v>429</v>
      </c>
      <c r="I231" t="s">
        <v>32</v>
      </c>
      <c r="J231">
        <v>9</v>
      </c>
      <c r="K231">
        <v>1</v>
      </c>
      <c r="L231" s="4">
        <v>3.8199999999999998E-2</v>
      </c>
      <c r="M231">
        <v>0.09</v>
      </c>
      <c r="N231" s="4">
        <v>3.4380000000000001E-4</v>
      </c>
      <c r="O231" s="4">
        <v>8.0999999999999996E-4</v>
      </c>
    </row>
    <row r="232" spans="2:15">
      <c r="B232" t="s">
        <v>66</v>
      </c>
      <c r="C232" t="s">
        <v>101</v>
      </c>
      <c r="D232" t="s">
        <v>917</v>
      </c>
      <c r="E232" t="s">
        <v>918</v>
      </c>
      <c r="F232" t="s">
        <v>12</v>
      </c>
      <c r="G232" t="s">
        <v>917</v>
      </c>
      <c r="H232" t="s">
        <v>919</v>
      </c>
      <c r="I232" t="s">
        <v>31</v>
      </c>
      <c r="J232">
        <v>304</v>
      </c>
      <c r="K232">
        <v>0</v>
      </c>
      <c r="L232" s="4">
        <v>3.8199999999999998E-2</v>
      </c>
      <c r="M232">
        <v>0.09</v>
      </c>
      <c r="N232" s="4">
        <v>1.16128E-2</v>
      </c>
      <c r="O232" s="4">
        <v>2.7359999999999999E-2</v>
      </c>
    </row>
    <row r="233" spans="2:15">
      <c r="B233" t="s">
        <v>66</v>
      </c>
      <c r="C233" t="s">
        <v>101</v>
      </c>
      <c r="D233" t="s">
        <v>430</v>
      </c>
      <c r="E233" t="s">
        <v>431</v>
      </c>
      <c r="F233" t="s">
        <v>12</v>
      </c>
      <c r="G233" t="s">
        <v>430</v>
      </c>
      <c r="H233" t="s">
        <v>432</v>
      </c>
      <c r="I233" t="s">
        <v>31</v>
      </c>
      <c r="J233">
        <v>126130</v>
      </c>
      <c r="K233">
        <v>70</v>
      </c>
      <c r="L233" s="4">
        <v>3.8199999999999998E-2</v>
      </c>
      <c r="M233">
        <v>0.09</v>
      </c>
      <c r="N233" s="4">
        <v>4.8181659999999997</v>
      </c>
      <c r="O233" s="4">
        <v>11.351699999999999</v>
      </c>
    </row>
    <row r="234" spans="2:15">
      <c r="B234" t="s">
        <v>66</v>
      </c>
      <c r="C234" t="s">
        <v>101</v>
      </c>
      <c r="D234" t="s">
        <v>920</v>
      </c>
      <c r="E234" t="s">
        <v>921</v>
      </c>
      <c r="F234" t="s">
        <v>10</v>
      </c>
      <c r="G234" t="s">
        <v>920</v>
      </c>
      <c r="H234" t="s">
        <v>922</v>
      </c>
      <c r="I234" t="s">
        <v>32</v>
      </c>
      <c r="J234">
        <v>0</v>
      </c>
      <c r="K234">
        <v>1</v>
      </c>
      <c r="L234" s="4">
        <v>3.5000000000000001E-3</v>
      </c>
      <c r="M234">
        <v>0.02</v>
      </c>
      <c r="N234" s="4">
        <v>3.5000000000000001E-3</v>
      </c>
      <c r="O234" s="4">
        <v>0.02</v>
      </c>
    </row>
    <row r="235" spans="2:15">
      <c r="B235" t="s">
        <v>66</v>
      </c>
      <c r="C235" t="s">
        <v>101</v>
      </c>
      <c r="D235" t="s">
        <v>102</v>
      </c>
      <c r="E235" t="s">
        <v>103</v>
      </c>
      <c r="F235" t="s">
        <v>12</v>
      </c>
      <c r="G235" t="s">
        <v>102</v>
      </c>
      <c r="H235" t="s">
        <v>104</v>
      </c>
      <c r="I235" t="s">
        <v>32</v>
      </c>
      <c r="J235">
        <v>162146</v>
      </c>
      <c r="K235">
        <v>1666</v>
      </c>
      <c r="L235" s="4">
        <v>3.8199999999999998E-2</v>
      </c>
      <c r="M235">
        <v>0.09</v>
      </c>
      <c r="N235" s="4">
        <v>6.1939771999999991</v>
      </c>
      <c r="O235" s="4">
        <v>14.59314</v>
      </c>
    </row>
    <row r="236" spans="2:15">
      <c r="B236" t="s">
        <v>66</v>
      </c>
      <c r="C236" t="s">
        <v>101</v>
      </c>
      <c r="D236" t="s">
        <v>923</v>
      </c>
      <c r="E236" t="s">
        <v>924</v>
      </c>
      <c r="F236" t="s">
        <v>12</v>
      </c>
      <c r="G236" t="s">
        <v>923</v>
      </c>
      <c r="H236" t="s">
        <v>925</v>
      </c>
      <c r="I236" t="s">
        <v>31</v>
      </c>
      <c r="J236">
        <v>36</v>
      </c>
      <c r="K236">
        <v>0</v>
      </c>
      <c r="L236" s="4">
        <v>3.8199999999999998E-2</v>
      </c>
      <c r="M236">
        <v>0.09</v>
      </c>
      <c r="N236" s="4">
        <v>1.3752E-3</v>
      </c>
      <c r="O236" s="4">
        <v>3.2399999999999998E-3</v>
      </c>
    </row>
    <row r="237" spans="2:15">
      <c r="B237" t="s">
        <v>66</v>
      </c>
      <c r="C237" t="s">
        <v>101</v>
      </c>
      <c r="D237" t="s">
        <v>433</v>
      </c>
      <c r="E237" t="s">
        <v>434</v>
      </c>
      <c r="F237" t="s">
        <v>12</v>
      </c>
      <c r="G237" t="s">
        <v>433</v>
      </c>
      <c r="H237" t="s">
        <v>435</v>
      </c>
      <c r="I237" t="s">
        <v>31</v>
      </c>
      <c r="J237">
        <v>268545</v>
      </c>
      <c r="K237">
        <v>1140</v>
      </c>
      <c r="L237" s="4">
        <v>3.8199999999999998E-2</v>
      </c>
      <c r="M237">
        <v>0.09</v>
      </c>
      <c r="N237" s="4">
        <v>10.258419</v>
      </c>
      <c r="O237" s="4">
        <v>24.169049999999999</v>
      </c>
    </row>
    <row r="238" spans="2:15">
      <c r="B238" t="s">
        <v>66</v>
      </c>
      <c r="C238" t="s">
        <v>101</v>
      </c>
      <c r="D238" t="s">
        <v>436</v>
      </c>
      <c r="E238" t="s">
        <v>437</v>
      </c>
      <c r="F238" t="s">
        <v>12</v>
      </c>
      <c r="G238" t="s">
        <v>436</v>
      </c>
      <c r="H238" t="s">
        <v>438</v>
      </c>
      <c r="I238" t="s">
        <v>31</v>
      </c>
      <c r="J238">
        <v>248</v>
      </c>
      <c r="K238">
        <v>0</v>
      </c>
      <c r="L238" s="4">
        <v>3.8199999999999998E-2</v>
      </c>
      <c r="M238">
        <v>0.09</v>
      </c>
      <c r="N238" s="4">
        <v>9.4735999999999987E-3</v>
      </c>
      <c r="O238" s="4">
        <v>2.232E-2</v>
      </c>
    </row>
    <row r="239" spans="2:15">
      <c r="B239" t="s">
        <v>66</v>
      </c>
      <c r="C239" t="s">
        <v>101</v>
      </c>
      <c r="D239" t="s">
        <v>439</v>
      </c>
      <c r="E239" t="s">
        <v>440</v>
      </c>
      <c r="F239" t="s">
        <v>12</v>
      </c>
      <c r="G239" t="s">
        <v>439</v>
      </c>
      <c r="H239" t="s">
        <v>441</v>
      </c>
      <c r="I239" t="s">
        <v>31</v>
      </c>
      <c r="J239">
        <v>17489</v>
      </c>
      <c r="K239">
        <v>17</v>
      </c>
      <c r="L239" s="4">
        <v>3.8199999999999998E-2</v>
      </c>
      <c r="M239">
        <v>0.09</v>
      </c>
      <c r="N239" s="4">
        <v>0.6680798</v>
      </c>
      <c r="O239" s="4">
        <v>1.5740099999999999</v>
      </c>
    </row>
    <row r="240" spans="2:15">
      <c r="B240" t="s">
        <v>66</v>
      </c>
      <c r="C240" t="s">
        <v>101</v>
      </c>
      <c r="D240" t="s">
        <v>926</v>
      </c>
      <c r="E240" t="s">
        <v>927</v>
      </c>
      <c r="F240" t="s">
        <v>10</v>
      </c>
      <c r="G240" t="s">
        <v>926</v>
      </c>
      <c r="H240" t="s">
        <v>928</v>
      </c>
      <c r="I240" t="s">
        <v>32</v>
      </c>
      <c r="J240">
        <v>0</v>
      </c>
      <c r="K240">
        <v>7</v>
      </c>
      <c r="L240" s="4">
        <v>3.5000000000000001E-3</v>
      </c>
      <c r="M240">
        <v>0.02</v>
      </c>
      <c r="N240" s="4">
        <v>2.4500000000000001E-2</v>
      </c>
      <c r="O240" s="4">
        <v>0.14000000000000001</v>
      </c>
    </row>
    <row r="241" spans="2:15">
      <c r="B241" t="s">
        <v>66</v>
      </c>
      <c r="C241" t="s">
        <v>101</v>
      </c>
      <c r="D241" t="s">
        <v>929</v>
      </c>
      <c r="E241" t="s">
        <v>930</v>
      </c>
      <c r="F241" t="s">
        <v>10</v>
      </c>
      <c r="G241" t="s">
        <v>931</v>
      </c>
      <c r="H241" t="s">
        <v>932</v>
      </c>
      <c r="I241" t="s">
        <v>32</v>
      </c>
      <c r="J241">
        <v>0</v>
      </c>
      <c r="K241">
        <v>123</v>
      </c>
      <c r="L241" s="4">
        <v>3.5000000000000001E-3</v>
      </c>
      <c r="M241">
        <v>0.02</v>
      </c>
      <c r="N241" s="4">
        <v>0.43049999999999999</v>
      </c>
      <c r="O241" s="4">
        <v>2.46</v>
      </c>
    </row>
    <row r="242" spans="2:15">
      <c r="B242" t="s">
        <v>66</v>
      </c>
      <c r="C242" t="s">
        <v>101</v>
      </c>
      <c r="D242" t="s">
        <v>933</v>
      </c>
      <c r="E242" t="s">
        <v>934</v>
      </c>
      <c r="F242" t="s">
        <v>10</v>
      </c>
      <c r="G242" t="s">
        <v>933</v>
      </c>
      <c r="H242" t="s">
        <v>935</v>
      </c>
      <c r="I242" t="s">
        <v>32</v>
      </c>
      <c r="J242">
        <v>0</v>
      </c>
      <c r="K242">
        <v>728</v>
      </c>
      <c r="L242" s="4">
        <v>3.5000000000000001E-3</v>
      </c>
      <c r="M242">
        <v>0.02</v>
      </c>
      <c r="N242" s="4">
        <v>2.548</v>
      </c>
      <c r="O242" s="4">
        <v>14.56</v>
      </c>
    </row>
    <row r="243" spans="2:15">
      <c r="B243" t="s">
        <v>66</v>
      </c>
      <c r="C243" t="s">
        <v>101</v>
      </c>
      <c r="D243" t="s">
        <v>936</v>
      </c>
      <c r="E243" t="s">
        <v>937</v>
      </c>
      <c r="F243" t="s">
        <v>10</v>
      </c>
      <c r="G243" t="s">
        <v>936</v>
      </c>
      <c r="H243" t="s">
        <v>938</v>
      </c>
      <c r="I243" t="s">
        <v>32</v>
      </c>
      <c r="J243">
        <v>12</v>
      </c>
      <c r="K243">
        <v>12</v>
      </c>
      <c r="L243" s="4">
        <v>3.5000000000000001E-3</v>
      </c>
      <c r="M243">
        <v>0.02</v>
      </c>
      <c r="N243" s="4">
        <v>4.2000000000000003E-2</v>
      </c>
      <c r="O243" s="4">
        <v>0.24</v>
      </c>
    </row>
    <row r="244" spans="2:15">
      <c r="B244" t="s">
        <v>66</v>
      </c>
      <c r="C244" t="s">
        <v>101</v>
      </c>
      <c r="D244" t="s">
        <v>235</v>
      </c>
      <c r="E244" t="s">
        <v>236</v>
      </c>
      <c r="F244" t="s">
        <v>12</v>
      </c>
      <c r="G244" t="s">
        <v>235</v>
      </c>
      <c r="H244" t="s">
        <v>237</v>
      </c>
      <c r="I244" t="s">
        <v>32</v>
      </c>
      <c r="J244">
        <v>3640</v>
      </c>
      <c r="K244">
        <v>220</v>
      </c>
      <c r="L244" s="4">
        <v>3.8199999999999998E-2</v>
      </c>
      <c r="M244">
        <v>0.09</v>
      </c>
      <c r="N244" s="4">
        <v>0.139048</v>
      </c>
      <c r="O244" s="4">
        <v>0.32759999999999995</v>
      </c>
    </row>
    <row r="245" spans="2:15">
      <c r="B245" t="s">
        <v>66</v>
      </c>
      <c r="C245" t="s">
        <v>101</v>
      </c>
      <c r="D245" t="s">
        <v>939</v>
      </c>
      <c r="E245" t="s">
        <v>940</v>
      </c>
      <c r="F245" t="s">
        <v>10</v>
      </c>
      <c r="G245" t="s">
        <v>939</v>
      </c>
      <c r="H245" t="s">
        <v>941</v>
      </c>
      <c r="I245" t="s">
        <v>32</v>
      </c>
      <c r="J245">
        <v>0</v>
      </c>
      <c r="K245">
        <v>1</v>
      </c>
      <c r="L245" s="4">
        <v>3.5000000000000001E-3</v>
      </c>
      <c r="M245">
        <v>0.02</v>
      </c>
      <c r="N245" s="4">
        <v>3.5000000000000001E-3</v>
      </c>
      <c r="O245" s="4">
        <v>0.02</v>
      </c>
    </row>
    <row r="246" spans="2:15">
      <c r="B246" t="s">
        <v>66</v>
      </c>
      <c r="C246" t="s">
        <v>101</v>
      </c>
      <c r="D246" t="s">
        <v>238</v>
      </c>
      <c r="E246" t="s">
        <v>239</v>
      </c>
      <c r="F246" t="s">
        <v>12</v>
      </c>
      <c r="G246" t="s">
        <v>238</v>
      </c>
      <c r="H246" t="s">
        <v>240</v>
      </c>
      <c r="I246" t="s">
        <v>32</v>
      </c>
      <c r="J246">
        <v>3555</v>
      </c>
      <c r="K246">
        <v>236</v>
      </c>
      <c r="L246" s="4">
        <v>3.8199999999999998E-2</v>
      </c>
      <c r="M246">
        <v>0.09</v>
      </c>
      <c r="N246" s="4">
        <v>0.13580099999999998</v>
      </c>
      <c r="O246" s="4">
        <v>0.31995000000000001</v>
      </c>
    </row>
    <row r="247" spans="2:15">
      <c r="B247" t="s">
        <v>66</v>
      </c>
      <c r="C247" t="s">
        <v>442</v>
      </c>
      <c r="D247" t="s">
        <v>942</v>
      </c>
      <c r="E247" t="s">
        <v>943</v>
      </c>
      <c r="F247" t="s">
        <v>12</v>
      </c>
      <c r="G247" t="s">
        <v>942</v>
      </c>
      <c r="H247" t="s">
        <v>944</v>
      </c>
      <c r="I247" t="s">
        <v>32</v>
      </c>
      <c r="J247">
        <v>759473</v>
      </c>
      <c r="K247">
        <v>732</v>
      </c>
      <c r="L247" s="4">
        <v>3.8199999999999998E-2</v>
      </c>
      <c r="M247">
        <v>0.09</v>
      </c>
      <c r="N247" s="4">
        <v>29.0118686</v>
      </c>
      <c r="O247" s="4">
        <v>68.352569999999986</v>
      </c>
    </row>
    <row r="248" spans="2:15">
      <c r="B248" t="s">
        <v>66</v>
      </c>
      <c r="C248" t="s">
        <v>442</v>
      </c>
      <c r="D248" t="s">
        <v>945</v>
      </c>
      <c r="E248" t="s">
        <v>946</v>
      </c>
      <c r="F248" t="s">
        <v>10</v>
      </c>
      <c r="G248" t="s">
        <v>945</v>
      </c>
      <c r="H248" t="s">
        <v>947</v>
      </c>
      <c r="I248" t="s">
        <v>32</v>
      </c>
      <c r="J248">
        <v>0</v>
      </c>
      <c r="K248">
        <v>1</v>
      </c>
      <c r="L248" s="4">
        <v>3.5000000000000001E-3</v>
      </c>
      <c r="M248">
        <v>0.02</v>
      </c>
      <c r="N248" s="4">
        <v>3.5000000000000001E-3</v>
      </c>
      <c r="O248" s="4">
        <v>0.02</v>
      </c>
    </row>
    <row r="249" spans="2:15">
      <c r="B249" t="s">
        <v>66</v>
      </c>
      <c r="C249" t="s">
        <v>442</v>
      </c>
      <c r="D249" t="s">
        <v>948</v>
      </c>
      <c r="E249" t="s">
        <v>949</v>
      </c>
      <c r="F249" t="s">
        <v>10</v>
      </c>
      <c r="G249" t="s">
        <v>948</v>
      </c>
      <c r="H249" t="s">
        <v>950</v>
      </c>
      <c r="I249" t="s">
        <v>32</v>
      </c>
      <c r="J249">
        <v>0</v>
      </c>
      <c r="K249">
        <v>1</v>
      </c>
      <c r="L249" s="4">
        <v>3.5000000000000001E-3</v>
      </c>
      <c r="M249">
        <v>0.02</v>
      </c>
      <c r="N249" s="4">
        <v>3.5000000000000001E-3</v>
      </c>
      <c r="O249" s="4">
        <v>0.02</v>
      </c>
    </row>
    <row r="250" spans="2:15">
      <c r="B250" t="s">
        <v>66</v>
      </c>
      <c r="C250" t="s">
        <v>442</v>
      </c>
      <c r="D250" t="s">
        <v>951</v>
      </c>
      <c r="E250" t="s">
        <v>952</v>
      </c>
      <c r="F250" t="s">
        <v>10</v>
      </c>
      <c r="G250" t="s">
        <v>951</v>
      </c>
      <c r="H250" t="s">
        <v>953</v>
      </c>
      <c r="I250" t="s">
        <v>32</v>
      </c>
      <c r="J250">
        <v>0</v>
      </c>
      <c r="K250">
        <v>1</v>
      </c>
      <c r="L250" s="4">
        <v>3.5000000000000001E-3</v>
      </c>
      <c r="M250">
        <v>0.02</v>
      </c>
      <c r="N250" s="4">
        <v>3.5000000000000001E-3</v>
      </c>
      <c r="O250" s="4">
        <v>0.02</v>
      </c>
    </row>
    <row r="251" spans="2:15">
      <c r="B251" t="s">
        <v>66</v>
      </c>
      <c r="C251" t="s">
        <v>442</v>
      </c>
      <c r="D251" t="s">
        <v>954</v>
      </c>
      <c r="E251" t="s">
        <v>955</v>
      </c>
      <c r="F251" t="s">
        <v>12</v>
      </c>
      <c r="G251" t="s">
        <v>954</v>
      </c>
      <c r="H251" t="s">
        <v>956</v>
      </c>
      <c r="I251" t="s">
        <v>32</v>
      </c>
      <c r="J251">
        <v>86718</v>
      </c>
      <c r="K251">
        <v>40</v>
      </c>
      <c r="L251" s="4">
        <v>3.8199999999999998E-2</v>
      </c>
      <c r="M251">
        <v>0.09</v>
      </c>
      <c r="N251" s="4">
        <v>3.3126275999999999</v>
      </c>
      <c r="O251" s="4">
        <v>7.8046199999999999</v>
      </c>
    </row>
    <row r="252" spans="2:15">
      <c r="B252" t="s">
        <v>66</v>
      </c>
      <c r="C252" t="s">
        <v>442</v>
      </c>
      <c r="D252" t="s">
        <v>957</v>
      </c>
      <c r="E252" t="s">
        <v>958</v>
      </c>
      <c r="F252" t="s">
        <v>10</v>
      </c>
      <c r="G252" t="s">
        <v>957</v>
      </c>
      <c r="H252" t="s">
        <v>959</v>
      </c>
      <c r="I252" t="s">
        <v>32</v>
      </c>
      <c r="J252">
        <v>0</v>
      </c>
      <c r="K252">
        <v>1</v>
      </c>
      <c r="L252" s="4">
        <v>3.5000000000000001E-3</v>
      </c>
      <c r="M252">
        <v>0.02</v>
      </c>
      <c r="N252" s="4">
        <v>3.5000000000000001E-3</v>
      </c>
      <c r="O252" s="4">
        <v>0.02</v>
      </c>
    </row>
    <row r="253" spans="2:15">
      <c r="B253" t="s">
        <v>66</v>
      </c>
      <c r="C253" t="s">
        <v>442</v>
      </c>
      <c r="D253" t="s">
        <v>960</v>
      </c>
      <c r="E253" t="s">
        <v>961</v>
      </c>
      <c r="F253" t="s">
        <v>12</v>
      </c>
      <c r="G253" t="s">
        <v>960</v>
      </c>
      <c r="H253" t="s">
        <v>962</v>
      </c>
      <c r="I253" t="s">
        <v>32</v>
      </c>
      <c r="J253">
        <v>62356</v>
      </c>
      <c r="K253">
        <v>29</v>
      </c>
      <c r="L253" s="4">
        <v>3.8199999999999998E-2</v>
      </c>
      <c r="M253">
        <v>0.09</v>
      </c>
      <c r="N253" s="4">
        <v>2.3819991999999997</v>
      </c>
      <c r="O253" s="4">
        <v>5.6120400000000004</v>
      </c>
    </row>
    <row r="254" spans="2:15">
      <c r="B254" t="s">
        <v>66</v>
      </c>
      <c r="C254" t="s">
        <v>442</v>
      </c>
      <c r="D254" t="s">
        <v>963</v>
      </c>
      <c r="E254" t="s">
        <v>964</v>
      </c>
      <c r="F254" t="s">
        <v>10</v>
      </c>
      <c r="G254" t="s">
        <v>963</v>
      </c>
      <c r="H254" t="s">
        <v>965</v>
      </c>
      <c r="I254" t="s">
        <v>32</v>
      </c>
      <c r="J254">
        <v>0</v>
      </c>
      <c r="K254">
        <v>1</v>
      </c>
      <c r="L254" s="4">
        <v>3.5000000000000001E-3</v>
      </c>
      <c r="M254">
        <v>0.02</v>
      </c>
      <c r="N254" s="4">
        <v>3.5000000000000001E-3</v>
      </c>
      <c r="O254" s="4">
        <v>0.02</v>
      </c>
    </row>
    <row r="255" spans="2:15">
      <c r="B255" t="s">
        <v>66</v>
      </c>
      <c r="C255" t="s">
        <v>80</v>
      </c>
      <c r="D255" t="s">
        <v>966</v>
      </c>
      <c r="E255" t="s">
        <v>967</v>
      </c>
      <c r="F255" t="s">
        <v>12</v>
      </c>
      <c r="G255" t="s">
        <v>109</v>
      </c>
      <c r="H255" t="s">
        <v>110</v>
      </c>
      <c r="I255" t="s">
        <v>31</v>
      </c>
      <c r="J255">
        <v>6</v>
      </c>
      <c r="K255">
        <v>0</v>
      </c>
      <c r="L255" s="4">
        <v>3.8199999999999998E-2</v>
      </c>
      <c r="M255">
        <v>0.09</v>
      </c>
      <c r="N255" s="4">
        <v>2.2919999999999999E-4</v>
      </c>
      <c r="O255" s="4">
        <v>5.4000000000000001E-4</v>
      </c>
    </row>
    <row r="256" spans="2:15">
      <c r="B256" t="s">
        <v>66</v>
      </c>
      <c r="C256" t="s">
        <v>80</v>
      </c>
      <c r="D256" t="s">
        <v>968</v>
      </c>
      <c r="E256" t="s">
        <v>969</v>
      </c>
      <c r="F256" t="s">
        <v>12</v>
      </c>
      <c r="G256" t="s">
        <v>109</v>
      </c>
      <c r="H256" t="s">
        <v>110</v>
      </c>
      <c r="I256" t="s">
        <v>31</v>
      </c>
      <c r="J256">
        <v>2</v>
      </c>
      <c r="K256">
        <v>0</v>
      </c>
      <c r="L256" s="4">
        <v>3.8199999999999998E-2</v>
      </c>
      <c r="M256">
        <v>0.09</v>
      </c>
      <c r="N256" s="4">
        <v>7.64E-5</v>
      </c>
      <c r="O256" s="4">
        <v>1.7999999999999998E-4</v>
      </c>
    </row>
    <row r="257" spans="2:15">
      <c r="B257" t="s">
        <v>66</v>
      </c>
      <c r="C257" t="s">
        <v>80</v>
      </c>
      <c r="D257" t="s">
        <v>968</v>
      </c>
      <c r="E257" t="s">
        <v>969</v>
      </c>
      <c r="F257" t="s">
        <v>12</v>
      </c>
      <c r="G257" t="s">
        <v>968</v>
      </c>
      <c r="H257" t="s">
        <v>970</v>
      </c>
      <c r="I257" t="s">
        <v>32</v>
      </c>
      <c r="J257">
        <v>30</v>
      </c>
      <c r="K257">
        <v>0</v>
      </c>
      <c r="L257" s="4">
        <v>3.8199999999999998E-2</v>
      </c>
      <c r="M257">
        <v>0.09</v>
      </c>
      <c r="N257" s="4">
        <v>1.1459999999999999E-3</v>
      </c>
      <c r="O257" s="4">
        <v>2.6999999999999997E-3</v>
      </c>
    </row>
    <row r="258" spans="2:15">
      <c r="B258" t="s">
        <v>66</v>
      </c>
      <c r="C258" t="s">
        <v>80</v>
      </c>
      <c r="D258" t="s">
        <v>971</v>
      </c>
      <c r="E258" t="s">
        <v>972</v>
      </c>
      <c r="F258" t="s">
        <v>12</v>
      </c>
      <c r="G258" t="s">
        <v>109</v>
      </c>
      <c r="H258" t="s">
        <v>110</v>
      </c>
      <c r="I258" t="s">
        <v>31</v>
      </c>
      <c r="J258">
        <v>3</v>
      </c>
      <c r="K258">
        <v>0</v>
      </c>
      <c r="L258" s="4">
        <v>3.8199999999999998E-2</v>
      </c>
      <c r="M258">
        <v>0.09</v>
      </c>
      <c r="N258" s="4">
        <v>1.1459999999999999E-4</v>
      </c>
      <c r="O258" s="4">
        <v>2.7E-4</v>
      </c>
    </row>
    <row r="259" spans="2:15">
      <c r="B259" t="s">
        <v>66</v>
      </c>
      <c r="C259" t="s">
        <v>80</v>
      </c>
      <c r="D259" t="s">
        <v>971</v>
      </c>
      <c r="E259" t="s">
        <v>972</v>
      </c>
      <c r="F259" t="s">
        <v>10</v>
      </c>
      <c r="G259" t="s">
        <v>971</v>
      </c>
      <c r="H259" t="s">
        <v>973</v>
      </c>
      <c r="I259" t="s">
        <v>32</v>
      </c>
      <c r="J259">
        <v>0</v>
      </c>
      <c r="K259">
        <v>1</v>
      </c>
      <c r="L259" s="4">
        <v>3.5000000000000001E-3</v>
      </c>
      <c r="M259">
        <v>0.02</v>
      </c>
      <c r="N259" s="4">
        <v>3.5000000000000001E-3</v>
      </c>
      <c r="O259" s="4">
        <v>0.02</v>
      </c>
    </row>
    <row r="260" spans="2:15">
      <c r="B260" t="s">
        <v>66</v>
      </c>
      <c r="C260" t="s">
        <v>80</v>
      </c>
      <c r="D260" t="s">
        <v>974</v>
      </c>
      <c r="E260" t="s">
        <v>975</v>
      </c>
      <c r="F260" t="s">
        <v>12</v>
      </c>
      <c r="G260" t="s">
        <v>109</v>
      </c>
      <c r="H260" t="s">
        <v>110</v>
      </c>
      <c r="I260" t="s">
        <v>31</v>
      </c>
      <c r="J260">
        <v>2</v>
      </c>
      <c r="K260">
        <v>0</v>
      </c>
      <c r="L260" s="4">
        <v>3.8199999999999998E-2</v>
      </c>
      <c r="M260">
        <v>0.09</v>
      </c>
      <c r="N260" s="4">
        <v>7.64E-5</v>
      </c>
      <c r="O260" s="4">
        <v>1.7999999999999998E-4</v>
      </c>
    </row>
    <row r="261" spans="2:15">
      <c r="B261" t="s">
        <v>66</v>
      </c>
      <c r="C261" t="s">
        <v>80</v>
      </c>
      <c r="D261" t="s">
        <v>974</v>
      </c>
      <c r="E261" t="s">
        <v>975</v>
      </c>
      <c r="F261" t="s">
        <v>12</v>
      </c>
      <c r="G261" t="s">
        <v>974</v>
      </c>
      <c r="H261" t="s">
        <v>976</v>
      </c>
      <c r="I261" t="s">
        <v>32</v>
      </c>
      <c r="J261">
        <v>8</v>
      </c>
      <c r="K261">
        <v>0</v>
      </c>
      <c r="L261" s="4">
        <v>3.8199999999999998E-2</v>
      </c>
      <c r="M261">
        <v>0.09</v>
      </c>
      <c r="N261" s="4">
        <v>3.056E-4</v>
      </c>
      <c r="O261" s="4">
        <v>7.1999999999999994E-4</v>
      </c>
    </row>
    <row r="262" spans="2:15">
      <c r="B262" t="s">
        <v>66</v>
      </c>
      <c r="C262" t="s">
        <v>80</v>
      </c>
      <c r="D262" t="s">
        <v>977</v>
      </c>
      <c r="E262" t="s">
        <v>978</v>
      </c>
      <c r="F262" t="s">
        <v>12</v>
      </c>
      <c r="G262" t="s">
        <v>109</v>
      </c>
      <c r="H262" t="s">
        <v>110</v>
      </c>
      <c r="I262" t="s">
        <v>31</v>
      </c>
      <c r="J262">
        <v>1</v>
      </c>
      <c r="K262">
        <v>0</v>
      </c>
      <c r="L262" s="4">
        <v>3.8199999999999998E-2</v>
      </c>
      <c r="M262">
        <v>0.09</v>
      </c>
      <c r="N262" s="4">
        <v>3.82E-5</v>
      </c>
      <c r="O262" s="4">
        <v>8.9999999999999992E-5</v>
      </c>
    </row>
    <row r="263" spans="2:15">
      <c r="B263" t="s">
        <v>66</v>
      </c>
      <c r="C263" t="s">
        <v>80</v>
      </c>
      <c r="D263" t="s">
        <v>977</v>
      </c>
      <c r="E263" t="s">
        <v>978</v>
      </c>
      <c r="F263" t="s">
        <v>12</v>
      </c>
      <c r="G263" t="s">
        <v>977</v>
      </c>
      <c r="H263" t="s">
        <v>979</v>
      </c>
      <c r="I263" t="s">
        <v>32</v>
      </c>
      <c r="J263">
        <v>588611</v>
      </c>
      <c r="K263">
        <v>965</v>
      </c>
      <c r="L263" s="4">
        <v>3.8199999999999998E-2</v>
      </c>
      <c r="M263">
        <v>0.09</v>
      </c>
      <c r="N263" s="4">
        <v>22.484940199999997</v>
      </c>
      <c r="O263" s="4">
        <v>52.974989999999998</v>
      </c>
    </row>
    <row r="264" spans="2:15">
      <c r="B264" t="s">
        <v>66</v>
      </c>
      <c r="C264" t="s">
        <v>80</v>
      </c>
      <c r="D264" t="s">
        <v>980</v>
      </c>
      <c r="E264" t="s">
        <v>981</v>
      </c>
      <c r="F264" t="s">
        <v>12</v>
      </c>
      <c r="G264" t="s">
        <v>109</v>
      </c>
      <c r="H264" t="s">
        <v>110</v>
      </c>
      <c r="I264" t="s">
        <v>31</v>
      </c>
      <c r="J264">
        <v>2</v>
      </c>
      <c r="K264">
        <v>0</v>
      </c>
      <c r="L264" s="4">
        <v>3.8199999999999998E-2</v>
      </c>
      <c r="M264">
        <v>0.09</v>
      </c>
      <c r="N264" s="4">
        <v>7.64E-5</v>
      </c>
      <c r="O264" s="4">
        <v>1.7999999999999998E-4</v>
      </c>
    </row>
    <row r="265" spans="2:15">
      <c r="B265" t="s">
        <v>66</v>
      </c>
      <c r="C265" t="s">
        <v>80</v>
      </c>
      <c r="D265" t="s">
        <v>980</v>
      </c>
      <c r="E265" t="s">
        <v>981</v>
      </c>
      <c r="F265" t="s">
        <v>12</v>
      </c>
      <c r="G265" t="s">
        <v>980</v>
      </c>
      <c r="H265" t="s">
        <v>982</v>
      </c>
      <c r="I265" t="s">
        <v>32</v>
      </c>
      <c r="J265">
        <v>395359</v>
      </c>
      <c r="K265">
        <v>774</v>
      </c>
      <c r="L265" s="4">
        <v>3.8199999999999998E-2</v>
      </c>
      <c r="M265">
        <v>0.09</v>
      </c>
      <c r="N265" s="4">
        <v>15.1027138</v>
      </c>
      <c r="O265" s="4">
        <v>35.58231</v>
      </c>
    </row>
    <row r="266" spans="2:15">
      <c r="B266" t="s">
        <v>66</v>
      </c>
      <c r="C266" t="s">
        <v>80</v>
      </c>
      <c r="D266" t="s">
        <v>983</v>
      </c>
      <c r="E266" t="s">
        <v>984</v>
      </c>
      <c r="F266" t="s">
        <v>12</v>
      </c>
      <c r="G266" t="s">
        <v>109</v>
      </c>
      <c r="H266" t="s">
        <v>110</v>
      </c>
      <c r="I266" t="s">
        <v>31</v>
      </c>
      <c r="J266">
        <v>2</v>
      </c>
      <c r="K266">
        <v>0</v>
      </c>
      <c r="L266" s="4">
        <v>3.8199999999999998E-2</v>
      </c>
      <c r="M266">
        <v>0.09</v>
      </c>
      <c r="N266" s="4">
        <v>7.64E-5</v>
      </c>
      <c r="O266" s="4">
        <v>1.7999999999999998E-4</v>
      </c>
    </row>
    <row r="267" spans="2:15">
      <c r="B267" t="s">
        <v>66</v>
      </c>
      <c r="C267" t="s">
        <v>80</v>
      </c>
      <c r="D267" t="s">
        <v>983</v>
      </c>
      <c r="E267" t="s">
        <v>984</v>
      </c>
      <c r="F267" t="s">
        <v>12</v>
      </c>
      <c r="G267" t="s">
        <v>983</v>
      </c>
      <c r="H267" t="s">
        <v>985</v>
      </c>
      <c r="I267" t="s">
        <v>32</v>
      </c>
      <c r="J267">
        <v>751936</v>
      </c>
      <c r="K267">
        <v>1144</v>
      </c>
      <c r="L267" s="4">
        <v>3.8199999999999998E-2</v>
      </c>
      <c r="M267">
        <v>0.09</v>
      </c>
      <c r="N267" s="4">
        <v>28.723955199999995</v>
      </c>
      <c r="O267" s="4">
        <v>67.674239999999998</v>
      </c>
    </row>
    <row r="268" spans="2:15">
      <c r="B268" t="s">
        <v>66</v>
      </c>
      <c r="C268" t="s">
        <v>80</v>
      </c>
      <c r="D268" t="s">
        <v>986</v>
      </c>
      <c r="E268" t="s">
        <v>987</v>
      </c>
      <c r="F268" t="s">
        <v>12</v>
      </c>
      <c r="G268" t="s">
        <v>109</v>
      </c>
      <c r="H268" t="s">
        <v>110</v>
      </c>
      <c r="I268" t="s">
        <v>31</v>
      </c>
      <c r="J268">
        <v>4</v>
      </c>
      <c r="K268">
        <v>0</v>
      </c>
      <c r="L268" s="4">
        <v>3.8199999999999998E-2</v>
      </c>
      <c r="M268">
        <v>0.09</v>
      </c>
      <c r="N268" s="4">
        <v>1.528E-4</v>
      </c>
      <c r="O268" s="4">
        <v>3.5999999999999997E-4</v>
      </c>
    </row>
    <row r="269" spans="2:15">
      <c r="B269" t="s">
        <v>66</v>
      </c>
      <c r="C269" t="s">
        <v>80</v>
      </c>
      <c r="D269" t="s">
        <v>986</v>
      </c>
      <c r="E269" t="s">
        <v>987</v>
      </c>
      <c r="F269" t="s">
        <v>12</v>
      </c>
      <c r="G269" t="s">
        <v>986</v>
      </c>
      <c r="H269" t="s">
        <v>988</v>
      </c>
      <c r="I269" t="s">
        <v>32</v>
      </c>
      <c r="J269">
        <v>389066</v>
      </c>
      <c r="K269">
        <v>702</v>
      </c>
      <c r="L269" s="4">
        <v>3.8199999999999998E-2</v>
      </c>
      <c r="M269">
        <v>0.09</v>
      </c>
      <c r="N269" s="4">
        <v>14.862321199999998</v>
      </c>
      <c r="O269" s="4">
        <v>35.015940000000001</v>
      </c>
    </row>
    <row r="270" spans="2:15">
      <c r="B270" t="s">
        <v>66</v>
      </c>
      <c r="C270" t="s">
        <v>80</v>
      </c>
      <c r="D270" t="s">
        <v>989</v>
      </c>
      <c r="E270" t="s">
        <v>990</v>
      </c>
      <c r="F270" t="s">
        <v>12</v>
      </c>
      <c r="G270" t="s">
        <v>109</v>
      </c>
      <c r="H270" t="s">
        <v>110</v>
      </c>
      <c r="I270" t="s">
        <v>31</v>
      </c>
      <c r="J270">
        <v>1</v>
      </c>
      <c r="K270">
        <v>0</v>
      </c>
      <c r="L270" s="4">
        <v>3.8199999999999998E-2</v>
      </c>
      <c r="M270">
        <v>0.09</v>
      </c>
      <c r="N270" s="4">
        <v>3.82E-5</v>
      </c>
      <c r="O270" s="4">
        <v>8.9999999999999992E-5</v>
      </c>
    </row>
    <row r="271" spans="2:15">
      <c r="B271" t="s">
        <v>66</v>
      </c>
      <c r="C271" t="s">
        <v>80</v>
      </c>
      <c r="D271" t="s">
        <v>989</v>
      </c>
      <c r="E271" t="s">
        <v>990</v>
      </c>
      <c r="F271" t="s">
        <v>10</v>
      </c>
      <c r="G271" t="s">
        <v>989</v>
      </c>
      <c r="H271" t="s">
        <v>991</v>
      </c>
      <c r="I271" t="s">
        <v>32</v>
      </c>
      <c r="J271">
        <v>0</v>
      </c>
      <c r="K271">
        <v>1</v>
      </c>
      <c r="L271" s="4">
        <v>3.5000000000000001E-3</v>
      </c>
      <c r="M271">
        <v>0.02</v>
      </c>
      <c r="N271" s="4">
        <v>3.5000000000000001E-3</v>
      </c>
      <c r="O271" s="4">
        <v>0.02</v>
      </c>
    </row>
    <row r="272" spans="2:15">
      <c r="B272" t="s">
        <v>66</v>
      </c>
      <c r="C272" t="s">
        <v>80</v>
      </c>
      <c r="D272" t="s">
        <v>992</v>
      </c>
      <c r="E272" t="s">
        <v>993</v>
      </c>
      <c r="F272" t="s">
        <v>12</v>
      </c>
      <c r="G272" t="s">
        <v>109</v>
      </c>
      <c r="H272" t="s">
        <v>110</v>
      </c>
      <c r="I272" t="s">
        <v>31</v>
      </c>
      <c r="J272">
        <v>2</v>
      </c>
      <c r="K272">
        <v>0</v>
      </c>
      <c r="L272" s="4">
        <v>3.8199999999999998E-2</v>
      </c>
      <c r="M272">
        <v>0.09</v>
      </c>
      <c r="N272" s="4">
        <v>7.64E-5</v>
      </c>
      <c r="O272" s="4">
        <v>1.7999999999999998E-4</v>
      </c>
    </row>
    <row r="273" spans="2:15">
      <c r="B273" t="s">
        <v>66</v>
      </c>
      <c r="C273" t="s">
        <v>80</v>
      </c>
      <c r="D273" t="s">
        <v>992</v>
      </c>
      <c r="E273" t="s">
        <v>993</v>
      </c>
      <c r="F273" t="s">
        <v>12</v>
      </c>
      <c r="G273" t="s">
        <v>992</v>
      </c>
      <c r="H273" t="s">
        <v>994</v>
      </c>
      <c r="I273" t="s">
        <v>32</v>
      </c>
      <c r="J273">
        <v>17</v>
      </c>
      <c r="K273">
        <v>0</v>
      </c>
      <c r="L273" s="4">
        <v>3.8199999999999998E-2</v>
      </c>
      <c r="M273">
        <v>0.09</v>
      </c>
      <c r="N273" s="4">
        <v>6.4939999999999996E-4</v>
      </c>
      <c r="O273" s="4">
        <v>1.5300000000000001E-3</v>
      </c>
    </row>
    <row r="274" spans="2:15">
      <c r="B274" t="s">
        <v>66</v>
      </c>
      <c r="C274" t="s">
        <v>80</v>
      </c>
      <c r="D274" t="s">
        <v>995</v>
      </c>
      <c r="E274" t="s">
        <v>996</v>
      </c>
      <c r="F274" t="s">
        <v>12</v>
      </c>
      <c r="G274" t="s">
        <v>109</v>
      </c>
      <c r="H274" t="s">
        <v>110</v>
      </c>
      <c r="I274" t="s">
        <v>31</v>
      </c>
      <c r="J274">
        <v>2</v>
      </c>
      <c r="K274">
        <v>0</v>
      </c>
      <c r="L274" s="4">
        <v>3.8199999999999998E-2</v>
      </c>
      <c r="M274">
        <v>0.09</v>
      </c>
      <c r="N274" s="4">
        <v>7.64E-5</v>
      </c>
      <c r="O274" s="4">
        <v>1.7999999999999998E-4</v>
      </c>
    </row>
    <row r="275" spans="2:15">
      <c r="B275" t="s">
        <v>66</v>
      </c>
      <c r="C275" t="s">
        <v>80</v>
      </c>
      <c r="D275" t="s">
        <v>995</v>
      </c>
      <c r="E275" t="s">
        <v>996</v>
      </c>
      <c r="F275" t="s">
        <v>10</v>
      </c>
      <c r="G275" t="s">
        <v>995</v>
      </c>
      <c r="H275" t="s">
        <v>997</v>
      </c>
      <c r="I275" t="s">
        <v>32</v>
      </c>
      <c r="J275">
        <v>0</v>
      </c>
      <c r="K275">
        <v>1</v>
      </c>
      <c r="L275" s="4">
        <v>3.5000000000000001E-3</v>
      </c>
      <c r="M275">
        <v>0.02</v>
      </c>
      <c r="N275" s="4">
        <v>3.5000000000000001E-3</v>
      </c>
      <c r="O275" s="4">
        <v>0.02</v>
      </c>
    </row>
    <row r="276" spans="2:15">
      <c r="B276" t="s">
        <v>66</v>
      </c>
      <c r="C276" t="s">
        <v>80</v>
      </c>
      <c r="D276" t="s">
        <v>998</v>
      </c>
      <c r="E276" t="s">
        <v>999</v>
      </c>
      <c r="F276" t="s">
        <v>12</v>
      </c>
      <c r="G276" t="s">
        <v>109</v>
      </c>
      <c r="H276" t="s">
        <v>110</v>
      </c>
      <c r="I276" t="s">
        <v>31</v>
      </c>
      <c r="J276">
        <v>1</v>
      </c>
      <c r="K276">
        <v>0</v>
      </c>
      <c r="L276" s="4">
        <v>3.8199999999999998E-2</v>
      </c>
      <c r="M276">
        <v>0.09</v>
      </c>
      <c r="N276" s="4">
        <v>3.82E-5</v>
      </c>
      <c r="O276" s="4">
        <v>8.9999999999999992E-5</v>
      </c>
    </row>
    <row r="277" spans="2:15">
      <c r="B277" t="s">
        <v>66</v>
      </c>
      <c r="C277" t="s">
        <v>80</v>
      </c>
      <c r="D277" t="s">
        <v>998</v>
      </c>
      <c r="E277" t="s">
        <v>999</v>
      </c>
      <c r="F277" t="s">
        <v>12</v>
      </c>
      <c r="G277" t="s">
        <v>998</v>
      </c>
      <c r="H277" t="s">
        <v>1000</v>
      </c>
      <c r="I277" t="s">
        <v>32</v>
      </c>
      <c r="J277">
        <v>19</v>
      </c>
      <c r="K277">
        <v>1</v>
      </c>
      <c r="L277" s="4">
        <v>3.8199999999999998E-2</v>
      </c>
      <c r="M277">
        <v>0.09</v>
      </c>
      <c r="N277" s="4">
        <v>7.2579999999999997E-4</v>
      </c>
      <c r="O277" s="4">
        <v>1.7099999999999999E-3</v>
      </c>
    </row>
    <row r="278" spans="2:15">
      <c r="B278" t="s">
        <v>66</v>
      </c>
      <c r="C278" t="s">
        <v>80</v>
      </c>
      <c r="D278" t="s">
        <v>1001</v>
      </c>
      <c r="E278" t="s">
        <v>1002</v>
      </c>
      <c r="F278" t="s">
        <v>12</v>
      </c>
      <c r="G278" t="s">
        <v>109</v>
      </c>
      <c r="H278" t="s">
        <v>110</v>
      </c>
      <c r="I278" t="s">
        <v>31</v>
      </c>
      <c r="J278">
        <v>1</v>
      </c>
      <c r="K278">
        <v>0</v>
      </c>
      <c r="L278" s="4">
        <v>3.8199999999999998E-2</v>
      </c>
      <c r="M278">
        <v>0.09</v>
      </c>
      <c r="N278" s="4">
        <v>3.82E-5</v>
      </c>
      <c r="O278" s="4">
        <v>8.9999999999999992E-5</v>
      </c>
    </row>
    <row r="279" spans="2:15">
      <c r="B279" t="s">
        <v>66</v>
      </c>
      <c r="C279" t="s">
        <v>80</v>
      </c>
      <c r="D279" t="s">
        <v>1003</v>
      </c>
      <c r="E279" t="s">
        <v>1004</v>
      </c>
      <c r="F279" t="s">
        <v>12</v>
      </c>
      <c r="G279" t="s">
        <v>109</v>
      </c>
      <c r="H279" t="s">
        <v>110</v>
      </c>
      <c r="I279" t="s">
        <v>31</v>
      </c>
      <c r="J279">
        <v>2</v>
      </c>
      <c r="K279">
        <v>0</v>
      </c>
      <c r="L279" s="4">
        <v>3.8199999999999998E-2</v>
      </c>
      <c r="M279">
        <v>0.09</v>
      </c>
      <c r="N279" s="4">
        <v>7.64E-5</v>
      </c>
      <c r="O279" s="4">
        <v>1.7999999999999998E-4</v>
      </c>
    </row>
    <row r="280" spans="2:15">
      <c r="B280" t="s">
        <v>66</v>
      </c>
      <c r="C280" t="s">
        <v>80</v>
      </c>
      <c r="D280" t="s">
        <v>1003</v>
      </c>
      <c r="E280" t="s">
        <v>1004</v>
      </c>
      <c r="F280" t="s">
        <v>12</v>
      </c>
      <c r="G280" t="s">
        <v>1003</v>
      </c>
      <c r="H280" t="s">
        <v>1005</v>
      </c>
      <c r="I280" t="s">
        <v>32</v>
      </c>
      <c r="J280">
        <v>19</v>
      </c>
      <c r="K280">
        <v>0</v>
      </c>
      <c r="L280" s="4">
        <v>3.8199999999999998E-2</v>
      </c>
      <c r="M280">
        <v>0.09</v>
      </c>
      <c r="N280" s="4">
        <v>7.2579999999999997E-4</v>
      </c>
      <c r="O280" s="4">
        <v>1.7099999999999999E-3</v>
      </c>
    </row>
    <row r="281" spans="2:15">
      <c r="B281" t="s">
        <v>66</v>
      </c>
      <c r="C281" t="s">
        <v>80</v>
      </c>
      <c r="D281" t="s">
        <v>1006</v>
      </c>
      <c r="E281" t="s">
        <v>1007</v>
      </c>
      <c r="F281" t="s">
        <v>12</v>
      </c>
      <c r="G281" t="s">
        <v>109</v>
      </c>
      <c r="H281" t="s">
        <v>110</v>
      </c>
      <c r="I281" t="s">
        <v>31</v>
      </c>
      <c r="J281">
        <v>10</v>
      </c>
      <c r="K281">
        <v>0</v>
      </c>
      <c r="L281" s="4">
        <v>3.8199999999999998E-2</v>
      </c>
      <c r="M281">
        <v>0.09</v>
      </c>
      <c r="N281" s="4">
        <v>3.8200000000000002E-4</v>
      </c>
      <c r="O281" s="4">
        <v>8.9999999999999987E-4</v>
      </c>
    </row>
    <row r="282" spans="2:15">
      <c r="B282" t="s">
        <v>66</v>
      </c>
      <c r="C282" t="s">
        <v>80</v>
      </c>
      <c r="D282" t="s">
        <v>1006</v>
      </c>
      <c r="E282" t="s">
        <v>1007</v>
      </c>
      <c r="F282" t="s">
        <v>10</v>
      </c>
      <c r="G282" t="s">
        <v>1006</v>
      </c>
      <c r="H282" t="s">
        <v>1008</v>
      </c>
      <c r="I282" t="s">
        <v>32</v>
      </c>
      <c r="J282">
        <v>0</v>
      </c>
      <c r="K282">
        <v>1</v>
      </c>
      <c r="L282" s="4">
        <v>3.5000000000000001E-3</v>
      </c>
      <c r="M282">
        <v>0.02</v>
      </c>
      <c r="N282" s="4">
        <v>3.5000000000000001E-3</v>
      </c>
      <c r="O282" s="4">
        <v>0.02</v>
      </c>
    </row>
    <row r="283" spans="2:15">
      <c r="B283" t="s">
        <v>66</v>
      </c>
      <c r="C283" t="s">
        <v>80</v>
      </c>
      <c r="D283" t="s">
        <v>1009</v>
      </c>
      <c r="E283" t="s">
        <v>1010</v>
      </c>
      <c r="F283" t="s">
        <v>12</v>
      </c>
      <c r="G283" t="s">
        <v>109</v>
      </c>
      <c r="H283" t="s">
        <v>110</v>
      </c>
      <c r="I283" t="s">
        <v>31</v>
      </c>
      <c r="J283">
        <v>4</v>
      </c>
      <c r="K283">
        <v>0</v>
      </c>
      <c r="L283" s="4">
        <v>3.8199999999999998E-2</v>
      </c>
      <c r="M283">
        <v>0.09</v>
      </c>
      <c r="N283" s="4">
        <v>1.528E-4</v>
      </c>
      <c r="O283" s="4">
        <v>3.5999999999999997E-4</v>
      </c>
    </row>
    <row r="284" spans="2:15">
      <c r="B284" t="s">
        <v>66</v>
      </c>
      <c r="C284" t="s">
        <v>80</v>
      </c>
      <c r="D284" t="s">
        <v>1011</v>
      </c>
      <c r="E284" t="s">
        <v>1012</v>
      </c>
      <c r="F284" t="s">
        <v>12</v>
      </c>
      <c r="G284" t="s">
        <v>109</v>
      </c>
      <c r="H284" t="s">
        <v>110</v>
      </c>
      <c r="I284" t="s">
        <v>31</v>
      </c>
      <c r="J284">
        <v>2</v>
      </c>
      <c r="K284">
        <v>0</v>
      </c>
      <c r="L284" s="4">
        <v>3.8199999999999998E-2</v>
      </c>
      <c r="M284">
        <v>0.09</v>
      </c>
      <c r="N284" s="4">
        <v>7.64E-5</v>
      </c>
      <c r="O284" s="4">
        <v>1.7999999999999998E-4</v>
      </c>
    </row>
    <row r="285" spans="2:15">
      <c r="B285" t="s">
        <v>66</v>
      </c>
      <c r="C285" t="s">
        <v>80</v>
      </c>
      <c r="D285" t="s">
        <v>1011</v>
      </c>
      <c r="E285" t="s">
        <v>1012</v>
      </c>
      <c r="F285" t="s">
        <v>12</v>
      </c>
      <c r="G285" t="s">
        <v>1011</v>
      </c>
      <c r="H285" t="s">
        <v>1013</v>
      </c>
      <c r="I285" t="s">
        <v>32</v>
      </c>
      <c r="J285">
        <v>21</v>
      </c>
      <c r="K285">
        <v>2</v>
      </c>
      <c r="L285" s="4">
        <v>3.8199999999999998E-2</v>
      </c>
      <c r="M285">
        <v>0.09</v>
      </c>
      <c r="N285" s="4">
        <v>8.0219999999999987E-4</v>
      </c>
      <c r="O285" s="4">
        <v>1.89E-3</v>
      </c>
    </row>
    <row r="286" spans="2:15">
      <c r="B286" t="s">
        <v>66</v>
      </c>
      <c r="C286" t="s">
        <v>80</v>
      </c>
      <c r="D286" t="s">
        <v>1014</v>
      </c>
      <c r="E286" t="s">
        <v>1015</v>
      </c>
      <c r="F286" t="s">
        <v>12</v>
      </c>
      <c r="G286" t="s">
        <v>109</v>
      </c>
      <c r="H286" t="s">
        <v>110</v>
      </c>
      <c r="I286" t="s">
        <v>31</v>
      </c>
      <c r="J286">
        <v>1</v>
      </c>
      <c r="K286">
        <v>0</v>
      </c>
      <c r="L286" s="4">
        <v>3.8199999999999998E-2</v>
      </c>
      <c r="M286">
        <v>0.09</v>
      </c>
      <c r="N286" s="4">
        <v>3.82E-5</v>
      </c>
      <c r="O286" s="4">
        <v>8.9999999999999992E-5</v>
      </c>
    </row>
    <row r="287" spans="2:15">
      <c r="B287" t="s">
        <v>66</v>
      </c>
      <c r="C287" t="s">
        <v>80</v>
      </c>
      <c r="D287" t="s">
        <v>1014</v>
      </c>
      <c r="E287" t="s">
        <v>1015</v>
      </c>
      <c r="F287" t="s">
        <v>12</v>
      </c>
      <c r="G287" t="s">
        <v>1014</v>
      </c>
      <c r="H287" t="s">
        <v>1016</v>
      </c>
      <c r="I287" t="s">
        <v>32</v>
      </c>
      <c r="J287">
        <v>3550574</v>
      </c>
      <c r="K287">
        <v>21635</v>
      </c>
      <c r="L287" s="4">
        <v>3.8199999999999998E-2</v>
      </c>
      <c r="M287">
        <v>0.09</v>
      </c>
      <c r="N287" s="4">
        <v>135.63192679999997</v>
      </c>
      <c r="O287" s="4">
        <v>319.55165999999997</v>
      </c>
    </row>
    <row r="288" spans="2:15">
      <c r="B288" t="s">
        <v>66</v>
      </c>
      <c r="C288" t="s">
        <v>80</v>
      </c>
      <c r="D288" t="s">
        <v>1017</v>
      </c>
      <c r="E288" t="s">
        <v>1018</v>
      </c>
      <c r="F288" t="s">
        <v>12</v>
      </c>
      <c r="G288" t="s">
        <v>109</v>
      </c>
      <c r="H288" t="s">
        <v>110</v>
      </c>
      <c r="I288" t="s">
        <v>31</v>
      </c>
      <c r="J288">
        <v>3</v>
      </c>
      <c r="K288">
        <v>0</v>
      </c>
      <c r="L288" s="4">
        <v>3.8199999999999998E-2</v>
      </c>
      <c r="M288">
        <v>0.09</v>
      </c>
      <c r="N288" s="4">
        <v>1.1459999999999999E-4</v>
      </c>
      <c r="O288" s="4">
        <v>2.7E-4</v>
      </c>
    </row>
    <row r="289" spans="2:15">
      <c r="B289" t="s">
        <v>66</v>
      </c>
      <c r="C289" t="s">
        <v>80</v>
      </c>
      <c r="D289" t="s">
        <v>1019</v>
      </c>
      <c r="E289" t="s">
        <v>1020</v>
      </c>
      <c r="F289" t="s">
        <v>12</v>
      </c>
      <c r="G289" t="s">
        <v>1019</v>
      </c>
      <c r="H289" t="s">
        <v>1021</v>
      </c>
      <c r="I289" t="s">
        <v>32</v>
      </c>
      <c r="J289">
        <v>21</v>
      </c>
      <c r="K289">
        <v>0</v>
      </c>
      <c r="L289" s="4">
        <v>3.8199999999999998E-2</v>
      </c>
      <c r="M289">
        <v>0.09</v>
      </c>
      <c r="N289" s="4">
        <v>8.0219999999999987E-4</v>
      </c>
      <c r="O289" s="4">
        <v>1.89E-3</v>
      </c>
    </row>
    <row r="290" spans="2:15">
      <c r="B290" t="s">
        <v>66</v>
      </c>
      <c r="C290" t="s">
        <v>80</v>
      </c>
      <c r="D290" t="s">
        <v>1022</v>
      </c>
      <c r="E290" t="s">
        <v>1023</v>
      </c>
      <c r="F290" t="s">
        <v>12</v>
      </c>
      <c r="G290" t="s">
        <v>109</v>
      </c>
      <c r="H290" t="s">
        <v>110</v>
      </c>
      <c r="I290" t="s">
        <v>31</v>
      </c>
      <c r="J290">
        <v>4</v>
      </c>
      <c r="K290">
        <v>0</v>
      </c>
      <c r="L290" s="4">
        <v>3.8199999999999998E-2</v>
      </c>
      <c r="M290">
        <v>0.09</v>
      </c>
      <c r="N290" s="4">
        <v>1.528E-4</v>
      </c>
      <c r="O290" s="4">
        <v>3.5999999999999997E-4</v>
      </c>
    </row>
    <row r="291" spans="2:15">
      <c r="B291" t="s">
        <v>66</v>
      </c>
      <c r="C291" t="s">
        <v>80</v>
      </c>
      <c r="D291" t="s">
        <v>1022</v>
      </c>
      <c r="E291" t="s">
        <v>1023</v>
      </c>
      <c r="F291" t="s">
        <v>12</v>
      </c>
      <c r="G291" t="s">
        <v>1022</v>
      </c>
      <c r="H291" t="s">
        <v>1024</v>
      </c>
      <c r="I291" t="s">
        <v>32</v>
      </c>
      <c r="J291">
        <v>902353</v>
      </c>
      <c r="K291">
        <v>2330</v>
      </c>
      <c r="L291" s="4">
        <v>3.8199999999999998E-2</v>
      </c>
      <c r="M291">
        <v>0.09</v>
      </c>
      <c r="N291" s="4">
        <v>34.4698846</v>
      </c>
      <c r="O291" s="4">
        <v>81.211770000000001</v>
      </c>
    </row>
    <row r="292" spans="2:15">
      <c r="B292" t="s">
        <v>66</v>
      </c>
      <c r="C292" t="s">
        <v>80</v>
      </c>
      <c r="D292" t="s">
        <v>1025</v>
      </c>
      <c r="E292" t="s">
        <v>1026</v>
      </c>
      <c r="F292" t="s">
        <v>12</v>
      </c>
      <c r="G292" t="s">
        <v>109</v>
      </c>
      <c r="H292" t="s">
        <v>110</v>
      </c>
      <c r="I292" t="s">
        <v>31</v>
      </c>
      <c r="J292">
        <v>2</v>
      </c>
      <c r="K292">
        <v>0</v>
      </c>
      <c r="L292" s="4">
        <v>3.8199999999999998E-2</v>
      </c>
      <c r="M292">
        <v>0.09</v>
      </c>
      <c r="N292" s="4">
        <v>7.64E-5</v>
      </c>
      <c r="O292" s="4">
        <v>1.7999999999999998E-4</v>
      </c>
    </row>
    <row r="293" spans="2:15">
      <c r="B293" t="s">
        <v>66</v>
      </c>
      <c r="C293" t="s">
        <v>80</v>
      </c>
      <c r="D293" t="s">
        <v>1025</v>
      </c>
      <c r="E293" t="s">
        <v>1026</v>
      </c>
      <c r="F293" t="s">
        <v>12</v>
      </c>
      <c r="G293" t="s">
        <v>1025</v>
      </c>
      <c r="H293" t="s">
        <v>1027</v>
      </c>
      <c r="I293" t="s">
        <v>32</v>
      </c>
      <c r="J293">
        <v>877950</v>
      </c>
      <c r="K293">
        <v>1670</v>
      </c>
      <c r="L293" s="4">
        <v>3.8199999999999998E-2</v>
      </c>
      <c r="M293">
        <v>0.09</v>
      </c>
      <c r="N293" s="4">
        <v>33.537689999999998</v>
      </c>
      <c r="O293" s="4">
        <v>79.015500000000003</v>
      </c>
    </row>
    <row r="294" spans="2:15">
      <c r="B294" t="s">
        <v>66</v>
      </c>
      <c r="C294" t="s">
        <v>80</v>
      </c>
      <c r="D294" t="s">
        <v>1028</v>
      </c>
      <c r="E294" t="s">
        <v>1029</v>
      </c>
      <c r="F294" t="s">
        <v>12</v>
      </c>
      <c r="G294" t="s">
        <v>109</v>
      </c>
      <c r="H294" t="s">
        <v>110</v>
      </c>
      <c r="I294" t="s">
        <v>31</v>
      </c>
      <c r="J294">
        <v>2</v>
      </c>
      <c r="K294">
        <v>0</v>
      </c>
      <c r="L294" s="4">
        <v>3.8199999999999998E-2</v>
      </c>
      <c r="M294">
        <v>0.09</v>
      </c>
      <c r="N294" s="4">
        <v>7.64E-5</v>
      </c>
      <c r="O294" s="4">
        <v>1.7999999999999998E-4</v>
      </c>
    </row>
    <row r="295" spans="2:15">
      <c r="B295" t="s">
        <v>66</v>
      </c>
      <c r="C295" t="s">
        <v>80</v>
      </c>
      <c r="D295" t="s">
        <v>1030</v>
      </c>
      <c r="E295" t="s">
        <v>1031</v>
      </c>
      <c r="F295" t="s">
        <v>12</v>
      </c>
      <c r="G295" t="s">
        <v>1030</v>
      </c>
      <c r="H295" t="s">
        <v>1032</v>
      </c>
      <c r="I295" t="s">
        <v>32</v>
      </c>
      <c r="J295">
        <v>20</v>
      </c>
      <c r="K295">
        <v>0</v>
      </c>
      <c r="L295" s="4">
        <v>3.8199999999999998E-2</v>
      </c>
      <c r="M295">
        <v>0.09</v>
      </c>
      <c r="N295" s="4">
        <v>7.6400000000000003E-4</v>
      </c>
      <c r="O295" s="4">
        <v>1.7999999999999997E-3</v>
      </c>
    </row>
    <row r="296" spans="2:15">
      <c r="B296" t="s">
        <v>66</v>
      </c>
      <c r="C296" t="s">
        <v>80</v>
      </c>
      <c r="D296" t="s">
        <v>1033</v>
      </c>
      <c r="E296" t="s">
        <v>1034</v>
      </c>
      <c r="F296" t="s">
        <v>12</v>
      </c>
      <c r="G296" t="s">
        <v>1033</v>
      </c>
      <c r="H296" t="s">
        <v>1035</v>
      </c>
      <c r="I296" t="s">
        <v>32</v>
      </c>
      <c r="J296">
        <v>30948795</v>
      </c>
      <c r="K296">
        <v>504684</v>
      </c>
      <c r="L296" s="4">
        <v>3.8199999999999998E-2</v>
      </c>
      <c r="M296">
        <v>0.09</v>
      </c>
      <c r="N296" s="4">
        <v>1182.2439690000001</v>
      </c>
      <c r="O296" s="4">
        <v>2785.3915499999998</v>
      </c>
    </row>
    <row r="297" spans="2:15">
      <c r="B297" t="s">
        <v>66</v>
      </c>
      <c r="C297" t="s">
        <v>105</v>
      </c>
      <c r="D297" t="s">
        <v>1036</v>
      </c>
      <c r="E297" t="s">
        <v>1037</v>
      </c>
      <c r="F297" t="s">
        <v>12</v>
      </c>
      <c r="G297" t="s">
        <v>1036</v>
      </c>
      <c r="H297" t="s">
        <v>1038</v>
      </c>
      <c r="I297" t="s">
        <v>32</v>
      </c>
      <c r="J297">
        <v>119670</v>
      </c>
      <c r="K297">
        <v>207</v>
      </c>
      <c r="L297" s="4">
        <v>3.8199999999999998E-2</v>
      </c>
      <c r="M297">
        <v>0.09</v>
      </c>
      <c r="N297" s="4">
        <v>4.5713939999999997</v>
      </c>
      <c r="O297" s="4">
        <v>10.770299999999999</v>
      </c>
    </row>
    <row r="298" spans="2:15">
      <c r="B298" t="s">
        <v>66</v>
      </c>
      <c r="C298" t="s">
        <v>105</v>
      </c>
      <c r="D298" t="s">
        <v>1039</v>
      </c>
      <c r="E298" t="s">
        <v>1040</v>
      </c>
      <c r="F298" t="s">
        <v>12</v>
      </c>
      <c r="G298" t="s">
        <v>1039</v>
      </c>
      <c r="H298" t="s">
        <v>1041</v>
      </c>
      <c r="I298" t="s">
        <v>32</v>
      </c>
      <c r="J298">
        <v>89280</v>
      </c>
      <c r="K298">
        <v>436</v>
      </c>
      <c r="L298" s="4">
        <v>3.8199999999999998E-2</v>
      </c>
      <c r="M298">
        <v>0.09</v>
      </c>
      <c r="N298" s="4">
        <v>3.4104959999999997</v>
      </c>
      <c r="O298" s="4">
        <v>8.0351999999999997</v>
      </c>
    </row>
    <row r="299" spans="2:15">
      <c r="B299" t="s">
        <v>66</v>
      </c>
      <c r="C299" t="s">
        <v>105</v>
      </c>
      <c r="D299" t="s">
        <v>443</v>
      </c>
      <c r="E299" t="s">
        <v>444</v>
      </c>
      <c r="F299" t="s">
        <v>10</v>
      </c>
      <c r="G299" t="s">
        <v>443</v>
      </c>
      <c r="H299" t="s">
        <v>445</v>
      </c>
      <c r="I299" t="s">
        <v>32</v>
      </c>
      <c r="J299">
        <v>1650</v>
      </c>
      <c r="K299">
        <v>1865</v>
      </c>
      <c r="L299" s="4">
        <v>3.5000000000000001E-3</v>
      </c>
      <c r="M299">
        <v>0.02</v>
      </c>
      <c r="N299" s="4">
        <v>6.5274999999999999</v>
      </c>
      <c r="O299" s="4">
        <v>37.300000000000004</v>
      </c>
    </row>
    <row r="300" spans="2:15">
      <c r="B300" t="s">
        <v>66</v>
      </c>
      <c r="C300" t="s">
        <v>105</v>
      </c>
      <c r="D300" t="s">
        <v>1042</v>
      </c>
      <c r="E300" t="s">
        <v>1043</v>
      </c>
      <c r="F300" t="s">
        <v>10</v>
      </c>
      <c r="G300" t="s">
        <v>1042</v>
      </c>
      <c r="H300" t="s">
        <v>1044</v>
      </c>
      <c r="I300" t="s">
        <v>32</v>
      </c>
      <c r="J300">
        <v>0</v>
      </c>
      <c r="K300">
        <v>1</v>
      </c>
      <c r="L300" s="4">
        <v>3.5000000000000001E-3</v>
      </c>
      <c r="M300">
        <v>0.02</v>
      </c>
      <c r="N300" s="4">
        <v>3.5000000000000001E-3</v>
      </c>
      <c r="O300" s="4">
        <v>0.02</v>
      </c>
    </row>
    <row r="301" spans="2:15">
      <c r="B301" t="s">
        <v>66</v>
      </c>
      <c r="C301" t="s">
        <v>105</v>
      </c>
      <c r="D301" t="s">
        <v>446</v>
      </c>
      <c r="E301" t="s">
        <v>447</v>
      </c>
      <c r="F301" t="s">
        <v>10</v>
      </c>
      <c r="G301" t="s">
        <v>446</v>
      </c>
      <c r="H301" t="s">
        <v>448</v>
      </c>
      <c r="I301" t="s">
        <v>32</v>
      </c>
      <c r="J301">
        <v>36</v>
      </c>
      <c r="K301">
        <v>36</v>
      </c>
      <c r="L301" s="4">
        <v>3.5000000000000001E-3</v>
      </c>
      <c r="M301">
        <v>0.02</v>
      </c>
      <c r="N301" s="4">
        <v>0.126</v>
      </c>
      <c r="O301" s="4">
        <v>0.72</v>
      </c>
    </row>
    <row r="302" spans="2:15">
      <c r="B302" t="s">
        <v>66</v>
      </c>
      <c r="C302" t="s">
        <v>84</v>
      </c>
      <c r="D302" t="s">
        <v>1045</v>
      </c>
      <c r="E302" t="s">
        <v>1046</v>
      </c>
      <c r="F302" t="s">
        <v>10</v>
      </c>
      <c r="G302" t="s">
        <v>1045</v>
      </c>
      <c r="H302" t="s">
        <v>1047</v>
      </c>
      <c r="I302" t="s">
        <v>32</v>
      </c>
      <c r="J302">
        <v>0</v>
      </c>
      <c r="K302">
        <v>1</v>
      </c>
      <c r="L302" s="4">
        <v>3.5000000000000001E-3</v>
      </c>
      <c r="M302">
        <v>0.02</v>
      </c>
      <c r="N302" s="4">
        <v>3.5000000000000001E-3</v>
      </c>
      <c r="O302" s="4">
        <v>0.02</v>
      </c>
    </row>
    <row r="303" spans="2:15">
      <c r="B303" t="s">
        <v>66</v>
      </c>
      <c r="C303" t="s">
        <v>241</v>
      </c>
      <c r="D303" t="s">
        <v>449</v>
      </c>
      <c r="E303" t="s">
        <v>450</v>
      </c>
      <c r="F303" t="s">
        <v>10</v>
      </c>
      <c r="G303" t="s">
        <v>449</v>
      </c>
      <c r="H303" t="s">
        <v>451</v>
      </c>
      <c r="I303" t="s">
        <v>32</v>
      </c>
      <c r="J303">
        <v>0</v>
      </c>
      <c r="K303">
        <v>50</v>
      </c>
      <c r="L303" s="4">
        <v>3.5000000000000001E-3</v>
      </c>
      <c r="M303">
        <v>0.02</v>
      </c>
      <c r="N303" s="4">
        <v>0.17500000000000002</v>
      </c>
      <c r="O303" s="4">
        <v>1</v>
      </c>
    </row>
    <row r="304" spans="2:15">
      <c r="B304" t="s">
        <v>66</v>
      </c>
      <c r="C304" t="s">
        <v>241</v>
      </c>
      <c r="D304" t="s">
        <v>242</v>
      </c>
      <c r="E304" t="s">
        <v>243</v>
      </c>
      <c r="F304" t="s">
        <v>10</v>
      </c>
      <c r="G304" t="s">
        <v>242</v>
      </c>
      <c r="H304" t="s">
        <v>244</v>
      </c>
      <c r="I304" t="s">
        <v>32</v>
      </c>
      <c r="J304">
        <v>0</v>
      </c>
      <c r="K304">
        <v>14</v>
      </c>
      <c r="L304" s="4">
        <v>3.5000000000000001E-3</v>
      </c>
      <c r="M304">
        <v>0.02</v>
      </c>
      <c r="N304" s="4">
        <v>4.9000000000000002E-2</v>
      </c>
      <c r="O304" s="4">
        <v>0.28000000000000003</v>
      </c>
    </row>
    <row r="305" spans="2:15">
      <c r="B305" t="s">
        <v>66</v>
      </c>
      <c r="C305" t="s">
        <v>85</v>
      </c>
      <c r="D305" t="s">
        <v>1048</v>
      </c>
      <c r="E305" t="s">
        <v>1049</v>
      </c>
      <c r="F305" t="s">
        <v>10</v>
      </c>
      <c r="G305" t="s">
        <v>1048</v>
      </c>
      <c r="H305" t="s">
        <v>1050</v>
      </c>
      <c r="I305" t="s">
        <v>32</v>
      </c>
      <c r="J305">
        <v>0</v>
      </c>
      <c r="K305">
        <v>408</v>
      </c>
      <c r="L305" s="4">
        <v>3.5000000000000001E-3</v>
      </c>
      <c r="M305">
        <v>0.02</v>
      </c>
      <c r="N305" s="4">
        <v>1.4279999999999999</v>
      </c>
      <c r="O305" s="4">
        <v>8.16</v>
      </c>
    </row>
    <row r="306" spans="2:15">
      <c r="B306" t="s">
        <v>66</v>
      </c>
      <c r="C306" t="s">
        <v>85</v>
      </c>
      <c r="D306" t="s">
        <v>452</v>
      </c>
      <c r="E306" t="s">
        <v>453</v>
      </c>
      <c r="F306" t="s">
        <v>10</v>
      </c>
      <c r="G306" t="s">
        <v>452</v>
      </c>
      <c r="H306" t="s">
        <v>454</v>
      </c>
      <c r="I306" t="s">
        <v>32</v>
      </c>
      <c r="J306">
        <v>0</v>
      </c>
      <c r="K306">
        <v>99</v>
      </c>
      <c r="L306" s="4">
        <v>3.5000000000000001E-3</v>
      </c>
      <c r="M306">
        <v>0.02</v>
      </c>
      <c r="N306" s="4">
        <v>0.34650000000000003</v>
      </c>
      <c r="O306" s="4">
        <v>1.98</v>
      </c>
    </row>
    <row r="307" spans="2:15">
      <c r="B307" t="s">
        <v>66</v>
      </c>
      <c r="C307" t="s">
        <v>85</v>
      </c>
      <c r="D307" t="s">
        <v>455</v>
      </c>
      <c r="E307" t="s">
        <v>456</v>
      </c>
      <c r="F307" t="s">
        <v>10</v>
      </c>
      <c r="G307" t="s">
        <v>455</v>
      </c>
      <c r="H307" t="s">
        <v>457</v>
      </c>
      <c r="I307" t="s">
        <v>32</v>
      </c>
      <c r="J307">
        <v>0</v>
      </c>
      <c r="K307">
        <v>6</v>
      </c>
      <c r="L307" s="4">
        <v>3.5000000000000001E-3</v>
      </c>
      <c r="M307">
        <v>0.02</v>
      </c>
      <c r="N307" s="4">
        <v>2.1000000000000001E-2</v>
      </c>
      <c r="O307" s="4">
        <v>0.12</v>
      </c>
    </row>
    <row r="308" spans="2:15">
      <c r="B308" t="s">
        <v>66</v>
      </c>
      <c r="C308" t="s">
        <v>85</v>
      </c>
      <c r="D308" t="s">
        <v>458</v>
      </c>
      <c r="E308" t="s">
        <v>459</v>
      </c>
      <c r="F308" t="s">
        <v>10</v>
      </c>
      <c r="G308" t="s">
        <v>458</v>
      </c>
      <c r="H308" t="s">
        <v>460</v>
      </c>
      <c r="I308" t="s">
        <v>32</v>
      </c>
      <c r="J308">
        <v>0</v>
      </c>
      <c r="K308">
        <v>1</v>
      </c>
      <c r="L308" s="4">
        <v>3.5000000000000001E-3</v>
      </c>
      <c r="M308">
        <v>0.02</v>
      </c>
      <c r="N308" s="4">
        <v>3.5000000000000001E-3</v>
      </c>
      <c r="O308" s="4">
        <v>0.02</v>
      </c>
    </row>
    <row r="309" spans="2:15">
      <c r="B309" t="s">
        <v>66</v>
      </c>
      <c r="C309" t="s">
        <v>85</v>
      </c>
      <c r="D309" t="s">
        <v>461</v>
      </c>
      <c r="E309" t="s">
        <v>462</v>
      </c>
      <c r="F309" t="s">
        <v>10</v>
      </c>
      <c r="G309" t="s">
        <v>461</v>
      </c>
      <c r="H309" t="s">
        <v>463</v>
      </c>
      <c r="I309" t="s">
        <v>32</v>
      </c>
      <c r="J309">
        <v>0</v>
      </c>
      <c r="K309">
        <v>28</v>
      </c>
      <c r="L309" s="4">
        <v>3.5000000000000001E-3</v>
      </c>
      <c r="M309">
        <v>0.02</v>
      </c>
      <c r="N309" s="4">
        <v>9.8000000000000004E-2</v>
      </c>
      <c r="O309" s="4">
        <v>0.56000000000000005</v>
      </c>
    </row>
    <row r="310" spans="2:15">
      <c r="B310" t="s">
        <v>66</v>
      </c>
      <c r="C310" t="s">
        <v>85</v>
      </c>
      <c r="D310" t="s">
        <v>464</v>
      </c>
      <c r="E310" t="s">
        <v>465</v>
      </c>
      <c r="F310" t="s">
        <v>10</v>
      </c>
      <c r="G310" t="s">
        <v>464</v>
      </c>
      <c r="H310" t="s">
        <v>466</v>
      </c>
      <c r="I310" t="s">
        <v>32</v>
      </c>
      <c r="J310">
        <v>0</v>
      </c>
      <c r="K310">
        <v>3</v>
      </c>
      <c r="L310" s="4">
        <v>3.5000000000000001E-3</v>
      </c>
      <c r="M310">
        <v>0.02</v>
      </c>
      <c r="N310" s="4">
        <v>1.0500000000000001E-2</v>
      </c>
      <c r="O310" s="4">
        <v>0.06</v>
      </c>
    </row>
    <row r="311" spans="2:15">
      <c r="B311" t="s">
        <v>66</v>
      </c>
      <c r="C311" t="s">
        <v>85</v>
      </c>
      <c r="D311" t="s">
        <v>467</v>
      </c>
      <c r="E311" t="s">
        <v>468</v>
      </c>
      <c r="F311" t="s">
        <v>10</v>
      </c>
      <c r="G311" t="s">
        <v>467</v>
      </c>
      <c r="H311" t="s">
        <v>469</v>
      </c>
      <c r="I311" t="s">
        <v>32</v>
      </c>
      <c r="J311">
        <v>0</v>
      </c>
      <c r="K311">
        <v>6</v>
      </c>
      <c r="L311" s="4">
        <v>3.5000000000000001E-3</v>
      </c>
      <c r="M311">
        <v>0.02</v>
      </c>
      <c r="N311" s="4">
        <v>2.1000000000000001E-2</v>
      </c>
      <c r="O311" s="4">
        <v>0.12</v>
      </c>
    </row>
    <row r="312" spans="2:15">
      <c r="B312" t="s">
        <v>66</v>
      </c>
      <c r="C312" t="s">
        <v>85</v>
      </c>
      <c r="D312" t="s">
        <v>470</v>
      </c>
      <c r="E312" t="s">
        <v>471</v>
      </c>
      <c r="F312" t="s">
        <v>10</v>
      </c>
      <c r="G312" t="s">
        <v>470</v>
      </c>
      <c r="H312" t="s">
        <v>472</v>
      </c>
      <c r="I312" t="s">
        <v>32</v>
      </c>
      <c r="J312">
        <v>0</v>
      </c>
      <c r="K312">
        <v>91</v>
      </c>
      <c r="L312" s="4">
        <v>3.5000000000000001E-3</v>
      </c>
      <c r="M312">
        <v>0.02</v>
      </c>
      <c r="N312" s="4">
        <v>0.31850000000000001</v>
      </c>
      <c r="O312" s="4">
        <v>1.82</v>
      </c>
    </row>
    <row r="313" spans="2:15">
      <c r="B313" t="s">
        <v>66</v>
      </c>
      <c r="C313" t="s">
        <v>85</v>
      </c>
      <c r="D313" t="s">
        <v>473</v>
      </c>
      <c r="E313" t="s">
        <v>474</v>
      </c>
      <c r="F313" t="s">
        <v>10</v>
      </c>
      <c r="G313" t="s">
        <v>473</v>
      </c>
      <c r="H313" t="s">
        <v>475</v>
      </c>
      <c r="I313" t="s">
        <v>32</v>
      </c>
      <c r="J313">
        <v>0</v>
      </c>
      <c r="K313">
        <v>33</v>
      </c>
      <c r="L313" s="4">
        <v>3.5000000000000001E-3</v>
      </c>
      <c r="M313">
        <v>0.02</v>
      </c>
      <c r="N313" s="4">
        <v>0.11550000000000001</v>
      </c>
      <c r="O313" s="4">
        <v>0.66</v>
      </c>
    </row>
    <row r="314" spans="2:15">
      <c r="B314" t="s">
        <v>66</v>
      </c>
      <c r="C314" t="s">
        <v>85</v>
      </c>
      <c r="D314" t="s">
        <v>476</v>
      </c>
      <c r="E314" t="s">
        <v>477</v>
      </c>
      <c r="F314" t="s">
        <v>10</v>
      </c>
      <c r="G314" t="s">
        <v>476</v>
      </c>
      <c r="H314" t="s">
        <v>478</v>
      </c>
      <c r="I314" t="s">
        <v>32</v>
      </c>
      <c r="J314">
        <v>0</v>
      </c>
      <c r="K314">
        <v>15</v>
      </c>
      <c r="L314" s="4">
        <v>3.5000000000000001E-3</v>
      </c>
      <c r="M314">
        <v>0.02</v>
      </c>
      <c r="N314" s="4">
        <v>5.2499999999999998E-2</v>
      </c>
      <c r="O314" s="4">
        <v>0.3</v>
      </c>
    </row>
    <row r="315" spans="2:15">
      <c r="B315" t="s">
        <v>66</v>
      </c>
      <c r="C315" t="s">
        <v>85</v>
      </c>
      <c r="D315" t="s">
        <v>1051</v>
      </c>
      <c r="E315" t="s">
        <v>1052</v>
      </c>
      <c r="F315" t="s">
        <v>10</v>
      </c>
      <c r="G315" t="s">
        <v>1051</v>
      </c>
      <c r="H315" t="s">
        <v>1053</v>
      </c>
      <c r="I315" t="s">
        <v>32</v>
      </c>
      <c r="J315">
        <v>0</v>
      </c>
      <c r="K315">
        <v>20</v>
      </c>
      <c r="L315" s="4">
        <v>3.5000000000000001E-3</v>
      </c>
      <c r="M315">
        <v>0.02</v>
      </c>
      <c r="N315" s="4">
        <v>7.0000000000000007E-2</v>
      </c>
      <c r="O315" s="4">
        <v>0.4</v>
      </c>
    </row>
    <row r="316" spans="2:15">
      <c r="B316" t="s">
        <v>66</v>
      </c>
      <c r="C316" t="s">
        <v>85</v>
      </c>
      <c r="D316" t="s">
        <v>1054</v>
      </c>
      <c r="E316" t="s">
        <v>1055</v>
      </c>
      <c r="F316" t="s">
        <v>10</v>
      </c>
      <c r="G316" t="s">
        <v>1054</v>
      </c>
      <c r="H316" t="s">
        <v>1056</v>
      </c>
      <c r="I316" t="s">
        <v>32</v>
      </c>
      <c r="J316">
        <v>0</v>
      </c>
      <c r="K316">
        <v>21</v>
      </c>
      <c r="L316" s="4">
        <v>3.5000000000000001E-3</v>
      </c>
      <c r="M316">
        <v>0.02</v>
      </c>
      <c r="N316" s="4">
        <v>7.3499999999999996E-2</v>
      </c>
      <c r="O316" s="4">
        <v>0.42</v>
      </c>
    </row>
    <row r="317" spans="2:15">
      <c r="B317" t="s">
        <v>66</v>
      </c>
      <c r="C317" t="s">
        <v>479</v>
      </c>
      <c r="D317" t="s">
        <v>480</v>
      </c>
      <c r="E317" t="s">
        <v>481</v>
      </c>
      <c r="F317" t="s">
        <v>10</v>
      </c>
      <c r="G317" t="s">
        <v>480</v>
      </c>
      <c r="H317" t="s">
        <v>482</v>
      </c>
      <c r="I317" t="s">
        <v>32</v>
      </c>
      <c r="J317">
        <v>0</v>
      </c>
      <c r="K317">
        <v>30</v>
      </c>
      <c r="L317" s="4">
        <v>3.5000000000000001E-3</v>
      </c>
      <c r="M317">
        <v>0.02</v>
      </c>
      <c r="N317" s="4">
        <v>0.105</v>
      </c>
      <c r="O317" s="4">
        <v>0.6</v>
      </c>
    </row>
    <row r="318" spans="2:15">
      <c r="B318" t="s">
        <v>66</v>
      </c>
      <c r="C318" t="s">
        <v>479</v>
      </c>
      <c r="D318" t="s">
        <v>483</v>
      </c>
      <c r="E318" t="s">
        <v>484</v>
      </c>
      <c r="F318" t="s">
        <v>10</v>
      </c>
      <c r="G318" t="s">
        <v>483</v>
      </c>
      <c r="H318" t="s">
        <v>485</v>
      </c>
      <c r="I318" t="s">
        <v>32</v>
      </c>
      <c r="J318">
        <v>34</v>
      </c>
      <c r="K318">
        <v>189</v>
      </c>
      <c r="L318" s="4">
        <v>3.5000000000000001E-3</v>
      </c>
      <c r="M318">
        <v>0.02</v>
      </c>
      <c r="N318" s="4">
        <v>0.66149999999999998</v>
      </c>
      <c r="O318" s="4">
        <v>3.7800000000000002</v>
      </c>
    </row>
    <row r="319" spans="2:15">
      <c r="B319" t="s">
        <v>66</v>
      </c>
      <c r="C319" t="s">
        <v>479</v>
      </c>
      <c r="D319" t="s">
        <v>486</v>
      </c>
      <c r="E319" t="s">
        <v>487</v>
      </c>
      <c r="F319" t="s">
        <v>10</v>
      </c>
      <c r="G319" t="s">
        <v>486</v>
      </c>
      <c r="H319" t="s">
        <v>488</v>
      </c>
      <c r="I319" t="s">
        <v>32</v>
      </c>
      <c r="J319">
        <v>0</v>
      </c>
      <c r="K319">
        <v>7</v>
      </c>
      <c r="L319" s="4">
        <v>3.5000000000000001E-3</v>
      </c>
      <c r="M319">
        <v>0.02</v>
      </c>
      <c r="N319" s="4">
        <v>2.4500000000000001E-2</v>
      </c>
      <c r="O319" s="4">
        <v>0.14000000000000001</v>
      </c>
    </row>
    <row r="320" spans="2:15">
      <c r="B320" t="s">
        <v>66</v>
      </c>
      <c r="C320" t="s">
        <v>489</v>
      </c>
      <c r="D320" t="s">
        <v>1057</v>
      </c>
      <c r="E320" t="s">
        <v>1058</v>
      </c>
      <c r="F320" t="s">
        <v>12</v>
      </c>
      <c r="G320" t="s">
        <v>1057</v>
      </c>
      <c r="H320" t="s">
        <v>1059</v>
      </c>
      <c r="I320" t="s">
        <v>32</v>
      </c>
      <c r="J320">
        <v>515378</v>
      </c>
      <c r="K320">
        <v>25738</v>
      </c>
      <c r="L320" s="4">
        <v>3.8199999999999998E-2</v>
      </c>
      <c r="M320">
        <v>0.09</v>
      </c>
      <c r="N320" s="4">
        <v>19.687439599999998</v>
      </c>
      <c r="O320" s="4">
        <v>46.38402</v>
      </c>
    </row>
    <row r="321" spans="2:15">
      <c r="B321" t="s">
        <v>66</v>
      </c>
      <c r="C321" t="s">
        <v>489</v>
      </c>
      <c r="D321" t="s">
        <v>490</v>
      </c>
      <c r="E321" t="s">
        <v>491</v>
      </c>
      <c r="F321" t="s">
        <v>12</v>
      </c>
      <c r="G321" t="s">
        <v>490</v>
      </c>
      <c r="H321" t="s">
        <v>492</v>
      </c>
      <c r="I321" t="s">
        <v>32</v>
      </c>
      <c r="J321">
        <v>167785</v>
      </c>
      <c r="K321">
        <v>136</v>
      </c>
      <c r="L321" s="4">
        <v>3.8199999999999998E-2</v>
      </c>
      <c r="M321">
        <v>0.09</v>
      </c>
      <c r="N321" s="4">
        <v>6.4093869999999997</v>
      </c>
      <c r="O321" s="4">
        <v>15.10065</v>
      </c>
    </row>
    <row r="322" spans="2:15">
      <c r="B322" t="s">
        <v>66</v>
      </c>
      <c r="C322" t="s">
        <v>489</v>
      </c>
      <c r="D322" t="s">
        <v>1060</v>
      </c>
      <c r="E322" t="s">
        <v>1061</v>
      </c>
      <c r="F322" t="s">
        <v>12</v>
      </c>
      <c r="G322" t="s">
        <v>1060</v>
      </c>
      <c r="H322" t="s">
        <v>1062</v>
      </c>
      <c r="I322" t="s">
        <v>32</v>
      </c>
      <c r="J322">
        <v>110533</v>
      </c>
      <c r="K322">
        <v>1363</v>
      </c>
      <c r="L322" s="4">
        <v>3.8199999999999998E-2</v>
      </c>
      <c r="M322">
        <v>0.09</v>
      </c>
      <c r="N322" s="4">
        <v>4.2223606</v>
      </c>
      <c r="O322" s="4">
        <v>9.9479699999999998</v>
      </c>
    </row>
    <row r="323" spans="2:15">
      <c r="B323" t="s">
        <v>66</v>
      </c>
      <c r="C323" t="s">
        <v>489</v>
      </c>
      <c r="D323" t="s">
        <v>493</v>
      </c>
      <c r="E323" t="s">
        <v>494</v>
      </c>
      <c r="F323" t="s">
        <v>12</v>
      </c>
      <c r="G323" t="s">
        <v>493</v>
      </c>
      <c r="H323" t="s">
        <v>495</v>
      </c>
      <c r="I323" t="s">
        <v>32</v>
      </c>
      <c r="J323">
        <v>7</v>
      </c>
      <c r="K323">
        <v>0</v>
      </c>
      <c r="L323" s="4">
        <v>3.8199999999999998E-2</v>
      </c>
      <c r="M323">
        <v>0.09</v>
      </c>
      <c r="N323" s="4">
        <v>2.6739999999999999E-4</v>
      </c>
      <c r="O323" s="4">
        <v>6.3000000000000003E-4</v>
      </c>
    </row>
    <row r="324" spans="2:15">
      <c r="B324" t="s">
        <v>66</v>
      </c>
      <c r="C324" t="s">
        <v>496</v>
      </c>
      <c r="D324" t="s">
        <v>497</v>
      </c>
      <c r="E324" t="s">
        <v>498</v>
      </c>
      <c r="F324" t="s">
        <v>12</v>
      </c>
      <c r="G324" t="s">
        <v>497</v>
      </c>
      <c r="H324" t="s">
        <v>499</v>
      </c>
      <c r="I324" t="s">
        <v>32</v>
      </c>
      <c r="J324">
        <v>601</v>
      </c>
      <c r="K324">
        <v>1</v>
      </c>
      <c r="L324" s="4">
        <v>3.8199999999999998E-2</v>
      </c>
      <c r="M324">
        <v>0.09</v>
      </c>
      <c r="N324" s="4">
        <v>2.2958199999999998E-2</v>
      </c>
      <c r="O324" s="4">
        <v>5.4089999999999999E-2</v>
      </c>
    </row>
    <row r="325" spans="2:15">
      <c r="B325" t="s">
        <v>66</v>
      </c>
      <c r="C325" t="s">
        <v>500</v>
      </c>
      <c r="D325" t="s">
        <v>501</v>
      </c>
      <c r="E325" t="s">
        <v>502</v>
      </c>
      <c r="F325" t="s">
        <v>12</v>
      </c>
      <c r="G325" t="s">
        <v>501</v>
      </c>
      <c r="H325" t="s">
        <v>503</v>
      </c>
      <c r="I325" t="s">
        <v>32</v>
      </c>
      <c r="J325">
        <v>74909</v>
      </c>
      <c r="K325">
        <v>78</v>
      </c>
      <c r="L325" s="4">
        <v>3.8199999999999998E-2</v>
      </c>
      <c r="M325">
        <v>0.09</v>
      </c>
      <c r="N325" s="4">
        <v>2.8615238000000001</v>
      </c>
      <c r="O325" s="4">
        <v>6.7418099999999992</v>
      </c>
    </row>
    <row r="326" spans="2:15">
      <c r="B326" t="s">
        <v>66</v>
      </c>
      <c r="C326" t="s">
        <v>53</v>
      </c>
      <c r="D326" t="s">
        <v>1063</v>
      </c>
      <c r="E326" t="s">
        <v>1064</v>
      </c>
      <c r="F326" t="s">
        <v>10</v>
      </c>
      <c r="G326" t="s">
        <v>1063</v>
      </c>
      <c r="H326" t="s">
        <v>1065</v>
      </c>
      <c r="I326" t="s">
        <v>32</v>
      </c>
      <c r="J326">
        <v>0</v>
      </c>
      <c r="K326">
        <v>1</v>
      </c>
      <c r="L326" s="4">
        <v>3.5000000000000001E-3</v>
      </c>
      <c r="M326">
        <v>0.02</v>
      </c>
      <c r="N326" s="4">
        <v>3.5000000000000001E-3</v>
      </c>
      <c r="O326" s="4">
        <v>0.02</v>
      </c>
    </row>
    <row r="327" spans="2:15">
      <c r="B327" t="s">
        <v>66</v>
      </c>
      <c r="C327" t="s">
        <v>53</v>
      </c>
      <c r="D327" t="s">
        <v>1066</v>
      </c>
      <c r="E327" t="s">
        <v>1067</v>
      </c>
      <c r="F327" t="s">
        <v>10</v>
      </c>
      <c r="G327" t="s">
        <v>1066</v>
      </c>
      <c r="H327" t="s">
        <v>1068</v>
      </c>
      <c r="I327" t="s">
        <v>32</v>
      </c>
      <c r="J327">
        <v>0</v>
      </c>
      <c r="K327">
        <v>1</v>
      </c>
      <c r="L327" s="4">
        <v>3.5000000000000001E-3</v>
      </c>
      <c r="M327">
        <v>0.02</v>
      </c>
      <c r="N327" s="4">
        <v>3.5000000000000001E-3</v>
      </c>
      <c r="O327" s="4">
        <v>0.02</v>
      </c>
    </row>
    <row r="328" spans="2:15">
      <c r="B328" t="s">
        <v>66</v>
      </c>
      <c r="C328" t="s">
        <v>53</v>
      </c>
      <c r="D328" t="s">
        <v>504</v>
      </c>
      <c r="E328" t="s">
        <v>505</v>
      </c>
      <c r="F328" t="s">
        <v>10</v>
      </c>
      <c r="G328" t="s">
        <v>504</v>
      </c>
      <c r="H328" t="s">
        <v>506</v>
      </c>
      <c r="I328" t="s">
        <v>32</v>
      </c>
      <c r="J328">
        <v>0</v>
      </c>
      <c r="K328">
        <v>52</v>
      </c>
      <c r="L328" s="4">
        <v>3.5000000000000001E-3</v>
      </c>
      <c r="M328">
        <v>0.02</v>
      </c>
      <c r="N328" s="4">
        <v>0.182</v>
      </c>
      <c r="O328" s="4">
        <v>1.04</v>
      </c>
    </row>
    <row r="329" spans="2:15">
      <c r="B329" t="s">
        <v>66</v>
      </c>
      <c r="C329" t="s">
        <v>53</v>
      </c>
      <c r="D329" t="s">
        <v>507</v>
      </c>
      <c r="E329" t="s">
        <v>508</v>
      </c>
      <c r="F329" t="s">
        <v>10</v>
      </c>
      <c r="G329" t="s">
        <v>507</v>
      </c>
      <c r="H329" t="s">
        <v>509</v>
      </c>
      <c r="I329" t="s">
        <v>32</v>
      </c>
      <c r="J329">
        <v>0</v>
      </c>
      <c r="K329">
        <v>27</v>
      </c>
      <c r="L329" s="4">
        <v>3.5000000000000001E-3</v>
      </c>
      <c r="M329">
        <v>0.02</v>
      </c>
      <c r="N329" s="4">
        <v>9.4500000000000001E-2</v>
      </c>
      <c r="O329" s="4">
        <v>0.54</v>
      </c>
    </row>
    <row r="330" spans="2:15">
      <c r="B330" t="s">
        <v>66</v>
      </c>
      <c r="C330" t="s">
        <v>53</v>
      </c>
      <c r="D330" t="s">
        <v>245</v>
      </c>
      <c r="E330" t="s">
        <v>246</v>
      </c>
      <c r="F330" t="s">
        <v>10</v>
      </c>
      <c r="G330" t="s">
        <v>245</v>
      </c>
      <c r="H330" t="s">
        <v>247</v>
      </c>
      <c r="I330" t="s">
        <v>32</v>
      </c>
      <c r="J330">
        <v>0</v>
      </c>
      <c r="K330">
        <v>54</v>
      </c>
      <c r="L330" s="4">
        <v>3.5000000000000001E-3</v>
      </c>
      <c r="M330">
        <v>0.02</v>
      </c>
      <c r="N330" s="4">
        <v>0.189</v>
      </c>
      <c r="O330" s="4">
        <v>1.08</v>
      </c>
    </row>
    <row r="331" spans="2:15">
      <c r="B331" t="s">
        <v>66</v>
      </c>
      <c r="C331" t="s">
        <v>53</v>
      </c>
      <c r="D331" t="s">
        <v>510</v>
      </c>
      <c r="E331" t="s">
        <v>511</v>
      </c>
      <c r="F331" t="s">
        <v>10</v>
      </c>
      <c r="G331" t="s">
        <v>510</v>
      </c>
      <c r="H331" t="s">
        <v>512</v>
      </c>
      <c r="I331" t="s">
        <v>32</v>
      </c>
      <c r="J331">
        <v>0</v>
      </c>
      <c r="K331">
        <v>15</v>
      </c>
      <c r="L331" s="4">
        <v>3.5000000000000001E-3</v>
      </c>
      <c r="M331">
        <v>0.02</v>
      </c>
      <c r="N331" s="4">
        <v>5.2499999999999998E-2</v>
      </c>
      <c r="O331" s="4">
        <v>0.3</v>
      </c>
    </row>
    <row r="332" spans="2:15">
      <c r="B332" t="s">
        <v>66</v>
      </c>
      <c r="C332" t="s">
        <v>53</v>
      </c>
      <c r="D332" t="s">
        <v>106</v>
      </c>
      <c r="E332" t="s">
        <v>68</v>
      </c>
      <c r="F332" t="s">
        <v>10</v>
      </c>
      <c r="G332" t="s">
        <v>106</v>
      </c>
      <c r="H332" t="s">
        <v>69</v>
      </c>
      <c r="I332" t="s">
        <v>32</v>
      </c>
      <c r="J332">
        <v>0</v>
      </c>
      <c r="K332">
        <v>1</v>
      </c>
      <c r="L332" s="4">
        <v>3.5000000000000001E-3</v>
      </c>
      <c r="M332">
        <v>0.02</v>
      </c>
      <c r="N332" s="4">
        <v>3.5000000000000001E-3</v>
      </c>
      <c r="O332" s="4">
        <v>0.02</v>
      </c>
    </row>
    <row r="333" spans="2:15">
      <c r="B333" t="s">
        <v>66</v>
      </c>
      <c r="C333" t="s">
        <v>53</v>
      </c>
      <c r="D333" t="s">
        <v>107</v>
      </c>
      <c r="E333" t="s">
        <v>70</v>
      </c>
      <c r="F333" t="s">
        <v>10</v>
      </c>
      <c r="G333" t="s">
        <v>107</v>
      </c>
      <c r="H333" t="s">
        <v>71</v>
      </c>
      <c r="I333" t="s">
        <v>32</v>
      </c>
      <c r="J333">
        <v>0</v>
      </c>
      <c r="K333">
        <v>13</v>
      </c>
      <c r="L333" s="4">
        <v>3.5000000000000001E-3</v>
      </c>
      <c r="M333">
        <v>0.02</v>
      </c>
      <c r="N333" s="4">
        <v>4.5499999999999999E-2</v>
      </c>
      <c r="O333" s="4">
        <v>0.26</v>
      </c>
    </row>
    <row r="334" spans="2:15">
      <c r="B334" t="s">
        <v>66</v>
      </c>
      <c r="C334" t="s">
        <v>53</v>
      </c>
      <c r="D334" t="s">
        <v>1069</v>
      </c>
      <c r="E334" t="s">
        <v>1070</v>
      </c>
      <c r="F334" t="s">
        <v>10</v>
      </c>
      <c r="G334" t="s">
        <v>1069</v>
      </c>
      <c r="H334" t="s">
        <v>1071</v>
      </c>
      <c r="I334" t="s">
        <v>32</v>
      </c>
      <c r="J334">
        <v>0</v>
      </c>
      <c r="K334">
        <v>2</v>
      </c>
      <c r="L334" s="4">
        <v>3.5000000000000001E-3</v>
      </c>
      <c r="M334">
        <v>0.02</v>
      </c>
      <c r="N334" s="4">
        <v>7.0000000000000001E-3</v>
      </c>
      <c r="O334" s="4">
        <v>0.04</v>
      </c>
    </row>
    <row r="335" spans="2:15">
      <c r="B335" t="s">
        <v>66</v>
      </c>
      <c r="C335" t="s">
        <v>53</v>
      </c>
      <c r="D335" t="s">
        <v>1072</v>
      </c>
      <c r="E335" t="s">
        <v>1073</v>
      </c>
      <c r="F335" t="s">
        <v>10</v>
      </c>
      <c r="G335" t="s">
        <v>1072</v>
      </c>
      <c r="H335" t="s">
        <v>1074</v>
      </c>
      <c r="I335" t="s">
        <v>32</v>
      </c>
      <c r="J335">
        <v>0</v>
      </c>
      <c r="K335">
        <v>1</v>
      </c>
      <c r="L335" s="4">
        <v>3.5000000000000001E-3</v>
      </c>
      <c r="M335">
        <v>0.02</v>
      </c>
      <c r="N335" s="4">
        <v>3.5000000000000001E-3</v>
      </c>
      <c r="O335" s="4">
        <v>0.02</v>
      </c>
    </row>
    <row r="336" spans="2:15">
      <c r="B336" t="s">
        <v>66</v>
      </c>
      <c r="C336" t="s">
        <v>53</v>
      </c>
      <c r="D336" t="s">
        <v>1075</v>
      </c>
      <c r="E336" t="s">
        <v>1076</v>
      </c>
      <c r="F336" t="s">
        <v>10</v>
      </c>
      <c r="G336" t="s">
        <v>1075</v>
      </c>
      <c r="H336" t="s">
        <v>1077</v>
      </c>
      <c r="I336" t="s">
        <v>32</v>
      </c>
      <c r="J336">
        <v>0</v>
      </c>
      <c r="K336">
        <v>1</v>
      </c>
      <c r="L336" s="4">
        <v>3.5000000000000001E-3</v>
      </c>
      <c r="M336">
        <v>0.02</v>
      </c>
      <c r="N336" s="4">
        <v>3.5000000000000001E-3</v>
      </c>
      <c r="O336" s="4">
        <v>0.02</v>
      </c>
    </row>
    <row r="337" spans="2:15">
      <c r="B337" t="s">
        <v>66</v>
      </c>
      <c r="C337" t="s">
        <v>53</v>
      </c>
      <c r="D337" t="s">
        <v>1078</v>
      </c>
      <c r="E337" t="s">
        <v>1079</v>
      </c>
      <c r="F337" t="s">
        <v>12</v>
      </c>
      <c r="G337" t="s">
        <v>1078</v>
      </c>
      <c r="H337" t="s">
        <v>1080</v>
      </c>
      <c r="I337" t="s">
        <v>32</v>
      </c>
      <c r="J337">
        <v>5429722</v>
      </c>
      <c r="K337">
        <v>31240</v>
      </c>
      <c r="L337" s="4">
        <v>3.8199999999999998E-2</v>
      </c>
      <c r="M337">
        <v>0.09</v>
      </c>
      <c r="N337" s="4">
        <v>207.4153804</v>
      </c>
      <c r="O337" s="4">
        <v>488.67498000000001</v>
      </c>
    </row>
    <row r="338" spans="2:15">
      <c r="B338" t="s">
        <v>66</v>
      </c>
      <c r="C338" t="s">
        <v>53</v>
      </c>
      <c r="D338" t="s">
        <v>1081</v>
      </c>
      <c r="E338" t="s">
        <v>1082</v>
      </c>
      <c r="F338" t="s">
        <v>12</v>
      </c>
      <c r="G338" t="s">
        <v>1081</v>
      </c>
      <c r="H338" t="s">
        <v>1083</v>
      </c>
      <c r="I338" t="s">
        <v>32</v>
      </c>
      <c r="J338">
        <v>5285996</v>
      </c>
      <c r="K338">
        <v>40046</v>
      </c>
      <c r="L338" s="4">
        <v>3.8199999999999998E-2</v>
      </c>
      <c r="M338">
        <v>0.09</v>
      </c>
      <c r="N338" s="4">
        <v>201.92504719999999</v>
      </c>
      <c r="O338" s="4">
        <v>475.73963999999995</v>
      </c>
    </row>
    <row r="339" spans="2:15">
      <c r="B339" t="s">
        <v>66</v>
      </c>
      <c r="C339" t="s">
        <v>53</v>
      </c>
      <c r="D339" t="s">
        <v>513</v>
      </c>
      <c r="E339" t="s">
        <v>514</v>
      </c>
      <c r="F339" t="s">
        <v>10</v>
      </c>
      <c r="G339" t="s">
        <v>513</v>
      </c>
      <c r="H339" t="s">
        <v>515</v>
      </c>
      <c r="I339" t="s">
        <v>32</v>
      </c>
      <c r="J339">
        <v>0</v>
      </c>
      <c r="K339">
        <v>1</v>
      </c>
      <c r="L339" s="4">
        <v>3.5000000000000001E-3</v>
      </c>
      <c r="M339">
        <v>0.02</v>
      </c>
      <c r="N339" s="4">
        <v>3.5000000000000001E-3</v>
      </c>
      <c r="O339" s="4">
        <v>0.02</v>
      </c>
    </row>
    <row r="340" spans="2:15">
      <c r="B340" t="s">
        <v>66</v>
      </c>
      <c r="C340" t="s">
        <v>53</v>
      </c>
      <c r="D340" t="s">
        <v>516</v>
      </c>
      <c r="E340" t="s">
        <v>517</v>
      </c>
      <c r="F340" t="s">
        <v>10</v>
      </c>
      <c r="G340" t="s">
        <v>516</v>
      </c>
      <c r="H340" t="s">
        <v>518</v>
      </c>
      <c r="I340" t="s">
        <v>32</v>
      </c>
      <c r="J340">
        <v>0</v>
      </c>
      <c r="K340">
        <v>1</v>
      </c>
      <c r="L340" s="4">
        <v>3.5000000000000001E-3</v>
      </c>
      <c r="M340">
        <v>0.02</v>
      </c>
      <c r="N340" s="4">
        <v>3.5000000000000001E-3</v>
      </c>
      <c r="O340" s="4">
        <v>0.02</v>
      </c>
    </row>
    <row r="341" spans="2:15">
      <c r="B341" t="s">
        <v>66</v>
      </c>
      <c r="C341" t="s">
        <v>53</v>
      </c>
      <c r="D341" t="s">
        <v>519</v>
      </c>
      <c r="E341" t="s">
        <v>520</v>
      </c>
      <c r="F341" t="s">
        <v>10</v>
      </c>
      <c r="G341" t="s">
        <v>521</v>
      </c>
      <c r="H341" t="s">
        <v>522</v>
      </c>
      <c r="I341" t="s">
        <v>32</v>
      </c>
      <c r="J341">
        <v>0</v>
      </c>
      <c r="K341">
        <v>21</v>
      </c>
      <c r="L341" s="4">
        <v>3.5000000000000001E-3</v>
      </c>
      <c r="M341">
        <v>0.02</v>
      </c>
      <c r="N341" s="4">
        <v>7.3499999999999996E-2</v>
      </c>
      <c r="O341" s="4">
        <v>0.42</v>
      </c>
    </row>
    <row r="342" spans="2:15">
      <c r="B342" t="s">
        <v>66</v>
      </c>
      <c r="C342" t="s">
        <v>53</v>
      </c>
      <c r="D342" t="s">
        <v>523</v>
      </c>
      <c r="E342" t="s">
        <v>524</v>
      </c>
      <c r="F342" t="s">
        <v>10</v>
      </c>
      <c r="G342" t="s">
        <v>523</v>
      </c>
      <c r="H342" t="s">
        <v>525</v>
      </c>
      <c r="I342" t="s">
        <v>32</v>
      </c>
      <c r="J342">
        <v>0</v>
      </c>
      <c r="K342">
        <v>149</v>
      </c>
      <c r="L342" s="4">
        <v>3.5000000000000001E-3</v>
      </c>
      <c r="M342">
        <v>0.02</v>
      </c>
      <c r="N342" s="4">
        <v>0.52149999999999996</v>
      </c>
      <c r="O342" s="4">
        <v>2.98</v>
      </c>
    </row>
    <row r="343" spans="2:15">
      <c r="B343" t="s">
        <v>66</v>
      </c>
      <c r="C343" t="s">
        <v>53</v>
      </c>
      <c r="D343" t="s">
        <v>1084</v>
      </c>
      <c r="E343" t="s">
        <v>1085</v>
      </c>
      <c r="F343" t="s">
        <v>12</v>
      </c>
      <c r="G343" t="s">
        <v>1084</v>
      </c>
      <c r="H343" t="s">
        <v>1086</v>
      </c>
      <c r="I343" t="s">
        <v>32</v>
      </c>
      <c r="J343">
        <v>2733183</v>
      </c>
      <c r="K343">
        <v>3207</v>
      </c>
      <c r="L343" s="4">
        <v>3.8199999999999998E-2</v>
      </c>
      <c r="M343">
        <v>0.09</v>
      </c>
      <c r="N343" s="4">
        <v>104.40759059999999</v>
      </c>
      <c r="O343" s="4">
        <v>245.98647</v>
      </c>
    </row>
    <row r="344" spans="2:15">
      <c r="B344" t="s">
        <v>66</v>
      </c>
      <c r="C344" t="s">
        <v>53</v>
      </c>
      <c r="D344" t="s">
        <v>1087</v>
      </c>
      <c r="E344" t="s">
        <v>1088</v>
      </c>
      <c r="F344" t="s">
        <v>12</v>
      </c>
      <c r="G344" t="s">
        <v>1087</v>
      </c>
      <c r="H344" t="s">
        <v>1089</v>
      </c>
      <c r="I344" t="s">
        <v>32</v>
      </c>
      <c r="J344">
        <v>4303943</v>
      </c>
      <c r="K344">
        <v>23204</v>
      </c>
      <c r="L344" s="4">
        <v>3.8199999999999998E-2</v>
      </c>
      <c r="M344">
        <v>0.09</v>
      </c>
      <c r="N344" s="4">
        <v>164.41062260000001</v>
      </c>
      <c r="O344" s="4">
        <v>387.35487000000001</v>
      </c>
    </row>
    <row r="345" spans="2:15">
      <c r="B345" t="s">
        <v>66</v>
      </c>
      <c r="C345" t="s">
        <v>53</v>
      </c>
      <c r="D345" t="s">
        <v>526</v>
      </c>
      <c r="E345" t="s">
        <v>527</v>
      </c>
      <c r="F345" t="s">
        <v>12</v>
      </c>
      <c r="G345" t="s">
        <v>526</v>
      </c>
      <c r="H345" t="s">
        <v>528</v>
      </c>
      <c r="I345" t="s">
        <v>32</v>
      </c>
      <c r="J345">
        <v>22319517</v>
      </c>
      <c r="K345">
        <v>0</v>
      </c>
      <c r="L345" s="4">
        <v>3.8199999999999998E-2</v>
      </c>
      <c r="M345">
        <v>0.09</v>
      </c>
      <c r="N345" s="4">
        <v>852.60554939999986</v>
      </c>
      <c r="O345" s="4">
        <v>2008.7565300000001</v>
      </c>
    </row>
    <row r="346" spans="2:15">
      <c r="B346" t="s">
        <v>66</v>
      </c>
      <c r="C346" t="s">
        <v>53</v>
      </c>
      <c r="D346" t="s">
        <v>1090</v>
      </c>
      <c r="E346" t="s">
        <v>1091</v>
      </c>
      <c r="F346" t="s">
        <v>12</v>
      </c>
      <c r="G346" t="s">
        <v>1090</v>
      </c>
      <c r="H346" t="s">
        <v>1092</v>
      </c>
      <c r="I346" t="s">
        <v>32</v>
      </c>
      <c r="J346">
        <v>4898511</v>
      </c>
      <c r="K346">
        <v>5497</v>
      </c>
      <c r="L346" s="4">
        <v>3.8199999999999998E-2</v>
      </c>
      <c r="M346">
        <v>0.09</v>
      </c>
      <c r="N346" s="4">
        <v>187.12312019999999</v>
      </c>
      <c r="O346" s="4">
        <v>440.86599000000001</v>
      </c>
    </row>
    <row r="347" spans="2:15">
      <c r="B347" t="s">
        <v>66</v>
      </c>
      <c r="C347" t="s">
        <v>53</v>
      </c>
      <c r="D347" t="s">
        <v>1093</v>
      </c>
      <c r="E347" t="s">
        <v>1094</v>
      </c>
      <c r="F347" t="s">
        <v>12</v>
      </c>
      <c r="G347" t="s">
        <v>1093</v>
      </c>
      <c r="H347" t="s">
        <v>1095</v>
      </c>
      <c r="I347" t="s">
        <v>32</v>
      </c>
      <c r="J347">
        <v>3595319</v>
      </c>
      <c r="K347">
        <v>4591</v>
      </c>
      <c r="L347" s="4">
        <v>3.8199999999999998E-2</v>
      </c>
      <c r="M347">
        <v>0.09</v>
      </c>
      <c r="N347" s="4">
        <v>137.34118580000001</v>
      </c>
      <c r="O347" s="4">
        <v>323.57870999999994</v>
      </c>
    </row>
    <row r="348" spans="2:15">
      <c r="B348" t="s">
        <v>66</v>
      </c>
      <c r="C348" t="s">
        <v>53</v>
      </c>
      <c r="D348" t="s">
        <v>529</v>
      </c>
      <c r="E348" t="s">
        <v>530</v>
      </c>
      <c r="F348" t="s">
        <v>10</v>
      </c>
      <c r="G348" t="s">
        <v>529</v>
      </c>
      <c r="H348" t="s">
        <v>531</v>
      </c>
      <c r="I348" t="s">
        <v>32</v>
      </c>
      <c r="J348">
        <v>0</v>
      </c>
      <c r="K348">
        <v>33</v>
      </c>
      <c r="L348" s="4">
        <v>3.5000000000000001E-3</v>
      </c>
      <c r="M348">
        <v>0.02</v>
      </c>
      <c r="N348" s="4">
        <v>0.11550000000000001</v>
      </c>
      <c r="O348" s="4">
        <v>0.66</v>
      </c>
    </row>
    <row r="349" spans="2:15">
      <c r="B349" t="s">
        <v>66</v>
      </c>
      <c r="C349" t="s">
        <v>53</v>
      </c>
      <c r="D349" t="s">
        <v>532</v>
      </c>
      <c r="E349" t="s">
        <v>533</v>
      </c>
      <c r="F349" t="s">
        <v>12</v>
      </c>
      <c r="G349" t="s">
        <v>532</v>
      </c>
      <c r="H349" t="s">
        <v>534</v>
      </c>
      <c r="I349" t="s">
        <v>32</v>
      </c>
      <c r="J349">
        <v>21</v>
      </c>
      <c r="K349">
        <v>0</v>
      </c>
      <c r="L349" s="4">
        <v>3.8199999999999998E-2</v>
      </c>
      <c r="M349">
        <v>0.09</v>
      </c>
      <c r="N349" s="4">
        <v>8.0219999999999987E-4</v>
      </c>
      <c r="O349" s="4">
        <v>1.89E-3</v>
      </c>
    </row>
    <row r="350" spans="2:15">
      <c r="B350" t="s">
        <v>66</v>
      </c>
      <c r="C350" t="s">
        <v>53</v>
      </c>
      <c r="D350" t="s">
        <v>1096</v>
      </c>
      <c r="E350" t="s">
        <v>1097</v>
      </c>
      <c r="F350" t="s">
        <v>12</v>
      </c>
      <c r="G350" t="s">
        <v>1096</v>
      </c>
      <c r="H350" t="s">
        <v>1098</v>
      </c>
      <c r="I350" t="s">
        <v>32</v>
      </c>
      <c r="J350">
        <v>121440</v>
      </c>
      <c r="K350">
        <v>313</v>
      </c>
      <c r="L350" s="4">
        <v>3.8199999999999998E-2</v>
      </c>
      <c r="M350">
        <v>0.09</v>
      </c>
      <c r="N350" s="4">
        <v>4.6390079999999996</v>
      </c>
      <c r="O350" s="4">
        <v>10.929600000000001</v>
      </c>
    </row>
    <row r="351" spans="2:15">
      <c r="B351" t="s">
        <v>66</v>
      </c>
      <c r="C351" t="s">
        <v>53</v>
      </c>
      <c r="D351" t="s">
        <v>535</v>
      </c>
      <c r="E351" t="s">
        <v>536</v>
      </c>
      <c r="F351" t="s">
        <v>10</v>
      </c>
      <c r="G351" t="s">
        <v>535</v>
      </c>
      <c r="H351" t="s">
        <v>537</v>
      </c>
      <c r="I351" t="s">
        <v>32</v>
      </c>
      <c r="J351">
        <v>0</v>
      </c>
      <c r="K351">
        <v>3</v>
      </c>
      <c r="L351" s="4">
        <v>3.5000000000000001E-3</v>
      </c>
      <c r="M351">
        <v>0.02</v>
      </c>
      <c r="N351" s="4">
        <v>1.0500000000000001E-2</v>
      </c>
      <c r="O351" s="4">
        <v>0.06</v>
      </c>
    </row>
    <row r="352" spans="2:15">
      <c r="B352" t="s">
        <v>66</v>
      </c>
      <c r="C352" t="s">
        <v>53</v>
      </c>
      <c r="D352" t="s">
        <v>538</v>
      </c>
      <c r="E352" t="s">
        <v>539</v>
      </c>
      <c r="F352" t="s">
        <v>10</v>
      </c>
      <c r="G352" t="s">
        <v>538</v>
      </c>
      <c r="H352" t="s">
        <v>540</v>
      </c>
      <c r="I352" t="s">
        <v>32</v>
      </c>
      <c r="J352">
        <v>0</v>
      </c>
      <c r="K352">
        <v>21</v>
      </c>
      <c r="L352" s="4">
        <v>3.5000000000000001E-3</v>
      </c>
      <c r="M352">
        <v>0.02</v>
      </c>
      <c r="N352" s="4">
        <v>7.3499999999999996E-2</v>
      </c>
      <c r="O352" s="4">
        <v>0.42</v>
      </c>
    </row>
    <row r="353" spans="2:15">
      <c r="B353" t="s">
        <v>66</v>
      </c>
      <c r="C353" t="s">
        <v>53</v>
      </c>
      <c r="D353" t="s">
        <v>541</v>
      </c>
      <c r="E353" t="s">
        <v>542</v>
      </c>
      <c r="F353" t="s">
        <v>10</v>
      </c>
      <c r="G353" t="s">
        <v>541</v>
      </c>
      <c r="H353" t="s">
        <v>543</v>
      </c>
      <c r="I353" t="s">
        <v>32</v>
      </c>
      <c r="J353">
        <v>0</v>
      </c>
      <c r="K353">
        <v>3</v>
      </c>
      <c r="L353" s="4">
        <v>3.5000000000000001E-3</v>
      </c>
      <c r="M353">
        <v>0.02</v>
      </c>
      <c r="N353" s="4">
        <v>1.0500000000000001E-2</v>
      </c>
      <c r="O353" s="4">
        <v>0.06</v>
      </c>
    </row>
    <row r="354" spans="2:15">
      <c r="B354" t="s">
        <v>66</v>
      </c>
      <c r="C354" t="s">
        <v>53</v>
      </c>
      <c r="D354" t="s">
        <v>544</v>
      </c>
      <c r="E354" t="s">
        <v>545</v>
      </c>
      <c r="F354" t="s">
        <v>10</v>
      </c>
      <c r="G354" t="s">
        <v>544</v>
      </c>
      <c r="H354" t="s">
        <v>546</v>
      </c>
      <c r="I354" t="s">
        <v>32</v>
      </c>
      <c r="J354">
        <v>0</v>
      </c>
      <c r="K354">
        <v>2</v>
      </c>
      <c r="L354" s="4">
        <v>3.5000000000000001E-3</v>
      </c>
      <c r="M354">
        <v>0.02</v>
      </c>
      <c r="N354" s="4">
        <v>7.0000000000000001E-3</v>
      </c>
      <c r="O354" s="4">
        <v>0.04</v>
      </c>
    </row>
    <row r="355" spans="2:15">
      <c r="B355" t="s">
        <v>66</v>
      </c>
      <c r="C355" t="s">
        <v>53</v>
      </c>
      <c r="D355" t="s">
        <v>547</v>
      </c>
      <c r="E355" t="s">
        <v>548</v>
      </c>
      <c r="F355" t="s">
        <v>10</v>
      </c>
      <c r="G355" t="s">
        <v>547</v>
      </c>
      <c r="H355" t="s">
        <v>549</v>
      </c>
      <c r="I355" t="s">
        <v>32</v>
      </c>
      <c r="J355">
        <v>0</v>
      </c>
      <c r="K355">
        <v>1</v>
      </c>
      <c r="L355" s="4">
        <v>3.5000000000000001E-3</v>
      </c>
      <c r="M355">
        <v>0.02</v>
      </c>
      <c r="N355" s="4">
        <v>3.5000000000000001E-3</v>
      </c>
      <c r="O355" s="4">
        <v>0.02</v>
      </c>
    </row>
    <row r="356" spans="2:15">
      <c r="B356" t="s">
        <v>66</v>
      </c>
      <c r="C356" t="s">
        <v>53</v>
      </c>
      <c r="D356" t="s">
        <v>1099</v>
      </c>
      <c r="E356" t="s">
        <v>1100</v>
      </c>
      <c r="F356" t="s">
        <v>10</v>
      </c>
      <c r="G356" t="s">
        <v>1099</v>
      </c>
      <c r="H356" t="s">
        <v>1101</v>
      </c>
      <c r="I356" t="s">
        <v>32</v>
      </c>
      <c r="J356">
        <v>0</v>
      </c>
      <c r="K356">
        <v>1</v>
      </c>
      <c r="L356" s="4">
        <v>3.5000000000000001E-3</v>
      </c>
      <c r="M356">
        <v>0.02</v>
      </c>
      <c r="N356" s="4">
        <v>3.5000000000000001E-3</v>
      </c>
      <c r="O356" s="4">
        <v>0.02</v>
      </c>
    </row>
    <row r="357" spans="2:15">
      <c r="B357" t="s">
        <v>66</v>
      </c>
      <c r="C357" t="s">
        <v>53</v>
      </c>
      <c r="D357" t="s">
        <v>1102</v>
      </c>
      <c r="E357" t="s">
        <v>1103</v>
      </c>
      <c r="F357" t="s">
        <v>12</v>
      </c>
      <c r="G357" t="s">
        <v>1102</v>
      </c>
      <c r="H357" t="s">
        <v>1104</v>
      </c>
      <c r="I357" t="s">
        <v>32</v>
      </c>
      <c r="J357">
        <v>438590</v>
      </c>
      <c r="K357">
        <v>1147</v>
      </c>
      <c r="L357" s="4">
        <v>3.8199999999999998E-2</v>
      </c>
      <c r="M357">
        <v>0.09</v>
      </c>
      <c r="N357" s="4">
        <v>16.754137999999998</v>
      </c>
      <c r="O357" s="4">
        <v>39.473099999999995</v>
      </c>
    </row>
    <row r="358" spans="2:15">
      <c r="B358" t="s">
        <v>66</v>
      </c>
      <c r="C358" t="s">
        <v>53</v>
      </c>
      <c r="D358" t="s">
        <v>1105</v>
      </c>
      <c r="E358" t="s">
        <v>1106</v>
      </c>
      <c r="F358" t="s">
        <v>12</v>
      </c>
      <c r="G358" t="s">
        <v>1105</v>
      </c>
      <c r="H358" t="s">
        <v>1107</v>
      </c>
      <c r="I358" t="s">
        <v>32</v>
      </c>
      <c r="J358">
        <v>7483879</v>
      </c>
      <c r="K358">
        <v>44976</v>
      </c>
      <c r="L358" s="4">
        <v>3.8199999999999998E-2</v>
      </c>
      <c r="M358">
        <v>0.09</v>
      </c>
      <c r="N358" s="4">
        <v>285.88417780000003</v>
      </c>
      <c r="O358" s="4">
        <v>673.54911000000004</v>
      </c>
    </row>
    <row r="359" spans="2:15">
      <c r="B359" t="s">
        <v>66</v>
      </c>
      <c r="C359" t="s">
        <v>53</v>
      </c>
      <c r="D359" t="s">
        <v>1108</v>
      </c>
      <c r="E359" t="s">
        <v>1109</v>
      </c>
      <c r="F359" t="s">
        <v>12</v>
      </c>
      <c r="G359" t="s">
        <v>1108</v>
      </c>
      <c r="H359" t="s">
        <v>1110</v>
      </c>
      <c r="I359" t="s">
        <v>32</v>
      </c>
      <c r="J359">
        <v>230473</v>
      </c>
      <c r="K359">
        <v>940</v>
      </c>
      <c r="L359" s="4">
        <v>3.8199999999999998E-2</v>
      </c>
      <c r="M359">
        <v>0.09</v>
      </c>
      <c r="N359" s="4">
        <v>8.804068599999999</v>
      </c>
      <c r="O359" s="4">
        <v>20.742570000000001</v>
      </c>
    </row>
    <row r="360" spans="2:15">
      <c r="B360" t="s">
        <v>66</v>
      </c>
      <c r="C360" t="s">
        <v>53</v>
      </c>
      <c r="D360" t="s">
        <v>1111</v>
      </c>
      <c r="E360" t="s">
        <v>1112</v>
      </c>
      <c r="F360" t="s">
        <v>12</v>
      </c>
      <c r="G360" t="s">
        <v>1111</v>
      </c>
      <c r="H360" t="s">
        <v>1113</v>
      </c>
      <c r="I360" t="s">
        <v>32</v>
      </c>
      <c r="J360">
        <v>467320</v>
      </c>
      <c r="K360">
        <v>2199</v>
      </c>
      <c r="L360" s="4">
        <v>3.8199999999999998E-2</v>
      </c>
      <c r="M360">
        <v>0.09</v>
      </c>
      <c r="N360" s="4">
        <v>17.851624000000001</v>
      </c>
      <c r="O360" s="4">
        <v>42.058799999999998</v>
      </c>
    </row>
    <row r="361" spans="2:15">
      <c r="B361" t="s">
        <v>66</v>
      </c>
      <c r="C361" t="s">
        <v>53</v>
      </c>
      <c r="D361" t="s">
        <v>1114</v>
      </c>
      <c r="E361" t="s">
        <v>1115</v>
      </c>
      <c r="F361" t="s">
        <v>12</v>
      </c>
      <c r="G361" t="s">
        <v>1114</v>
      </c>
      <c r="H361" t="s">
        <v>1116</v>
      </c>
      <c r="I361" t="s">
        <v>32</v>
      </c>
      <c r="J361">
        <v>18369969</v>
      </c>
      <c r="K361">
        <v>30603</v>
      </c>
      <c r="L361" s="4">
        <v>3.8199999999999998E-2</v>
      </c>
      <c r="M361">
        <v>0.09</v>
      </c>
      <c r="N361" s="4">
        <v>701.73281580000003</v>
      </c>
      <c r="O361" s="4">
        <v>1653.29721</v>
      </c>
    </row>
    <row r="362" spans="2:15">
      <c r="B362" t="s">
        <v>66</v>
      </c>
      <c r="C362" t="s">
        <v>53</v>
      </c>
      <c r="D362" t="s">
        <v>1117</v>
      </c>
      <c r="E362" t="s">
        <v>1118</v>
      </c>
      <c r="F362" t="s">
        <v>12</v>
      </c>
      <c r="G362" t="s">
        <v>1117</v>
      </c>
      <c r="H362" t="s">
        <v>1119</v>
      </c>
      <c r="I362" t="s">
        <v>32</v>
      </c>
      <c r="J362">
        <v>4920991</v>
      </c>
      <c r="K362">
        <v>8068</v>
      </c>
      <c r="L362" s="4">
        <v>3.8199999999999998E-2</v>
      </c>
      <c r="M362">
        <v>0.09</v>
      </c>
      <c r="N362" s="4">
        <v>187.98185619999998</v>
      </c>
      <c r="O362" s="4">
        <v>442.88918999999999</v>
      </c>
    </row>
    <row r="363" spans="2:15">
      <c r="B363" t="s">
        <v>66</v>
      </c>
      <c r="C363" t="s">
        <v>53</v>
      </c>
      <c r="D363" t="s">
        <v>1120</v>
      </c>
      <c r="E363" t="s">
        <v>1121</v>
      </c>
      <c r="F363" t="s">
        <v>12</v>
      </c>
      <c r="G363" t="s">
        <v>1120</v>
      </c>
      <c r="H363" t="s">
        <v>1122</v>
      </c>
      <c r="I363" t="s">
        <v>32</v>
      </c>
      <c r="J363">
        <v>5476621</v>
      </c>
      <c r="K363">
        <v>6495</v>
      </c>
      <c r="L363" s="4">
        <v>3.8199999999999998E-2</v>
      </c>
      <c r="M363">
        <v>0.09</v>
      </c>
      <c r="N363" s="4">
        <v>209.20692220000001</v>
      </c>
      <c r="O363" s="4">
        <v>492.89588999999995</v>
      </c>
    </row>
    <row r="364" spans="2:15">
      <c r="B364" t="s">
        <v>66</v>
      </c>
      <c r="C364" t="s">
        <v>53</v>
      </c>
      <c r="D364" t="s">
        <v>1123</v>
      </c>
      <c r="E364" t="s">
        <v>1124</v>
      </c>
      <c r="F364" t="s">
        <v>12</v>
      </c>
      <c r="G364" t="s">
        <v>1123</v>
      </c>
      <c r="H364" t="s">
        <v>1125</v>
      </c>
      <c r="I364" t="s">
        <v>32</v>
      </c>
      <c r="J364">
        <v>44042</v>
      </c>
      <c r="K364">
        <v>1547</v>
      </c>
      <c r="L364" s="4">
        <v>3.8199999999999998E-2</v>
      </c>
      <c r="M364">
        <v>0.09</v>
      </c>
      <c r="N364" s="4">
        <v>1.6824043999999998</v>
      </c>
      <c r="O364" s="4">
        <v>3.9637799999999999</v>
      </c>
    </row>
    <row r="365" spans="2:15">
      <c r="B365" t="s">
        <v>66</v>
      </c>
      <c r="C365" t="s">
        <v>53</v>
      </c>
      <c r="D365" t="s">
        <v>1126</v>
      </c>
      <c r="E365" t="s">
        <v>1127</v>
      </c>
      <c r="F365" t="s">
        <v>12</v>
      </c>
      <c r="G365" t="s">
        <v>1126</v>
      </c>
      <c r="H365" t="s">
        <v>1128</v>
      </c>
      <c r="I365" t="s">
        <v>32</v>
      </c>
      <c r="J365">
        <v>11019190</v>
      </c>
      <c r="K365">
        <v>33103</v>
      </c>
      <c r="L365" s="4">
        <v>3.8199999999999998E-2</v>
      </c>
      <c r="M365">
        <v>0.09</v>
      </c>
      <c r="N365" s="4">
        <v>420.93305799999996</v>
      </c>
      <c r="O365" s="4">
        <v>991.72709999999995</v>
      </c>
    </row>
    <row r="366" spans="2:15">
      <c r="B366" t="s">
        <v>66</v>
      </c>
      <c r="C366" t="s">
        <v>53</v>
      </c>
      <c r="D366" t="s">
        <v>550</v>
      </c>
      <c r="E366" t="s">
        <v>551</v>
      </c>
      <c r="F366" t="s">
        <v>10</v>
      </c>
      <c r="G366" t="s">
        <v>550</v>
      </c>
      <c r="H366" t="s">
        <v>552</v>
      </c>
      <c r="I366" t="s">
        <v>32</v>
      </c>
      <c r="J366">
        <v>1</v>
      </c>
      <c r="K366">
        <v>5</v>
      </c>
      <c r="L366" s="4">
        <v>3.5000000000000001E-3</v>
      </c>
      <c r="M366">
        <v>0.02</v>
      </c>
      <c r="N366" s="4">
        <v>1.7500000000000002E-2</v>
      </c>
      <c r="O366" s="4">
        <v>0.1</v>
      </c>
    </row>
    <row r="367" spans="2:15">
      <c r="B367" t="s">
        <v>66</v>
      </c>
      <c r="C367" t="s">
        <v>53</v>
      </c>
      <c r="D367" t="s">
        <v>553</v>
      </c>
      <c r="E367" t="s">
        <v>554</v>
      </c>
      <c r="F367" t="s">
        <v>10</v>
      </c>
      <c r="G367" t="s">
        <v>553</v>
      </c>
      <c r="H367" t="s">
        <v>555</v>
      </c>
      <c r="I367" t="s">
        <v>32</v>
      </c>
      <c r="J367">
        <v>0</v>
      </c>
      <c r="K367">
        <v>13</v>
      </c>
      <c r="L367" s="4">
        <v>3.5000000000000001E-3</v>
      </c>
      <c r="M367">
        <v>0.02</v>
      </c>
      <c r="N367" s="4">
        <v>4.5499999999999999E-2</v>
      </c>
      <c r="O367" s="4">
        <v>0.26</v>
      </c>
    </row>
    <row r="368" spans="2:15">
      <c r="B368" t="s">
        <v>66</v>
      </c>
      <c r="C368" t="s">
        <v>53</v>
      </c>
      <c r="D368" t="s">
        <v>1129</v>
      </c>
      <c r="E368" t="s">
        <v>1130</v>
      </c>
      <c r="F368" t="s">
        <v>12</v>
      </c>
      <c r="G368" t="s">
        <v>1129</v>
      </c>
      <c r="H368" t="s">
        <v>1131</v>
      </c>
      <c r="I368" t="s">
        <v>32</v>
      </c>
      <c r="J368">
        <v>3662307</v>
      </c>
      <c r="K368">
        <v>143175</v>
      </c>
      <c r="L368" s="4">
        <v>3.8199999999999998E-2</v>
      </c>
      <c r="M368">
        <v>0.09</v>
      </c>
      <c r="N368" s="4">
        <v>139.9001274</v>
      </c>
      <c r="O368" s="4">
        <v>329.60763000000003</v>
      </c>
    </row>
    <row r="369" spans="2:15">
      <c r="B369" t="s">
        <v>66</v>
      </c>
      <c r="C369" t="s">
        <v>53</v>
      </c>
      <c r="D369" t="s">
        <v>1132</v>
      </c>
      <c r="E369" t="s">
        <v>1133</v>
      </c>
      <c r="F369" t="s">
        <v>10</v>
      </c>
      <c r="G369" t="s">
        <v>1132</v>
      </c>
      <c r="H369" t="s">
        <v>1134</v>
      </c>
      <c r="I369" t="s">
        <v>32</v>
      </c>
      <c r="J369">
        <v>0</v>
      </c>
      <c r="K369">
        <v>1</v>
      </c>
      <c r="L369" s="4">
        <v>3.5000000000000001E-3</v>
      </c>
      <c r="M369">
        <v>0.02</v>
      </c>
      <c r="N369" s="4">
        <v>3.5000000000000001E-3</v>
      </c>
      <c r="O369" s="4">
        <v>0.02</v>
      </c>
    </row>
    <row r="370" spans="2:15">
      <c r="B370" t="s">
        <v>66</v>
      </c>
      <c r="C370" t="s">
        <v>53</v>
      </c>
      <c r="D370" t="s">
        <v>248</v>
      </c>
      <c r="E370" t="s">
        <v>249</v>
      </c>
      <c r="F370" t="s">
        <v>12</v>
      </c>
      <c r="G370" t="s">
        <v>248</v>
      </c>
      <c r="H370" t="s">
        <v>250</v>
      </c>
      <c r="I370" t="s">
        <v>32</v>
      </c>
      <c r="J370">
        <v>3605598</v>
      </c>
      <c r="K370">
        <v>20000</v>
      </c>
      <c r="L370" s="4">
        <v>3.8199999999999998E-2</v>
      </c>
      <c r="M370">
        <v>0.09</v>
      </c>
      <c r="N370" s="4">
        <v>137.7338436</v>
      </c>
      <c r="O370" s="4">
        <v>324.50382000000002</v>
      </c>
    </row>
    <row r="371" spans="2:15">
      <c r="B371" t="s">
        <v>66</v>
      </c>
      <c r="C371" t="s">
        <v>53</v>
      </c>
      <c r="D371" t="s">
        <v>1135</v>
      </c>
      <c r="E371" t="s">
        <v>1136</v>
      </c>
      <c r="F371" t="s">
        <v>10</v>
      </c>
      <c r="G371" t="s">
        <v>1135</v>
      </c>
      <c r="H371" t="s">
        <v>1137</v>
      </c>
      <c r="I371" t="s">
        <v>32</v>
      </c>
      <c r="J371">
        <v>0</v>
      </c>
      <c r="K371">
        <v>1</v>
      </c>
      <c r="L371" s="4">
        <v>3.5000000000000001E-3</v>
      </c>
      <c r="M371">
        <v>0.02</v>
      </c>
      <c r="N371" s="4">
        <v>3.5000000000000001E-3</v>
      </c>
      <c r="O371" s="4">
        <v>0.02</v>
      </c>
    </row>
    <row r="372" spans="2:15">
      <c r="B372" t="s">
        <v>66</v>
      </c>
      <c r="C372" t="s">
        <v>53</v>
      </c>
      <c r="D372" t="s">
        <v>1138</v>
      </c>
      <c r="E372" t="s">
        <v>1139</v>
      </c>
      <c r="F372" t="s">
        <v>10</v>
      </c>
      <c r="G372" t="s">
        <v>1138</v>
      </c>
      <c r="H372" t="s">
        <v>1140</v>
      </c>
      <c r="I372" t="s">
        <v>32</v>
      </c>
      <c r="J372">
        <v>769</v>
      </c>
      <c r="K372">
        <v>96466</v>
      </c>
      <c r="L372" s="4">
        <v>3.5000000000000001E-3</v>
      </c>
      <c r="M372">
        <v>0.02</v>
      </c>
      <c r="N372" s="4">
        <v>337.63100000000003</v>
      </c>
      <c r="O372" s="4">
        <v>1929.32</v>
      </c>
    </row>
    <row r="373" spans="2:15">
      <c r="B373" t="s">
        <v>66</v>
      </c>
      <c r="C373" t="s">
        <v>53</v>
      </c>
      <c r="D373" t="s">
        <v>1141</v>
      </c>
      <c r="E373" t="s">
        <v>1142</v>
      </c>
      <c r="F373" t="s">
        <v>10</v>
      </c>
      <c r="G373" t="s">
        <v>1141</v>
      </c>
      <c r="H373" t="s">
        <v>1143</v>
      </c>
      <c r="I373" t="s">
        <v>32</v>
      </c>
      <c r="J373">
        <v>0</v>
      </c>
      <c r="K373">
        <v>2</v>
      </c>
      <c r="L373" s="4">
        <v>3.5000000000000001E-3</v>
      </c>
      <c r="M373">
        <v>0.02</v>
      </c>
      <c r="N373" s="4">
        <v>7.0000000000000001E-3</v>
      </c>
      <c r="O373" s="4">
        <v>0.04</v>
      </c>
    </row>
    <row r="374" spans="2:15">
      <c r="B374" t="s">
        <v>66</v>
      </c>
      <c r="C374" t="s">
        <v>53</v>
      </c>
      <c r="D374" t="s">
        <v>251</v>
      </c>
      <c r="E374" t="s">
        <v>252</v>
      </c>
      <c r="F374" t="s">
        <v>12</v>
      </c>
      <c r="G374" t="s">
        <v>251</v>
      </c>
      <c r="H374" t="s">
        <v>253</v>
      </c>
      <c r="I374" t="s">
        <v>32</v>
      </c>
      <c r="J374">
        <v>2818937</v>
      </c>
      <c r="K374">
        <v>51408</v>
      </c>
      <c r="L374" s="4">
        <v>3.8199999999999998E-2</v>
      </c>
      <c r="M374">
        <v>0.09</v>
      </c>
      <c r="N374" s="4">
        <v>107.6833934</v>
      </c>
      <c r="O374" s="4">
        <v>253.70433</v>
      </c>
    </row>
    <row r="375" spans="2:15">
      <c r="B375" t="s">
        <v>66</v>
      </c>
      <c r="C375" t="s">
        <v>53</v>
      </c>
      <c r="D375" t="s">
        <v>254</v>
      </c>
      <c r="E375" t="s">
        <v>255</v>
      </c>
      <c r="F375" t="s">
        <v>12</v>
      </c>
      <c r="G375" t="s">
        <v>254</v>
      </c>
      <c r="H375" t="s">
        <v>256</v>
      </c>
      <c r="I375" t="s">
        <v>32</v>
      </c>
      <c r="J375">
        <v>218040</v>
      </c>
      <c r="K375">
        <v>1672</v>
      </c>
      <c r="L375" s="4">
        <v>3.8199999999999998E-2</v>
      </c>
      <c r="M375">
        <v>0.09</v>
      </c>
      <c r="N375" s="4">
        <v>8.329127999999999</v>
      </c>
      <c r="O375" s="4">
        <v>19.6236</v>
      </c>
    </row>
    <row r="376" spans="2:15">
      <c r="B376" t="s">
        <v>66</v>
      </c>
      <c r="C376" t="s">
        <v>53</v>
      </c>
      <c r="D376" t="s">
        <v>1144</v>
      </c>
      <c r="E376" t="s">
        <v>1145</v>
      </c>
      <c r="F376" t="s">
        <v>10</v>
      </c>
      <c r="G376" t="s">
        <v>1144</v>
      </c>
      <c r="H376" t="s">
        <v>1146</v>
      </c>
      <c r="I376" t="s">
        <v>32</v>
      </c>
      <c r="J376">
        <v>0</v>
      </c>
      <c r="K376">
        <v>1</v>
      </c>
      <c r="L376" s="4">
        <v>3.5000000000000001E-3</v>
      </c>
      <c r="M376">
        <v>0.02</v>
      </c>
      <c r="N376" s="4">
        <v>3.5000000000000001E-3</v>
      </c>
      <c r="O376" s="4">
        <v>0.02</v>
      </c>
    </row>
    <row r="377" spans="2:15">
      <c r="B377" t="s">
        <v>66</v>
      </c>
      <c r="C377" t="s">
        <v>53</v>
      </c>
      <c r="D377" t="s">
        <v>257</v>
      </c>
      <c r="E377" t="s">
        <v>258</v>
      </c>
      <c r="F377" t="s">
        <v>12</v>
      </c>
      <c r="G377" t="s">
        <v>257</v>
      </c>
      <c r="H377" t="s">
        <v>259</v>
      </c>
      <c r="I377" t="s">
        <v>32</v>
      </c>
      <c r="J377">
        <v>5168685</v>
      </c>
      <c r="K377">
        <v>35582</v>
      </c>
      <c r="L377" s="4">
        <v>3.8199999999999998E-2</v>
      </c>
      <c r="M377">
        <v>0.09</v>
      </c>
      <c r="N377" s="4">
        <v>197.44376699999998</v>
      </c>
      <c r="O377" s="4">
        <v>465.18164999999999</v>
      </c>
    </row>
    <row r="378" spans="2:15">
      <c r="B378" t="s">
        <v>66</v>
      </c>
      <c r="C378" t="s">
        <v>53</v>
      </c>
      <c r="D378" t="s">
        <v>260</v>
      </c>
      <c r="E378" t="s">
        <v>261</v>
      </c>
      <c r="F378" t="s">
        <v>10</v>
      </c>
      <c r="G378" t="s">
        <v>260</v>
      </c>
      <c r="H378" t="s">
        <v>262</v>
      </c>
      <c r="I378" t="s">
        <v>32</v>
      </c>
      <c r="J378">
        <v>0</v>
      </c>
      <c r="K378">
        <v>81</v>
      </c>
      <c r="L378" s="4">
        <v>3.5000000000000001E-3</v>
      </c>
      <c r="M378">
        <v>0.02</v>
      </c>
      <c r="N378" s="4">
        <v>0.28350000000000003</v>
      </c>
      <c r="O378" s="4">
        <v>1.62</v>
      </c>
    </row>
    <row r="379" spans="2:15">
      <c r="B379" t="s">
        <v>66</v>
      </c>
      <c r="C379" t="s">
        <v>53</v>
      </c>
      <c r="D379" t="s">
        <v>263</v>
      </c>
      <c r="E379" t="s">
        <v>264</v>
      </c>
      <c r="F379" t="s">
        <v>10</v>
      </c>
      <c r="G379" t="s">
        <v>263</v>
      </c>
      <c r="H379" t="s">
        <v>265</v>
      </c>
      <c r="I379" t="s">
        <v>32</v>
      </c>
      <c r="J379">
        <v>1878</v>
      </c>
      <c r="K379">
        <v>34665</v>
      </c>
      <c r="L379" s="4">
        <v>3.5000000000000001E-3</v>
      </c>
      <c r="M379">
        <v>0.02</v>
      </c>
      <c r="N379" s="4">
        <v>121.3275</v>
      </c>
      <c r="O379" s="4">
        <v>693.30000000000007</v>
      </c>
    </row>
    <row r="380" spans="2:15">
      <c r="B380" t="s">
        <v>66</v>
      </c>
      <c r="C380" t="s">
        <v>53</v>
      </c>
      <c r="D380" t="s">
        <v>266</v>
      </c>
      <c r="E380" t="s">
        <v>267</v>
      </c>
      <c r="F380" t="s">
        <v>10</v>
      </c>
      <c r="G380" t="s">
        <v>266</v>
      </c>
      <c r="H380" t="s">
        <v>268</v>
      </c>
      <c r="I380" t="s">
        <v>32</v>
      </c>
      <c r="J380">
        <v>239</v>
      </c>
      <c r="K380">
        <v>2699</v>
      </c>
      <c r="L380" s="4">
        <v>3.5000000000000001E-3</v>
      </c>
      <c r="M380">
        <v>0.02</v>
      </c>
      <c r="N380" s="4">
        <v>9.4465000000000003</v>
      </c>
      <c r="O380" s="4">
        <v>53.980000000000004</v>
      </c>
    </row>
    <row r="381" spans="2:15">
      <c r="B381" t="s">
        <v>66</v>
      </c>
      <c r="C381" t="s">
        <v>53</v>
      </c>
      <c r="D381" t="s">
        <v>556</v>
      </c>
      <c r="E381" t="s">
        <v>557</v>
      </c>
      <c r="F381" t="s">
        <v>10</v>
      </c>
      <c r="G381" t="s">
        <v>558</v>
      </c>
      <c r="H381" t="s">
        <v>559</v>
      </c>
      <c r="I381" t="s">
        <v>32</v>
      </c>
      <c r="J381">
        <v>1891</v>
      </c>
      <c r="K381">
        <v>33866</v>
      </c>
      <c r="L381" s="4">
        <v>3.5000000000000001E-3</v>
      </c>
      <c r="M381">
        <v>0.02</v>
      </c>
      <c r="N381" s="4">
        <v>118.53100000000001</v>
      </c>
      <c r="O381" s="4">
        <v>677.32</v>
      </c>
    </row>
    <row r="382" spans="2:15">
      <c r="B382" t="s">
        <v>66</v>
      </c>
      <c r="C382" t="s">
        <v>53</v>
      </c>
      <c r="D382" t="s">
        <v>269</v>
      </c>
      <c r="E382" t="s">
        <v>270</v>
      </c>
      <c r="F382" t="s">
        <v>10</v>
      </c>
      <c r="G382" t="s">
        <v>269</v>
      </c>
      <c r="H382" t="s">
        <v>271</v>
      </c>
      <c r="I382" t="s">
        <v>32</v>
      </c>
      <c r="J382">
        <v>0</v>
      </c>
      <c r="K382">
        <v>2</v>
      </c>
      <c r="L382" s="4">
        <v>3.5000000000000001E-3</v>
      </c>
      <c r="M382">
        <v>0.02</v>
      </c>
      <c r="N382" s="4">
        <v>7.0000000000000001E-3</v>
      </c>
      <c r="O382" s="4">
        <v>0.04</v>
      </c>
    </row>
    <row r="383" spans="2:15">
      <c r="B383" t="s">
        <v>66</v>
      </c>
      <c r="C383" t="s">
        <v>53</v>
      </c>
      <c r="D383" t="s">
        <v>1147</v>
      </c>
      <c r="E383" t="s">
        <v>1148</v>
      </c>
      <c r="F383" t="s">
        <v>12</v>
      </c>
      <c r="G383" t="s">
        <v>1147</v>
      </c>
      <c r="H383" t="s">
        <v>1149</v>
      </c>
      <c r="I383" t="s">
        <v>32</v>
      </c>
      <c r="J383">
        <v>2794963</v>
      </c>
      <c r="K383">
        <v>19233</v>
      </c>
      <c r="L383" s="4">
        <v>3.8199999999999998E-2</v>
      </c>
      <c r="M383">
        <v>0.09</v>
      </c>
      <c r="N383" s="4">
        <v>106.7675866</v>
      </c>
      <c r="O383" s="4">
        <v>251.54666999999998</v>
      </c>
    </row>
    <row r="384" spans="2:15">
      <c r="B384" t="s">
        <v>66</v>
      </c>
      <c r="C384" t="s">
        <v>53</v>
      </c>
      <c r="D384" t="s">
        <v>272</v>
      </c>
      <c r="E384" t="s">
        <v>273</v>
      </c>
      <c r="F384" t="s">
        <v>10</v>
      </c>
      <c r="G384" t="s">
        <v>272</v>
      </c>
      <c r="H384" t="s">
        <v>274</v>
      </c>
      <c r="I384" t="s">
        <v>32</v>
      </c>
      <c r="J384">
        <v>917</v>
      </c>
      <c r="K384">
        <v>13901</v>
      </c>
      <c r="L384" s="4">
        <v>3.5000000000000001E-3</v>
      </c>
      <c r="M384">
        <v>0.02</v>
      </c>
      <c r="N384" s="4">
        <v>48.653500000000001</v>
      </c>
      <c r="O384" s="4">
        <v>278.02</v>
      </c>
    </row>
    <row r="385" spans="2:15">
      <c r="B385" t="s">
        <v>66</v>
      </c>
      <c r="C385" t="s">
        <v>53</v>
      </c>
      <c r="D385" t="s">
        <v>560</v>
      </c>
      <c r="E385" t="s">
        <v>561</v>
      </c>
      <c r="F385" t="s">
        <v>12</v>
      </c>
      <c r="G385" t="s">
        <v>560</v>
      </c>
      <c r="H385" t="s">
        <v>562</v>
      </c>
      <c r="I385" t="s">
        <v>32</v>
      </c>
      <c r="J385">
        <v>20</v>
      </c>
      <c r="K385">
        <v>2</v>
      </c>
      <c r="L385" s="4">
        <v>3.8199999999999998E-2</v>
      </c>
      <c r="M385">
        <v>0.09</v>
      </c>
      <c r="N385" s="4">
        <v>7.6400000000000003E-4</v>
      </c>
      <c r="O385" s="4">
        <v>1.7999999999999997E-3</v>
      </c>
    </row>
    <row r="386" spans="2:15">
      <c r="B386" t="s">
        <v>66</v>
      </c>
      <c r="C386" t="s">
        <v>275</v>
      </c>
      <c r="D386" t="s">
        <v>1150</v>
      </c>
      <c r="E386" t="s">
        <v>1151</v>
      </c>
      <c r="F386" t="s">
        <v>10</v>
      </c>
      <c r="G386" t="s">
        <v>1152</v>
      </c>
      <c r="H386" t="s">
        <v>1153</v>
      </c>
      <c r="I386" t="s">
        <v>32</v>
      </c>
      <c r="J386">
        <v>0</v>
      </c>
      <c r="K386">
        <v>1</v>
      </c>
      <c r="L386" s="4">
        <v>3.5000000000000001E-3</v>
      </c>
      <c r="M386">
        <v>0.02</v>
      </c>
      <c r="N386" s="4">
        <v>3.5000000000000001E-3</v>
      </c>
      <c r="O386" s="4">
        <v>0.02</v>
      </c>
    </row>
    <row r="387" spans="2:15">
      <c r="B387" t="s">
        <v>66</v>
      </c>
      <c r="C387" t="s">
        <v>275</v>
      </c>
      <c r="D387" t="s">
        <v>1154</v>
      </c>
      <c r="E387" t="s">
        <v>1155</v>
      </c>
      <c r="F387" t="s">
        <v>10</v>
      </c>
      <c r="G387" t="s">
        <v>1156</v>
      </c>
      <c r="H387" t="s">
        <v>1157</v>
      </c>
      <c r="I387" t="s">
        <v>32</v>
      </c>
      <c r="J387">
        <v>0</v>
      </c>
      <c r="K387">
        <v>1</v>
      </c>
      <c r="L387" s="4">
        <v>3.5000000000000001E-3</v>
      </c>
      <c r="M387">
        <v>0.02</v>
      </c>
      <c r="N387" s="4">
        <v>3.5000000000000001E-3</v>
      </c>
      <c r="O387" s="4">
        <v>0.02</v>
      </c>
    </row>
    <row r="388" spans="2:15">
      <c r="B388" t="s">
        <v>66</v>
      </c>
      <c r="C388" t="s">
        <v>275</v>
      </c>
      <c r="D388" t="s">
        <v>1158</v>
      </c>
      <c r="E388" t="s">
        <v>1159</v>
      </c>
      <c r="F388" t="s">
        <v>10</v>
      </c>
      <c r="G388" t="s">
        <v>1160</v>
      </c>
      <c r="H388" t="s">
        <v>1161</v>
      </c>
      <c r="I388" t="s">
        <v>32</v>
      </c>
      <c r="J388">
        <v>0</v>
      </c>
      <c r="K388">
        <v>1</v>
      </c>
      <c r="L388" s="4">
        <v>3.5000000000000001E-3</v>
      </c>
      <c r="M388">
        <v>0.02</v>
      </c>
      <c r="N388" s="4">
        <v>3.5000000000000001E-3</v>
      </c>
      <c r="O388" s="4">
        <v>0.02</v>
      </c>
    </row>
    <row r="389" spans="2:15">
      <c r="B389" t="s">
        <v>66</v>
      </c>
      <c r="C389" t="s">
        <v>275</v>
      </c>
      <c r="D389" t="s">
        <v>276</v>
      </c>
      <c r="E389" t="s">
        <v>277</v>
      </c>
      <c r="F389" t="s">
        <v>12</v>
      </c>
      <c r="G389" t="s">
        <v>109</v>
      </c>
      <c r="H389" t="s">
        <v>110</v>
      </c>
      <c r="I389" t="s">
        <v>31</v>
      </c>
      <c r="J389">
        <v>1</v>
      </c>
      <c r="K389">
        <v>0</v>
      </c>
      <c r="L389" s="4">
        <v>3.8199999999999998E-2</v>
      </c>
      <c r="M389">
        <v>0.09</v>
      </c>
      <c r="N389" s="4">
        <v>3.82E-5</v>
      </c>
      <c r="O389" s="4">
        <v>8.9999999999999992E-5</v>
      </c>
    </row>
    <row r="390" spans="2:15">
      <c r="B390" t="s">
        <v>66</v>
      </c>
      <c r="C390" t="s">
        <v>275</v>
      </c>
      <c r="D390" t="s">
        <v>276</v>
      </c>
      <c r="E390" t="s">
        <v>277</v>
      </c>
      <c r="F390" t="s">
        <v>12</v>
      </c>
      <c r="G390" t="s">
        <v>276</v>
      </c>
      <c r="H390" t="s">
        <v>278</v>
      </c>
      <c r="I390" t="s">
        <v>32</v>
      </c>
      <c r="J390">
        <v>74681</v>
      </c>
      <c r="K390">
        <v>40</v>
      </c>
      <c r="L390" s="4">
        <v>3.8199999999999998E-2</v>
      </c>
      <c r="M390">
        <v>0.09</v>
      </c>
      <c r="N390" s="4">
        <v>2.8528141999999996</v>
      </c>
      <c r="O390" s="4">
        <v>6.7212899999999998</v>
      </c>
    </row>
    <row r="391" spans="2:15">
      <c r="B391" t="s">
        <v>66</v>
      </c>
      <c r="C391" t="s">
        <v>275</v>
      </c>
      <c r="D391" t="s">
        <v>1152</v>
      </c>
      <c r="E391" t="s">
        <v>1162</v>
      </c>
      <c r="F391" t="s">
        <v>12</v>
      </c>
      <c r="G391" t="s">
        <v>1152</v>
      </c>
      <c r="H391" t="s">
        <v>1163</v>
      </c>
      <c r="I391" t="s">
        <v>31</v>
      </c>
      <c r="J391">
        <v>1143</v>
      </c>
      <c r="K391">
        <v>2</v>
      </c>
      <c r="L391" s="4">
        <v>3.8199999999999998E-2</v>
      </c>
      <c r="M391">
        <v>0.09</v>
      </c>
      <c r="N391" s="4">
        <v>4.3662599999999996E-2</v>
      </c>
      <c r="O391" s="4">
        <v>0.10286999999999999</v>
      </c>
    </row>
    <row r="392" spans="2:15">
      <c r="B392" t="s">
        <v>66</v>
      </c>
      <c r="C392" t="s">
        <v>275</v>
      </c>
      <c r="D392" t="s">
        <v>279</v>
      </c>
      <c r="E392" t="s">
        <v>280</v>
      </c>
      <c r="F392" t="s">
        <v>12</v>
      </c>
      <c r="G392" t="s">
        <v>279</v>
      </c>
      <c r="H392" t="s">
        <v>281</v>
      </c>
      <c r="I392" t="s">
        <v>32</v>
      </c>
      <c r="J392">
        <v>35747</v>
      </c>
      <c r="K392">
        <v>10</v>
      </c>
      <c r="L392" s="4">
        <v>3.8199999999999998E-2</v>
      </c>
      <c r="M392">
        <v>0.09</v>
      </c>
      <c r="N392" s="4">
        <v>1.3655354</v>
      </c>
      <c r="O392" s="4">
        <v>3.2172299999999998</v>
      </c>
    </row>
    <row r="393" spans="2:15">
      <c r="B393" t="s">
        <v>66</v>
      </c>
      <c r="C393" t="s">
        <v>275</v>
      </c>
      <c r="D393" t="s">
        <v>1156</v>
      </c>
      <c r="E393" t="s">
        <v>1164</v>
      </c>
      <c r="F393" t="s">
        <v>12</v>
      </c>
      <c r="G393" t="s">
        <v>1156</v>
      </c>
      <c r="H393" t="s">
        <v>1165</v>
      </c>
      <c r="I393" t="s">
        <v>31</v>
      </c>
      <c r="J393">
        <v>1698</v>
      </c>
      <c r="K393">
        <v>4</v>
      </c>
      <c r="L393" s="4">
        <v>3.8199999999999998E-2</v>
      </c>
      <c r="M393">
        <v>0.09</v>
      </c>
      <c r="N393" s="4">
        <v>6.4863599999999993E-2</v>
      </c>
      <c r="O393" s="4">
        <v>0.15281999999999998</v>
      </c>
    </row>
    <row r="394" spans="2:15">
      <c r="B394" t="s">
        <v>66</v>
      </c>
      <c r="C394" t="s">
        <v>275</v>
      </c>
      <c r="D394" t="s">
        <v>282</v>
      </c>
      <c r="E394" t="s">
        <v>283</v>
      </c>
      <c r="F394" t="s">
        <v>12</v>
      </c>
      <c r="G394" t="s">
        <v>282</v>
      </c>
      <c r="H394" t="s">
        <v>284</v>
      </c>
      <c r="I394" t="s">
        <v>32</v>
      </c>
      <c r="J394">
        <v>4187791</v>
      </c>
      <c r="K394">
        <v>12476</v>
      </c>
      <c r="L394" s="4">
        <v>3.8199999999999998E-2</v>
      </c>
      <c r="M394">
        <v>0.09</v>
      </c>
      <c r="N394" s="4">
        <v>159.97361619999998</v>
      </c>
      <c r="O394" s="4">
        <v>376.90118999999999</v>
      </c>
    </row>
    <row r="395" spans="2:15">
      <c r="B395" t="s">
        <v>66</v>
      </c>
      <c r="C395" t="s">
        <v>275</v>
      </c>
      <c r="D395" t="s">
        <v>1160</v>
      </c>
      <c r="E395" t="s">
        <v>1166</v>
      </c>
      <c r="F395" t="s">
        <v>12</v>
      </c>
      <c r="G395" t="s">
        <v>1160</v>
      </c>
      <c r="H395" t="s">
        <v>1167</v>
      </c>
      <c r="I395" t="s">
        <v>31</v>
      </c>
      <c r="J395">
        <v>333095</v>
      </c>
      <c r="K395">
        <v>723</v>
      </c>
      <c r="L395" s="4">
        <v>3.8199999999999998E-2</v>
      </c>
      <c r="M395">
        <v>0.09</v>
      </c>
      <c r="N395" s="4">
        <v>12.724228999999999</v>
      </c>
      <c r="O395" s="4">
        <v>29.978549999999998</v>
      </c>
    </row>
    <row r="396" spans="2:15">
      <c r="B396" t="s">
        <v>66</v>
      </c>
      <c r="C396" t="s">
        <v>108</v>
      </c>
      <c r="D396" t="s">
        <v>1168</v>
      </c>
      <c r="E396" t="s">
        <v>1169</v>
      </c>
      <c r="F396" t="s">
        <v>10</v>
      </c>
      <c r="G396" t="s">
        <v>1168</v>
      </c>
      <c r="H396" t="s">
        <v>1170</v>
      </c>
      <c r="I396" t="s">
        <v>32</v>
      </c>
      <c r="J396">
        <v>0</v>
      </c>
      <c r="K396">
        <v>1</v>
      </c>
      <c r="L396" s="4">
        <v>3.5000000000000001E-3</v>
      </c>
      <c r="M396">
        <v>0.02</v>
      </c>
      <c r="N396" s="4">
        <v>3.5000000000000001E-3</v>
      </c>
      <c r="O396" s="4">
        <v>0.02</v>
      </c>
    </row>
    <row r="397" spans="2:15">
      <c r="B397" t="s">
        <v>66</v>
      </c>
      <c r="C397" t="s">
        <v>108</v>
      </c>
      <c r="D397" t="s">
        <v>1171</v>
      </c>
      <c r="E397" t="s">
        <v>1172</v>
      </c>
      <c r="F397" t="s">
        <v>12</v>
      </c>
      <c r="G397" t="s">
        <v>1171</v>
      </c>
      <c r="H397" t="s">
        <v>1173</v>
      </c>
      <c r="I397" t="s">
        <v>32</v>
      </c>
      <c r="J397">
        <v>188498</v>
      </c>
      <c r="K397">
        <v>48</v>
      </c>
      <c r="L397" s="4">
        <v>3.8199999999999998E-2</v>
      </c>
      <c r="M397">
        <v>0.09</v>
      </c>
      <c r="N397" s="4">
        <v>7.2006236000000001</v>
      </c>
      <c r="O397" s="4">
        <v>16.96482</v>
      </c>
    </row>
    <row r="398" spans="2:15">
      <c r="B398" t="s">
        <v>66</v>
      </c>
      <c r="C398" t="s">
        <v>108</v>
      </c>
      <c r="D398" t="s">
        <v>1174</v>
      </c>
      <c r="E398" t="s">
        <v>1175</v>
      </c>
      <c r="F398" t="s">
        <v>12</v>
      </c>
      <c r="G398" t="s">
        <v>1174</v>
      </c>
      <c r="H398" t="s">
        <v>1176</v>
      </c>
      <c r="I398" t="s">
        <v>32</v>
      </c>
      <c r="J398">
        <v>1496871</v>
      </c>
      <c r="K398">
        <v>948</v>
      </c>
      <c r="L398" s="4">
        <v>3.8199999999999998E-2</v>
      </c>
      <c r="M398">
        <v>0.09</v>
      </c>
      <c r="N398" s="4">
        <v>57.180472199999997</v>
      </c>
      <c r="O398" s="4">
        <v>134.71838999999997</v>
      </c>
    </row>
    <row r="399" spans="2:15">
      <c r="B399" t="s">
        <v>66</v>
      </c>
      <c r="C399" t="s">
        <v>108</v>
      </c>
      <c r="D399" t="s">
        <v>1177</v>
      </c>
      <c r="E399" t="s">
        <v>1178</v>
      </c>
      <c r="F399" t="s">
        <v>11</v>
      </c>
      <c r="G399" t="s">
        <v>109</v>
      </c>
      <c r="H399" t="s">
        <v>110</v>
      </c>
      <c r="I399" t="s">
        <v>31</v>
      </c>
      <c r="J399">
        <v>1</v>
      </c>
      <c r="K399">
        <v>1</v>
      </c>
      <c r="L399" s="4">
        <v>3.8199999999999998E-2</v>
      </c>
      <c r="M399">
        <v>0.09</v>
      </c>
      <c r="N399" s="4">
        <v>3.82E-5</v>
      </c>
      <c r="O399" s="4">
        <v>8.9999999999999992E-5</v>
      </c>
    </row>
    <row r="400" spans="2:15">
      <c r="B400" t="s">
        <v>66</v>
      </c>
      <c r="C400" t="s">
        <v>108</v>
      </c>
      <c r="D400" t="s">
        <v>1179</v>
      </c>
      <c r="E400" t="s">
        <v>1180</v>
      </c>
      <c r="F400" t="s">
        <v>12</v>
      </c>
      <c r="G400" t="s">
        <v>1179</v>
      </c>
      <c r="H400" t="s">
        <v>1181</v>
      </c>
      <c r="I400" t="s">
        <v>32</v>
      </c>
      <c r="J400">
        <v>307148</v>
      </c>
      <c r="K400">
        <v>833</v>
      </c>
      <c r="L400" s="4">
        <v>3.8199999999999998E-2</v>
      </c>
      <c r="M400">
        <v>0.09</v>
      </c>
      <c r="N400" s="4">
        <v>11.7330536</v>
      </c>
      <c r="O400" s="4">
        <v>27.643319999999999</v>
      </c>
    </row>
    <row r="401" spans="2:15">
      <c r="B401" t="s">
        <v>66</v>
      </c>
      <c r="C401" t="s">
        <v>108</v>
      </c>
      <c r="D401" t="s">
        <v>563</v>
      </c>
      <c r="E401" t="s">
        <v>564</v>
      </c>
      <c r="F401" t="s">
        <v>10</v>
      </c>
      <c r="G401" t="s">
        <v>563</v>
      </c>
      <c r="H401" t="s">
        <v>565</v>
      </c>
      <c r="I401" t="s">
        <v>32</v>
      </c>
      <c r="J401">
        <v>0</v>
      </c>
      <c r="K401">
        <v>152</v>
      </c>
      <c r="L401" s="4">
        <v>3.5000000000000001E-3</v>
      </c>
      <c r="M401">
        <v>0.02</v>
      </c>
      <c r="N401" s="4">
        <v>0.53200000000000003</v>
      </c>
      <c r="O401" s="4">
        <v>3.04</v>
      </c>
    </row>
    <row r="402" spans="2:15">
      <c r="B402" t="s">
        <v>66</v>
      </c>
      <c r="C402" t="s">
        <v>72</v>
      </c>
      <c r="D402" t="s">
        <v>73</v>
      </c>
      <c r="E402" t="s">
        <v>74</v>
      </c>
      <c r="F402" t="s">
        <v>12</v>
      </c>
      <c r="G402" t="s">
        <v>73</v>
      </c>
      <c r="H402" t="s">
        <v>75</v>
      </c>
      <c r="I402" t="s">
        <v>31</v>
      </c>
      <c r="J402">
        <v>3</v>
      </c>
      <c r="K402">
        <v>0</v>
      </c>
      <c r="L402" s="4">
        <v>3.8199999999999998E-2</v>
      </c>
      <c r="M402">
        <v>0.09</v>
      </c>
      <c r="N402" s="4">
        <v>1.1459999999999999E-4</v>
      </c>
      <c r="O402" s="4">
        <v>2.7E-4</v>
      </c>
    </row>
    <row r="403" spans="2:15">
      <c r="B403" t="s">
        <v>66</v>
      </c>
      <c r="C403" t="s">
        <v>72</v>
      </c>
      <c r="D403" t="s">
        <v>566</v>
      </c>
      <c r="E403" t="s">
        <v>567</v>
      </c>
      <c r="F403" t="s">
        <v>12</v>
      </c>
      <c r="G403" t="s">
        <v>566</v>
      </c>
      <c r="H403" t="s">
        <v>568</v>
      </c>
      <c r="I403" t="s">
        <v>31</v>
      </c>
      <c r="J403">
        <v>109040</v>
      </c>
      <c r="K403">
        <v>79</v>
      </c>
      <c r="L403" s="4">
        <v>3.8199999999999998E-2</v>
      </c>
      <c r="M403">
        <v>0.09</v>
      </c>
      <c r="N403" s="4">
        <v>4.1653279999999997</v>
      </c>
      <c r="O403" s="4">
        <v>9.813600000000001</v>
      </c>
    </row>
    <row r="404" spans="2:15">
      <c r="B404" t="s">
        <v>66</v>
      </c>
      <c r="C404" t="s">
        <v>72</v>
      </c>
      <c r="D404" t="s">
        <v>76</v>
      </c>
      <c r="E404" t="s">
        <v>77</v>
      </c>
      <c r="F404" t="s">
        <v>12</v>
      </c>
      <c r="G404" t="s">
        <v>76</v>
      </c>
      <c r="H404" t="s">
        <v>78</v>
      </c>
      <c r="I404" t="s">
        <v>31</v>
      </c>
      <c r="J404">
        <v>17</v>
      </c>
      <c r="K404">
        <v>0</v>
      </c>
      <c r="L404" s="4">
        <v>3.8199999999999998E-2</v>
      </c>
      <c r="M404">
        <v>0.09</v>
      </c>
      <c r="N404" s="4">
        <v>6.4939999999999996E-4</v>
      </c>
      <c r="O404" s="4">
        <v>1.5300000000000001E-3</v>
      </c>
    </row>
    <row r="405" spans="2:15">
      <c r="B405" t="s">
        <v>66</v>
      </c>
      <c r="C405" t="s">
        <v>72</v>
      </c>
      <c r="D405" t="s">
        <v>569</v>
      </c>
      <c r="E405" t="s">
        <v>570</v>
      </c>
      <c r="F405" t="s">
        <v>12</v>
      </c>
      <c r="G405" t="s">
        <v>569</v>
      </c>
      <c r="H405" t="s">
        <v>571</v>
      </c>
      <c r="I405" t="s">
        <v>31</v>
      </c>
      <c r="J405">
        <v>484321</v>
      </c>
      <c r="K405">
        <v>736</v>
      </c>
      <c r="L405" s="4">
        <v>3.8199999999999998E-2</v>
      </c>
      <c r="M405">
        <v>0.09</v>
      </c>
      <c r="N405" s="4">
        <v>18.5010622</v>
      </c>
      <c r="O405" s="4">
        <v>43.588889999999999</v>
      </c>
    </row>
    <row r="406" spans="2:15">
      <c r="B406" t="s">
        <v>66</v>
      </c>
      <c r="C406" t="s">
        <v>572</v>
      </c>
      <c r="D406" t="s">
        <v>1182</v>
      </c>
      <c r="E406" t="s">
        <v>1183</v>
      </c>
      <c r="F406" t="s">
        <v>12</v>
      </c>
      <c r="G406" t="s">
        <v>1182</v>
      </c>
      <c r="H406" t="s">
        <v>1184</v>
      </c>
      <c r="I406" t="s">
        <v>31</v>
      </c>
      <c r="J406">
        <v>6362</v>
      </c>
      <c r="K406">
        <v>12</v>
      </c>
      <c r="L406" s="4">
        <v>3.8199999999999998E-2</v>
      </c>
      <c r="M406">
        <v>0.09</v>
      </c>
      <c r="N406" s="4">
        <v>0.24302839999999998</v>
      </c>
      <c r="O406" s="4">
        <v>0.57257999999999998</v>
      </c>
    </row>
    <row r="407" spans="2:15">
      <c r="B407" t="s">
        <v>66</v>
      </c>
      <c r="C407" t="s">
        <v>572</v>
      </c>
      <c r="D407" t="s">
        <v>1185</v>
      </c>
      <c r="E407" t="s">
        <v>1186</v>
      </c>
      <c r="F407" t="s">
        <v>12</v>
      </c>
      <c r="G407" t="s">
        <v>1185</v>
      </c>
      <c r="H407" t="s">
        <v>1187</v>
      </c>
      <c r="I407" t="s">
        <v>31</v>
      </c>
      <c r="J407">
        <v>1</v>
      </c>
      <c r="K407">
        <v>0</v>
      </c>
      <c r="L407" s="4">
        <v>3.8199999999999998E-2</v>
      </c>
      <c r="M407">
        <v>0.09</v>
      </c>
      <c r="N407" s="4">
        <v>3.82E-5</v>
      </c>
      <c r="O407" s="4">
        <v>8.9999999999999992E-5</v>
      </c>
    </row>
    <row r="408" spans="2:15">
      <c r="B408" t="s">
        <v>66</v>
      </c>
      <c r="C408" t="s">
        <v>572</v>
      </c>
      <c r="D408" t="s">
        <v>1188</v>
      </c>
      <c r="E408" t="s">
        <v>1189</v>
      </c>
      <c r="F408" t="s">
        <v>12</v>
      </c>
      <c r="G408" t="s">
        <v>1188</v>
      </c>
      <c r="H408" t="s">
        <v>1190</v>
      </c>
      <c r="I408" t="s">
        <v>31</v>
      </c>
      <c r="J408">
        <v>49025</v>
      </c>
      <c r="K408">
        <v>69</v>
      </c>
      <c r="L408" s="4">
        <v>3.8199999999999998E-2</v>
      </c>
      <c r="M408">
        <v>0.09</v>
      </c>
      <c r="N408" s="4">
        <v>1.8727549999999999</v>
      </c>
      <c r="O408" s="4">
        <v>4.4122500000000002</v>
      </c>
    </row>
    <row r="409" spans="2:15">
      <c r="B409" t="s">
        <v>66</v>
      </c>
      <c r="C409" t="s">
        <v>572</v>
      </c>
      <c r="D409" t="s">
        <v>1191</v>
      </c>
      <c r="E409" t="s">
        <v>1192</v>
      </c>
      <c r="F409" t="s">
        <v>12</v>
      </c>
      <c r="G409" t="s">
        <v>1191</v>
      </c>
      <c r="H409" t="s">
        <v>1193</v>
      </c>
      <c r="I409" t="s">
        <v>31</v>
      </c>
      <c r="J409">
        <v>326820</v>
      </c>
      <c r="K409">
        <v>478</v>
      </c>
      <c r="L409" s="4">
        <v>3.8199999999999998E-2</v>
      </c>
      <c r="M409">
        <v>0.09</v>
      </c>
      <c r="N409" s="4">
        <v>12.484523999999999</v>
      </c>
      <c r="O409" s="4">
        <v>29.413799999999998</v>
      </c>
    </row>
    <row r="410" spans="2:15">
      <c r="B410" t="s">
        <v>66</v>
      </c>
      <c r="C410" t="s">
        <v>572</v>
      </c>
      <c r="D410" t="s">
        <v>1194</v>
      </c>
      <c r="E410" t="s">
        <v>1195</v>
      </c>
      <c r="F410" t="s">
        <v>12</v>
      </c>
      <c r="G410" t="s">
        <v>1194</v>
      </c>
      <c r="H410" t="s">
        <v>1196</v>
      </c>
      <c r="I410" t="s">
        <v>31</v>
      </c>
      <c r="J410">
        <v>178687</v>
      </c>
      <c r="K410">
        <v>331</v>
      </c>
      <c r="L410" s="4">
        <v>3.8199999999999998E-2</v>
      </c>
      <c r="M410">
        <v>0.09</v>
      </c>
      <c r="N410" s="4">
        <v>6.8258434000000001</v>
      </c>
      <c r="O410" s="4">
        <v>16.08183</v>
      </c>
    </row>
    <row r="411" spans="2:15">
      <c r="B411" t="s">
        <v>66</v>
      </c>
      <c r="C411" t="s">
        <v>572</v>
      </c>
      <c r="D411" t="s">
        <v>1197</v>
      </c>
      <c r="E411" t="s">
        <v>1198</v>
      </c>
      <c r="F411" t="s">
        <v>12</v>
      </c>
      <c r="G411" t="s">
        <v>1197</v>
      </c>
      <c r="H411" t="s">
        <v>1199</v>
      </c>
      <c r="I411" t="s">
        <v>31</v>
      </c>
      <c r="J411">
        <v>1</v>
      </c>
      <c r="K411">
        <v>0</v>
      </c>
      <c r="L411" s="4">
        <v>3.8199999999999998E-2</v>
      </c>
      <c r="M411">
        <v>0.09</v>
      </c>
      <c r="N411" s="4">
        <v>3.82E-5</v>
      </c>
      <c r="O411" s="4">
        <v>8.9999999999999992E-5</v>
      </c>
    </row>
    <row r="412" spans="2:15">
      <c r="B412" t="s">
        <v>66</v>
      </c>
      <c r="C412" t="s">
        <v>572</v>
      </c>
      <c r="D412" t="s">
        <v>1200</v>
      </c>
      <c r="E412" t="s">
        <v>1201</v>
      </c>
      <c r="F412" t="s">
        <v>12</v>
      </c>
      <c r="G412" t="s">
        <v>1200</v>
      </c>
      <c r="H412" t="s">
        <v>1202</v>
      </c>
      <c r="I412" t="s">
        <v>31</v>
      </c>
      <c r="J412">
        <v>45211</v>
      </c>
      <c r="K412">
        <v>44</v>
      </c>
      <c r="L412" s="4">
        <v>3.8199999999999998E-2</v>
      </c>
      <c r="M412">
        <v>0.09</v>
      </c>
      <c r="N412" s="4">
        <v>1.7270601999999999</v>
      </c>
      <c r="O412" s="4">
        <v>4.0689899999999994</v>
      </c>
    </row>
    <row r="413" spans="2:15">
      <c r="B413" t="s">
        <v>66</v>
      </c>
      <c r="C413" t="s">
        <v>572</v>
      </c>
      <c r="D413" t="s">
        <v>1203</v>
      </c>
      <c r="E413" t="s">
        <v>1204</v>
      </c>
      <c r="F413" t="s">
        <v>12</v>
      </c>
      <c r="G413" t="s">
        <v>1203</v>
      </c>
      <c r="H413" t="s">
        <v>1205</v>
      </c>
      <c r="I413" t="s">
        <v>31</v>
      </c>
      <c r="J413">
        <v>1</v>
      </c>
      <c r="K413">
        <v>0</v>
      </c>
      <c r="L413" s="4">
        <v>3.8199999999999998E-2</v>
      </c>
      <c r="M413">
        <v>0.09</v>
      </c>
      <c r="N413" s="4">
        <v>3.82E-5</v>
      </c>
      <c r="O413" s="4">
        <v>8.9999999999999992E-5</v>
      </c>
    </row>
    <row r="414" spans="2:15">
      <c r="B414" t="s">
        <v>66</v>
      </c>
      <c r="C414" t="s">
        <v>572</v>
      </c>
      <c r="D414" t="s">
        <v>1206</v>
      </c>
      <c r="E414" t="s">
        <v>1207</v>
      </c>
      <c r="F414" t="s">
        <v>12</v>
      </c>
      <c r="G414" t="s">
        <v>1206</v>
      </c>
      <c r="H414" t="s">
        <v>1208</v>
      </c>
      <c r="I414" t="s">
        <v>31</v>
      </c>
      <c r="J414">
        <v>1</v>
      </c>
      <c r="K414">
        <v>0</v>
      </c>
      <c r="L414" s="4">
        <v>3.8199999999999998E-2</v>
      </c>
      <c r="M414">
        <v>0.09</v>
      </c>
      <c r="N414" s="4">
        <v>3.82E-5</v>
      </c>
      <c r="O414" s="4">
        <v>8.9999999999999992E-5</v>
      </c>
    </row>
    <row r="415" spans="2:15">
      <c r="B415" t="s">
        <v>66</v>
      </c>
      <c r="C415" t="s">
        <v>572</v>
      </c>
      <c r="D415" t="s">
        <v>1209</v>
      </c>
      <c r="E415" t="s">
        <v>1210</v>
      </c>
      <c r="F415" t="s">
        <v>10</v>
      </c>
      <c r="G415" t="s">
        <v>1209</v>
      </c>
      <c r="H415" t="s">
        <v>1211</v>
      </c>
      <c r="I415" t="s">
        <v>32</v>
      </c>
      <c r="J415">
        <v>0</v>
      </c>
      <c r="K415">
        <v>3</v>
      </c>
      <c r="L415" s="4">
        <v>3.5000000000000001E-3</v>
      </c>
      <c r="M415">
        <v>0.02</v>
      </c>
      <c r="N415" s="4">
        <v>1.0500000000000001E-2</v>
      </c>
      <c r="O415" s="4">
        <v>0.06</v>
      </c>
    </row>
    <row r="416" spans="2:15">
      <c r="B416" t="s">
        <v>66</v>
      </c>
      <c r="C416" t="s">
        <v>572</v>
      </c>
      <c r="D416" t="s">
        <v>1212</v>
      </c>
      <c r="E416" t="s">
        <v>1213</v>
      </c>
      <c r="F416" t="s">
        <v>10</v>
      </c>
      <c r="G416" t="s">
        <v>1212</v>
      </c>
      <c r="H416" t="s">
        <v>1214</v>
      </c>
      <c r="I416" t="s">
        <v>32</v>
      </c>
      <c r="J416">
        <v>0</v>
      </c>
      <c r="K416">
        <v>1</v>
      </c>
      <c r="L416" s="4">
        <v>3.5000000000000001E-3</v>
      </c>
      <c r="M416">
        <v>0.02</v>
      </c>
      <c r="N416" s="4">
        <v>3.5000000000000001E-3</v>
      </c>
      <c r="O416" s="4">
        <v>0.02</v>
      </c>
    </row>
    <row r="417" spans="2:15">
      <c r="B417" t="s">
        <v>66</v>
      </c>
      <c r="C417" t="s">
        <v>572</v>
      </c>
      <c r="D417" t="s">
        <v>573</v>
      </c>
      <c r="E417" t="s">
        <v>574</v>
      </c>
      <c r="F417" t="s">
        <v>10</v>
      </c>
      <c r="G417" t="s">
        <v>573</v>
      </c>
      <c r="H417" t="s">
        <v>575</v>
      </c>
      <c r="I417" t="s">
        <v>32</v>
      </c>
      <c r="J417">
        <v>0</v>
      </c>
      <c r="K417">
        <v>2</v>
      </c>
      <c r="L417" s="4">
        <v>3.5000000000000001E-3</v>
      </c>
      <c r="M417">
        <v>0.02</v>
      </c>
      <c r="N417" s="4">
        <v>7.0000000000000001E-3</v>
      </c>
      <c r="O417" s="4">
        <v>0.04</v>
      </c>
    </row>
    <row r="418" spans="2:15">
      <c r="B418" t="s">
        <v>66</v>
      </c>
      <c r="C418" t="s">
        <v>572</v>
      </c>
      <c r="D418" t="s">
        <v>1215</v>
      </c>
      <c r="E418" t="s">
        <v>1216</v>
      </c>
      <c r="F418" t="s">
        <v>10</v>
      </c>
      <c r="G418" t="s">
        <v>1215</v>
      </c>
      <c r="H418" t="s">
        <v>1217</v>
      </c>
      <c r="I418" t="s">
        <v>32</v>
      </c>
      <c r="J418">
        <v>0</v>
      </c>
      <c r="K418">
        <v>1</v>
      </c>
      <c r="L418" s="4">
        <v>3.5000000000000001E-3</v>
      </c>
      <c r="M418">
        <v>0.02</v>
      </c>
      <c r="N418" s="4">
        <v>3.5000000000000001E-3</v>
      </c>
      <c r="O418" s="4">
        <v>0.02</v>
      </c>
    </row>
    <row r="419" spans="2:15">
      <c r="B419" t="s">
        <v>66</v>
      </c>
      <c r="C419" t="s">
        <v>572</v>
      </c>
      <c r="D419" t="s">
        <v>1218</v>
      </c>
      <c r="E419" t="s">
        <v>1219</v>
      </c>
      <c r="F419" t="s">
        <v>10</v>
      </c>
      <c r="G419" t="s">
        <v>1218</v>
      </c>
      <c r="H419" t="s">
        <v>1220</v>
      </c>
      <c r="I419" t="s">
        <v>32</v>
      </c>
      <c r="J419">
        <v>0</v>
      </c>
      <c r="K419">
        <v>2</v>
      </c>
      <c r="L419" s="4">
        <v>3.5000000000000001E-3</v>
      </c>
      <c r="M419">
        <v>0.02</v>
      </c>
      <c r="N419" s="4">
        <v>7.0000000000000001E-3</v>
      </c>
      <c r="O419" s="4">
        <v>0.04</v>
      </c>
    </row>
    <row r="420" spans="2:15">
      <c r="L420" s="4"/>
      <c r="N420" s="4"/>
      <c r="O420" s="4"/>
    </row>
    <row r="421" spans="2:15">
      <c r="L421" s="4"/>
      <c r="N421" s="4"/>
      <c r="O421" s="4"/>
    </row>
    <row r="422" spans="2:15">
      <c r="L422" s="4"/>
      <c r="N422" s="4"/>
      <c r="O422" s="4"/>
    </row>
    <row r="423" spans="2:15">
      <c r="L423" s="4"/>
      <c r="N423" s="4"/>
      <c r="O423" s="4"/>
    </row>
    <row r="424" spans="2:15">
      <c r="L424" s="4"/>
      <c r="N424" s="4"/>
      <c r="O424" s="4"/>
    </row>
    <row r="425" spans="2:15">
      <c r="L425" s="4"/>
      <c r="N425" s="4"/>
      <c r="O425" s="4"/>
    </row>
    <row r="426" spans="2:15">
      <c r="L426" s="4"/>
      <c r="N426" s="4"/>
      <c r="O426" s="4"/>
    </row>
    <row r="427" spans="2:15">
      <c r="L427" s="4"/>
      <c r="N427" s="4"/>
      <c r="O427" s="4"/>
    </row>
    <row r="428" spans="2:15">
      <c r="L428" s="4"/>
      <c r="N428" s="4"/>
      <c r="O428" s="4"/>
    </row>
    <row r="429" spans="2:15">
      <c r="L429" s="4"/>
      <c r="N429" s="4"/>
      <c r="O429" s="4"/>
    </row>
    <row r="430" spans="2:15">
      <c r="L430" s="4"/>
      <c r="N430" s="4"/>
      <c r="O430" s="4"/>
    </row>
    <row r="431" spans="2:15">
      <c r="L431" s="4"/>
      <c r="N431" s="4"/>
      <c r="O431" s="4"/>
    </row>
    <row r="432" spans="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2019-08-06T18:40:32Z</dcterms:modified>
</cp:coreProperties>
</file>