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uglas.silva\Documents\Trampo\13082019\Havaianas\"/>
    </mc:Choice>
  </mc:AlternateContent>
  <xr:revisionPtr revIDLastSave="0" documentId="13_ncr:1_{F77AECC0-3EC6-40AF-8325-DD50D848C49F}" xr6:coauthVersionLast="41" xr6:coauthVersionMax="41" xr10:uidLastSave="{00000000-0000-0000-0000-000000000000}"/>
  <bookViews>
    <workbookView xWindow="-120" yWindow="-120" windowWidth="20730" windowHeight="11160" xr2:uid="{00000000-000D-0000-FFFF-FFFF00000000}"/>
  </bookViews>
  <sheets>
    <sheet name="Resumo" sheetId="8" r:id="rId1"/>
  </sheets>
  <definedNames>
    <definedName name="_xlnm._FilterDatabase" localSheetId="0" hidden="1">Resumo!$A$19:$O$1230</definedName>
    <definedName name="adtype">#REF!</definedName>
    <definedName name="adtype_filtrada">Resumo!$F$20:$F$1048576</definedName>
    <definedName name="_xlnm.Extract" localSheetId="0">Resumo!$B$19:$O$19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Resumo!$B$14:$C$15</definedName>
    <definedName name="campanha_nome">Resumo!$B$15</definedName>
    <definedName name="clicks">#REF!</definedName>
    <definedName name="clicks_filtrada">Resumo!$K$20:$K$1048576</definedName>
    <definedName name="_xlnm.Criteria" localSheetId="0">Resumo!$B$14:$C$15</definedName>
    <definedName name="dados">#REF!</definedName>
    <definedName name="filtro">Resumo!$B$19:$O$19</definedName>
    <definedName name="impressions">#REF!</definedName>
    <definedName name="impressoes_filtrada">Resumo!$J$20:$J$1048576</definedName>
    <definedName name="tabela">#REF!</definedName>
    <definedName name="total_adops">#REF!</definedName>
    <definedName name="total_adops_filtrada">Resumo!$O$20:$O$1048576</definedName>
    <definedName name="total_ferramenta">#REF!</definedName>
    <definedName name="total_ferramenta_filtrada">Resumo!$N$20:$N$1048576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5" i="8" l="1"/>
  <c r="D7" i="8" l="1"/>
  <c r="E7" i="8" s="1"/>
  <c r="D9" i="8"/>
  <c r="E9" i="8" s="1"/>
  <c r="E4" i="8"/>
  <c r="E6" i="8"/>
  <c r="D5" i="8"/>
  <c r="E5" i="8" s="1"/>
  <c r="D8" i="8"/>
  <c r="E8" i="8" s="1"/>
  <c r="E10" i="8" l="1"/>
</calcChain>
</file>

<file path=xl/sharedStrings.xml><?xml version="1.0" encoding="utf-8"?>
<sst xmlns="http://schemas.openxmlformats.org/spreadsheetml/2006/main" count="1799" uniqueCount="660">
  <si>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</si>
  <si>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</si>
  <si>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</si>
  <si>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</si>
  <si>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</si>
  <si>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</si>
  <si>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</si>
  <si>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</si>
  <si>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</si>
  <si>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</si>
  <si>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</si>
  <si>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</si>
  <si>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</si>
  <si>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</si>
  <si>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</si>
  <si>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</si>
  <si>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</si>
  <si>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</si>
  <si>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</si>
  <si>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Receita</t>
  </si>
  <si>
    <t>Total</t>
  </si>
  <si>
    <t>Rich Media 2.2mb</t>
  </si>
  <si>
    <t>Valor</t>
  </si>
  <si>
    <t>a.</t>
  </si>
  <si>
    <t>DCO</t>
  </si>
  <si>
    <t>Rich Media display banner</t>
  </si>
  <si>
    <t>Display</t>
  </si>
  <si>
    <t>Tracking</t>
  </si>
  <si>
    <t>Total R$</t>
  </si>
  <si>
    <t>PG ALMAP</t>
  </si>
  <si>
    <t>PG CM</t>
  </si>
  <si>
    <t>facebook.com.br</t>
  </si>
  <si>
    <t>alp_marca</t>
  </si>
  <si>
    <t>Elhombre_Puig</t>
  </si>
  <si>
    <t>242963447</t>
  </si>
  <si>
    <t>439773337</t>
  </si>
  <si>
    <t>243290121</t>
  </si>
  <si>
    <t>439773376</t>
  </si>
  <si>
    <t>papodehomem.com.br</t>
  </si>
  <si>
    <t>alp_marca_alcance_masculino_papo-de-homem_display_billboard_ros_havaianas-urban_all_cpm_970x250_111113</t>
  </si>
  <si>
    <t>241382692</t>
  </si>
  <si>
    <t>438204942</t>
  </si>
  <si>
    <t>alp_marca_alcance_masculino_papo-de-homem_display_retangulo_ros_havaianas-urban_all_cpm_300x250_111116</t>
  </si>
  <si>
    <t>241295873</t>
  </si>
  <si>
    <t>438178371</t>
  </si>
  <si>
    <t>Instagram</t>
  </si>
  <si>
    <t>Oath BR</t>
  </si>
  <si>
    <t>OutBrain - Br</t>
  </si>
  <si>
    <t>Steal The Look</t>
  </si>
  <si>
    <t>alp_marca_alcance_masculino_el-hombre_display_diaria-bg_home_havaianas-urban_all_cpm_1900x1020_111132</t>
  </si>
  <si>
    <t>243862051</t>
  </si>
  <si>
    <t>440590061</t>
  </si>
  <si>
    <t>MTV Brasil</t>
  </si>
  <si>
    <t>alp_marca_engajamentos_jovem_mtv_display_logo_ros_logo_all_cpm_no-size_111117</t>
  </si>
  <si>
    <t>243403010</t>
  </si>
  <si>
    <t>440229374</t>
  </si>
  <si>
    <t>Omelete</t>
  </si>
  <si>
    <t>alp_marca_alcance_jovem_facebook_social_dark-post_social_got_all_cpm_1080x1080_111120</t>
  </si>
  <si>
    <t>alp_marca_alcance_jovem_facebook_social_dark-post_social_got_all_cpm_1080x1080_111121</t>
  </si>
  <si>
    <t>jovemnerd.com.br</t>
  </si>
  <si>
    <t>1x1 Default Web Ad</t>
  </si>
  <si>
    <t>438503523</t>
  </si>
  <si>
    <t>alp_marca_engajamentos_jovem_mtv_video_pre-roll_ros_hype_all_cpm_de-11s-ate-29s_111171</t>
  </si>
  <si>
    <t>246698169</t>
  </si>
  <si>
    <t>443048503</t>
  </si>
  <si>
    <t>alp_marca_engajamentos_jovem_mtv_video_pre-roll_ros_slim-hibisco_all_cpm_de-11s-ate-29s_111172</t>
  </si>
  <si>
    <t>246346778</t>
  </si>
  <si>
    <t>443031713</t>
  </si>
  <si>
    <t>Pipocando</t>
  </si>
  <si>
    <t>alp_marca_engajamentos_jovem_pipocando_conteudo-veiculo_video-ytb_social_got_all_fixo_no-size_111179</t>
  </si>
  <si>
    <t>247069035</t>
  </si>
  <si>
    <t>443322287</t>
  </si>
  <si>
    <t>alp_marca_alcance_feminino_facebook_social_pagepost_social_slim-hits_all_cpm_1200x628_111196</t>
  </si>
  <si>
    <t>248134076</t>
  </si>
  <si>
    <t>444678955</t>
  </si>
  <si>
    <t>alp_marca_engajamentos_feminino_facebook_social_dark-post_social_rasteiras_fashion_cpm_500x500_111175</t>
  </si>
  <si>
    <t>246346793</t>
  </si>
  <si>
    <t>443048506</t>
  </si>
  <si>
    <t>alp_marca_engajamentos_feminino_facebook_social_dark-post_social_rasteiras_funcional_cpm_500x500_111173</t>
  </si>
  <si>
    <t>246698184</t>
  </si>
  <si>
    <t>442925904</t>
  </si>
  <si>
    <t>alp_marca_engajamentos_feminino_facebook_social_dark-post_social_rasteiras_funcional_cpm_500x500_111174</t>
  </si>
  <si>
    <t>246344630</t>
  </si>
  <si>
    <t>443031545</t>
  </si>
  <si>
    <t>alp_marca_engajamentos_feminino_facebook_social_dark-post_social_rasteiras_style_cpm_500x500_111176</t>
  </si>
  <si>
    <t>246588286</t>
  </si>
  <si>
    <t>442981506</t>
  </si>
  <si>
    <t>alp_marca_engajamentos_feminino_facebook_social_video-social_social_slim-hits_all_cpm_acima-de-30s_111208</t>
  </si>
  <si>
    <t>248134070</t>
  </si>
  <si>
    <t>444678949</t>
  </si>
  <si>
    <t>alp_marca_engajamentos_masculino_facebook_social_dark-post_social_harry-potter_licenciados_cpm_500x500_111187</t>
  </si>
  <si>
    <t>246959855</t>
  </si>
  <si>
    <t>443465076</t>
  </si>
  <si>
    <t>alp_marca_engajamentos_masculino_facebook_social_dark-post_social_havaianas-top-max_automoveis_cpm_500x500_111189</t>
  </si>
  <si>
    <t>246959849</t>
  </si>
  <si>
    <t>443465070</t>
  </si>
  <si>
    <t>alp_marca_engajamentos_masculino_facebook_social_dark-post_social_havaianas-urban_moda_cpm_1200x628_111206</t>
  </si>
  <si>
    <t>248168370</t>
  </si>
  <si>
    <t>444396418</t>
  </si>
  <si>
    <t>alp_marca_engajamentos_masculino_facebook_social_dark-post_social_hype_sports_cpm_500x500_111188</t>
  </si>
  <si>
    <t>246959852</t>
  </si>
  <si>
    <t>443465073</t>
  </si>
  <si>
    <t>globoesporte.globo.com</t>
  </si>
  <si>
    <t>alp_marca_engajamentos_masculino_globo-esporte_display_billboard_ros_hype_all_cpm_970x250_111184</t>
  </si>
  <si>
    <t>246923194</t>
  </si>
  <si>
    <t>443284830</t>
  </si>
  <si>
    <t>alp_marca_engajamentos_masculino_globo-esporte_display_maxiboard_ros_hype_all_cpm_970x150_111185</t>
  </si>
  <si>
    <t>247105770</t>
  </si>
  <si>
    <t>443353328</t>
  </si>
  <si>
    <t>alp_marca_engajamentos_masculino_globo-esporte_display_retangulo_ros_hype_all_cpm_300x250_111183</t>
  </si>
  <si>
    <t>247101153</t>
  </si>
  <si>
    <t>443416780</t>
  </si>
  <si>
    <t>alp_marca_alcance_masculino_el-hombre_conteudo-veiculo_publieditorial_lifestyle_rotacional_all_cpc_no-size_111118</t>
  </si>
  <si>
    <t>241629483</t>
  </si>
  <si>
    <t>438245550</t>
  </si>
  <si>
    <t>alp_marca_alcance_masculino_el-hombre_display_diaria-bg_home_havaianas-urban_all_cpm_1900x1020_111217</t>
  </si>
  <si>
    <t>248744191</t>
  </si>
  <si>
    <t>444928407</t>
  </si>
  <si>
    <t>alp_marca_alcance_masculino_el-hombre_display_superheader-mobile_home_havaianas-urban_all_cpm_320x100_111218</t>
  </si>
  <si>
    <t>248914512</t>
  </si>
  <si>
    <t>Flix Media</t>
  </si>
  <si>
    <t>alp_marca_alcance_jovem_flix-media_display_retangulo-cinemark_ros_toy-story_all_fixo_300x250_111239</t>
  </si>
  <si>
    <t>249420466</t>
  </si>
  <si>
    <t>445573125</t>
  </si>
  <si>
    <t>alp_marca_alcance_jovem_flix-media_display_retangulo-ingressocom_ros_toy-story_all_fixo_300x250_111239</t>
  </si>
  <si>
    <t>249382964</t>
  </si>
  <si>
    <t>445751718</t>
  </si>
  <si>
    <t>alp_marca_alcance_jovem_instagram_social_pagepost_social_buff-moster_all_cpm_1080x1080_111312</t>
  </si>
  <si>
    <t>250442011</t>
  </si>
  <si>
    <t>446561228</t>
  </si>
  <si>
    <t>alp_marca_alcance_jovem_instagram_social_pagepost_social_buff-moster_all_cpm_1080x1080_111314</t>
  </si>
  <si>
    <t>250442005</t>
  </si>
  <si>
    <t>446561222</t>
  </si>
  <si>
    <t>alp_marca_alcance_jovem_instagram_social_stories_social_buff-moster_all_cpm_de-11s-ate-29s_111316</t>
  </si>
  <si>
    <t>250441999</t>
  </si>
  <si>
    <t>446561216</t>
  </si>
  <si>
    <t>alp_marca_alcance_todos_instagram_social_pagepost_social_hype-wsl_all_cpm_1080x1080_111250</t>
  </si>
  <si>
    <t>249646258</t>
  </si>
  <si>
    <t>445740333</t>
  </si>
  <si>
    <t>alp_marca_alcance_todos_instagram_social_stories_social_havaianas-ipe_all_cpm_de-11s-ate-29s_111223</t>
  </si>
  <si>
    <t>248790550</t>
  </si>
  <si>
    <t>445056386</t>
  </si>
  <si>
    <t>alp_marca_alcance_todos_instagram_social_stories_social_hype-wsl_all_cpm_de-5s-ate-10s_111249</t>
  </si>
  <si>
    <t>249646264</t>
  </si>
  <si>
    <t>445740339</t>
  </si>
  <si>
    <t>alp_marca_conversao_todos_instagram_social_stories_social_sao-joao_all_cpm_de-11s-ate-29s_111230</t>
  </si>
  <si>
    <t>250249900</t>
  </si>
  <si>
    <t>446489548</t>
  </si>
  <si>
    <t>LoganMedia</t>
  </si>
  <si>
    <t>alp_marca_alcance_jovem_logan_video_pre-roll_ros_toy-story_all_fixo_de-5s-ate-10s_111237</t>
  </si>
  <si>
    <t>249420478</t>
  </si>
  <si>
    <t>445573137</t>
  </si>
  <si>
    <t>alp_marca_engajamentos_jovem_mtv_display_header-mobile_ros_slim-hits_all_cpm_320x50_111222</t>
  </si>
  <si>
    <t>248582888</t>
  </si>
  <si>
    <t>445055795</t>
  </si>
  <si>
    <t>alp_marca_engajamentos_jovem_mtv_display_retangulo_ros_slim-hits_all_cpm_300x250_111219</t>
  </si>
  <si>
    <t>248915829</t>
  </si>
  <si>
    <t>444931185</t>
  </si>
  <si>
    <t>alp_marca_engajamentos_jovem_mtv_display_superbanner_ros_slim-hits-vma_all_cpm_728x90_111305</t>
  </si>
  <si>
    <t>250299088</t>
  </si>
  <si>
    <t>446519953</t>
  </si>
  <si>
    <t>alp_marca_engajamentos_jovem_mtv_display_superbanner_ros_slim-hits_all_cpm_728x90_111220</t>
  </si>
  <si>
    <t>248515058</t>
  </si>
  <si>
    <t>444998387</t>
  </si>
  <si>
    <t>Marie Claire (Brazil)</t>
  </si>
  <si>
    <t>alp_marca_alcance_jovem_omelete_display_inread-video_ros_stranger-things_all_cpm_acima-de-30s_111289</t>
  </si>
  <si>
    <t>250093717</t>
  </si>
  <si>
    <t>446212634</t>
  </si>
  <si>
    <t>alp_marca_alcance_jovem_omelete_video_inread-video_ros_toy-story_all_fixo_de-5s-ate-10s_111242</t>
  </si>
  <si>
    <t>249420487</t>
  </si>
  <si>
    <t>445573146</t>
  </si>
  <si>
    <t>alp_marca_alcance_jovem_pipocando_conteudo-veiculo_video-ytb_social_toy-story_all_fixo_no-size_111232</t>
  </si>
  <si>
    <t>249203219</t>
  </si>
  <si>
    <t>445681967</t>
  </si>
  <si>
    <t>alp_marca_engajamentos_feminino_steal-the-look_conteudo-veiculo_publieditorial_ros_rasteiras-you_all_cpm_no-size_111278</t>
  </si>
  <si>
    <t>249792011</t>
  </si>
  <si>
    <t>446267440</t>
  </si>
  <si>
    <t>alp_marca_engajamentos_feminino_steal-the-look_conteudo-veiculo_publieditorial_ros_rasteiras-you_all_cpm_no-size_111279</t>
  </si>
  <si>
    <t>249792014</t>
  </si>
  <si>
    <t>446267443</t>
  </si>
  <si>
    <t>alp_marca_engajamentos_feminino_steal-the-look_conteudo-veiculo_publieditorial_ros_rasteiras-you_all_cpm_no-size_111280</t>
  </si>
  <si>
    <t>249792017</t>
  </si>
  <si>
    <t>446267446</t>
  </si>
  <si>
    <t>alp_marca_engajamentos_feminino_steal-the-look_conteudo-veiculo_publieditorial_ros_rasteiras-you_all_cpm_no-size_111281</t>
  </si>
  <si>
    <t>249792020</t>
  </si>
  <si>
    <t>446267449</t>
  </si>
  <si>
    <t>alp_marca_engajamentos_feminino_steal-the-look_conteudo-veiculo_publieditorial_ros_rasteiras-you_all_cpm_no-size_111282</t>
  </si>
  <si>
    <t>249792023</t>
  </si>
  <si>
    <t>446267452</t>
  </si>
  <si>
    <t>alp_marca_engajamentos_feminino_steal-the-look_conteudo-veiculo_publieditorial_ros_rasteiras-you_all_cpm_no-size_111283</t>
  </si>
  <si>
    <t>249792026</t>
  </si>
  <si>
    <t>446267455</t>
  </si>
  <si>
    <t>alp_marca_engajamentos_feminino_steal-the-look_conteudo-veiculo_publieditorial_ros_rasteiras-you_all_cpm_no-size_111285</t>
  </si>
  <si>
    <t>249792032</t>
  </si>
  <si>
    <t>446267461</t>
  </si>
  <si>
    <t>alp_marca_engajamentos_feminino_steal-the-look_conteudo-veiculo_publieditorial_ros_rasteiras-you_all_cpm_no-size_111286</t>
  </si>
  <si>
    <t>249792035</t>
  </si>
  <si>
    <t>446267464</t>
  </si>
  <si>
    <t>alp_marca_engajamentos_feminino_steal-the-look_conteudo-veiculo_publieditorial_ros_rasteiras-you_all_cpm_no-size_111287</t>
  </si>
  <si>
    <t>249792038</t>
  </si>
  <si>
    <t>446267467</t>
  </si>
  <si>
    <t>Sua musica</t>
  </si>
  <si>
    <t>alp_marca_alcance_todos_sua-musica_display_diaria-bg_home_sao-joao_all_cpm_1900x1020_111276</t>
  </si>
  <si>
    <t>249903469</t>
  </si>
  <si>
    <t>446129080</t>
  </si>
  <si>
    <t>alp_marca_alcance_todos_sua-musica_display_interstitial-mobile_ros_sao-joao_all_cpm_320x480_111221</t>
  </si>
  <si>
    <t>248521784</t>
  </si>
  <si>
    <t>444923805</t>
  </si>
  <si>
    <t>alp_marca_alcance_todos_sua-musica_social_stories-suamusica_social_sao-joao_all_cpm_de-11s-ate-29s_111227</t>
  </si>
  <si>
    <t>249143647</t>
  </si>
  <si>
    <t>445312272</t>
  </si>
  <si>
    <t>adorocinema.com</t>
  </si>
  <si>
    <t>alp_marca_alcance_jovem_adoro-cinema_display_half-page-expand_ros_toy-story_all_fixo_de-5s-ate-10s_111236</t>
  </si>
  <si>
    <t>249420481</t>
  </si>
  <si>
    <t>445573140</t>
  </si>
  <si>
    <t>alp_marca_alcance_jovem_adoro-cinema_display_maxi-wallpaper_ros_toy-story_all_fixo_de-5s-ate-10s_111235</t>
  </si>
  <si>
    <t>249420484</t>
  </si>
  <si>
    <t>445573143</t>
  </si>
  <si>
    <t>eco21.com.br</t>
  </si>
  <si>
    <t>alp_marca_alcance_todos_eco-21_social_banner_social_havaianas-ipe_all_cpm_840x90_111215</t>
  </si>
  <si>
    <t>248835540</t>
  </si>
  <si>
    <t>444932645</t>
  </si>
  <si>
    <t>envolverde.com.br</t>
  </si>
  <si>
    <t>alp_marca_alcance_todos_envolverde_social_retangulo_social_havaianas-ipe_all_cpm_300x250_111214</t>
  </si>
  <si>
    <t>248672707</t>
  </si>
  <si>
    <t>444932624</t>
  </si>
  <si>
    <t>alp_marca_alcance_feminino_facebook_social_pagepost_social_rasteiras_all_cpm_1080x1080_111228</t>
  </si>
  <si>
    <t>249100214</t>
  </si>
  <si>
    <t>445480692</t>
  </si>
  <si>
    <t>alp_marca_alcance_feminino_facebook_social_pagepost_social_rasteiras_all_cpm_1080x1080_111229</t>
  </si>
  <si>
    <t>249327664</t>
  </si>
  <si>
    <t>445628959</t>
  </si>
  <si>
    <t>alp_marca_alcance_feminino_facebook_social_video-social_social_artistas-barbara_all_cpm_de-11s-ate-29s_111225</t>
  </si>
  <si>
    <t>249213027</t>
  </si>
  <si>
    <t>445223955</t>
  </si>
  <si>
    <t>alp_marca_alcance_jovem_facebook_social_pagepost_social_stranger-things_all_cpm_1080x1080_111273</t>
  </si>
  <si>
    <t>249415859</t>
  </si>
  <si>
    <t>445774851</t>
  </si>
  <si>
    <t>alp_marca_alcance_jovem_facebook_social_pagepost_social_stranger-things_all_cpm_1080x1080_111274</t>
  </si>
  <si>
    <t>249673873</t>
  </si>
  <si>
    <t>445775310</t>
  </si>
  <si>
    <t>alp_marca_alcance_jovem_facebook_social_pagepost_social_stranger-things_all_cpm_1080x1080_111275</t>
  </si>
  <si>
    <t>249673879</t>
  </si>
  <si>
    <t>alp_marca_alcance_jovem_facebook_pagepost_stranger-things_all_cpm_1080x1080_111275</t>
  </si>
  <si>
    <t>445775526</t>
  </si>
  <si>
    <t>alp_marca_alcance_jovem_facebook_social_pagepost_social_toy-story_all_cpm_1080x1080_111245</t>
  </si>
  <si>
    <t>249266750</t>
  </si>
  <si>
    <t>445737839</t>
  </si>
  <si>
    <t>alp_marca_alcance_jovem_facebook_social_video-social_social_stranger-things_all_cpm_acima-de-30s_111288</t>
  </si>
  <si>
    <t>249800777</t>
  </si>
  <si>
    <t>446208887</t>
  </si>
  <si>
    <t>alp_marca_alcance_jovem_facebook_social_video-social_social_toy-story_all_cpm_de-5s-ate-10s_111243</t>
  </si>
  <si>
    <t>249634866</t>
  </si>
  <si>
    <t>445798240</t>
  </si>
  <si>
    <t>alp_marca_alcance_jovem_facebook_social_video-social_social_toy-story_all_cpm_de-5s-ate-10s_111310</t>
  </si>
  <si>
    <t>250140110</t>
  </si>
  <si>
    <t>446558772</t>
  </si>
  <si>
    <t>alp_marca_alcance_masculino_facebook_social_carrossel_social_qualquer-joao_all_cpm_1080x1080_111210</t>
  </si>
  <si>
    <t>248427463</t>
  </si>
  <si>
    <t>444788611</t>
  </si>
  <si>
    <t>alp_marca_alcance_masculino_facebook_social_carrossel_social_qualquer-joao_all_cpm_1080x1080_111211</t>
  </si>
  <si>
    <t>248427454</t>
  </si>
  <si>
    <t>444788602</t>
  </si>
  <si>
    <t>alp_marca_alcance_masculino_facebook_social_carrossel_social_qualquer-joao_envolvimento-pagina_cpm_1080x1080_111210</t>
  </si>
  <si>
    <t>248427460</t>
  </si>
  <si>
    <t>444788608</t>
  </si>
  <si>
    <t>alp_marca_alcance_masculino_facebook_social_carrossel_social_qualquer-joao_viu-stories-cinderelo_cpm_1080x1080_111210</t>
  </si>
  <si>
    <t>248427457</t>
  </si>
  <si>
    <t>444788605</t>
  </si>
  <si>
    <t>alp_marca_alcance_masculino_facebook_social_carrossel_social_qualquer-joao_viu-stories-cinderelo_cpm_1080x1080_111211</t>
  </si>
  <si>
    <t>248427448</t>
  </si>
  <si>
    <t>444788596</t>
  </si>
  <si>
    <t>alp_marca_alcance_todos_facebook_social_video-social_social_havaianas-ipe_all_cpm_de-11s-ate-29s_111212</t>
  </si>
  <si>
    <t>248672104</t>
  </si>
  <si>
    <t>444990895</t>
  </si>
  <si>
    <t>alp_marca_conversao_todos_facebook_social_pagepost_social_sao-joao_all_cpm_1080x1080_111230</t>
  </si>
  <si>
    <t>249338383</t>
  </si>
  <si>
    <t>445637455</t>
  </si>
  <si>
    <t>alp_marca_engajamentos_masculino_facebook_social_dark-post_social_havaianas-urban_moda_cpm_1080x1080_111248-joao_all_cpm_de-5s-ate-10s_111247</t>
  </si>
  <si>
    <t>249586960</t>
  </si>
  <si>
    <t>alp_marca_engajamentos_masculino_facebook_social_dark-post_social_havaianas-urban_moda_cpm_1080x1080_111248</t>
  </si>
  <si>
    <t>445854028</t>
  </si>
  <si>
    <t>alp_marca_trafego_todos_facebook_social_pagepost_social_sao-joao_all_cpm_1200x628_111221</t>
  </si>
  <si>
    <t>248807285</t>
  </si>
  <si>
    <t>445201299</t>
  </si>
  <si>
    <t>alp_marca_engajamentos_jovem_jovem-nerd_conteudo-veiculo_video-social_youtube_stranger-things_all_fixo_acima-de-30s_111311</t>
  </si>
  <si>
    <t>250442014</t>
  </si>
  <si>
    <t>446561231</t>
  </si>
  <si>
    <t>alp_marca_alcance_masculino_papo-de-homem_display_billboard_ros_havaianas-urban_all_cpm_970x250_111207</t>
  </si>
  <si>
    <t>248234589</t>
  </si>
  <si>
    <t>444466786</t>
  </si>
  <si>
    <t>alp_marca_alcance_masculino_papo-de-homem_display_retangulo_ros_havaianas-urban_all_cpm_300x250_111207</t>
  </si>
  <si>
    <t>248233251</t>
  </si>
  <si>
    <t>444464740</t>
  </si>
  <si>
    <t>universa-uol_puig</t>
  </si>
  <si>
    <t>alp_marca_engajamentos_feminino_universa-uol_conteudo-veiculo_publieditorial_ros_rasteiras-you_all_cpm_no-size_111300</t>
  </si>
  <si>
    <t>250138990</t>
  </si>
  <si>
    <t>446267174</t>
  </si>
  <si>
    <t>Editora Globo</t>
  </si>
  <si>
    <t>alp_marca_alcance_feminino_editora-globo_display_retangulo_ros_rasteiras_fashion_cpm_300x250_111341</t>
  </si>
  <si>
    <t>251923660</t>
  </si>
  <si>
    <t>448013603</t>
  </si>
  <si>
    <t>alp_marca_alcance_feminino_editora-globo_display_retangulo_ros_rasteiras_funcional_cpm_300x250_111340</t>
  </si>
  <si>
    <t>251617343</t>
  </si>
  <si>
    <t>448013573</t>
  </si>
  <si>
    <t>alp_marca_alcance_feminino_editora-globo_display_superbanner_ros_rasteiras_fashion_cpm_728x90_111341</t>
  </si>
  <si>
    <t>252022254</t>
  </si>
  <si>
    <t>448014857</t>
  </si>
  <si>
    <t>alp_marca_alcance_feminino_editora-globo_display_superbanner_ros_rasteiras_funcional_cpm_728x90_111340</t>
  </si>
  <si>
    <t>251942962</t>
  </si>
  <si>
    <t>448013588</t>
  </si>
  <si>
    <t>alp_marca_alcance_jovem_flix-media_display_retangulo-cineclick_ros_rei-leao_all_fixo_300x250_111344</t>
  </si>
  <si>
    <t>251722911</t>
  </si>
  <si>
    <t>447647799</t>
  </si>
  <si>
    <t>alp_marca_alcance_jovem_flix-media_display_retangulo-cinemark_ros_rei-leao_all_fixo_300x250_111344</t>
  </si>
  <si>
    <t>251723094</t>
  </si>
  <si>
    <t>447699821</t>
  </si>
  <si>
    <t>alp_marca_alcance_jovem_flix-media_display_retangulo-cinepolis_ros_rei-leao_all_fixo_300x250_111344</t>
  </si>
  <si>
    <t>251721657</t>
  </si>
  <si>
    <t>447647634</t>
  </si>
  <si>
    <t>alp_marca_alcance_jovem_flix-media_display_retangulo-cinesystem_ros_rei-leao_all_fixo_300x250_111344</t>
  </si>
  <si>
    <t>251293541</t>
  </si>
  <si>
    <t>447785431</t>
  </si>
  <si>
    <t>alp_marca_alcance_jovem_flix-media_display_retangulo-ingressocom_ros_rei-leao_all_fixo_300x250_111344</t>
  </si>
  <si>
    <t>251723427</t>
  </si>
  <si>
    <t>447647796</t>
  </si>
  <si>
    <t>alp_marca_alcance_jovem_flix-media_display_superbanner-cineclick_ros_rei-leao_all_fixo_728x90_111345</t>
  </si>
  <si>
    <t>251293490</t>
  </si>
  <si>
    <t>447777193</t>
  </si>
  <si>
    <t>alp_marca_alcance_jovem_flix-media_display_superbanner-cinemark_ros_rei-leao_all_fixo_728x90_111345</t>
  </si>
  <si>
    <t>251722629</t>
  </si>
  <si>
    <t>447787393</t>
  </si>
  <si>
    <t>alp_marca_alcance_jovem_flix-media_display_superbanner-cinepolis_ros_rei-leao_all_fixo_728x90_111345</t>
  </si>
  <si>
    <t>251298485</t>
  </si>
  <si>
    <t>447785461</t>
  </si>
  <si>
    <t>alp_marca_alcance_jovem_flix-media_display_superbanner-cinesystem_ros_rei-leao_all_fixo_728x90_111345</t>
  </si>
  <si>
    <t>251717361</t>
  </si>
  <si>
    <t>447780430</t>
  </si>
  <si>
    <t>alp_marca_alcance_jovem_flix-media_display_superbanner-ingressocom_ros_rei-leao_all_fixo_728x90_111345</t>
  </si>
  <si>
    <t>251694786</t>
  </si>
  <si>
    <t>447685718</t>
  </si>
  <si>
    <t>alp_marca_alcance_jovem_flix-media_display_superbanner-kinoplex_ros_rei-leao_all_fixo_728x90_111345</t>
  </si>
  <si>
    <t>251601343</t>
  </si>
  <si>
    <t>447780358</t>
  </si>
  <si>
    <t>alp_marca_alcance_jovem_instagram_social_stories_social_rei-leao_all_cpm_de-5s-ate-10s_111343</t>
  </si>
  <si>
    <t>251298464</t>
  </si>
  <si>
    <t>447785986</t>
  </si>
  <si>
    <t>alp_marca_alcance_jovem_instagram_social_stories_social_stranger-things_all_cpm_de-11s-ate-29s_111319</t>
  </si>
  <si>
    <t>250660887</t>
  </si>
  <si>
    <t>446775331</t>
  </si>
  <si>
    <t>alp_marca_alcance_masculino_instagram_social_pagepost_social_havaianas-urban-rubinho_all_cpm_1080x1080_111331</t>
  </si>
  <si>
    <t>251320189</t>
  </si>
  <si>
    <t>447398568</t>
  </si>
  <si>
    <t>alp_marca_alcance_masculino_instagram_social_stories_social_havaianas-urban-rubinho_all_cpm_de-5s-ate-10s_111330</t>
  </si>
  <si>
    <t>251320150</t>
  </si>
  <si>
    <t>447520354</t>
  </si>
  <si>
    <t>alp_marca_engajamentos_jovem_mtv_display_header-mobile_ros_slim-hits-vma_all_cpm_320x50_111306</t>
  </si>
  <si>
    <t>250299607</t>
  </si>
  <si>
    <t>446459630</t>
  </si>
  <si>
    <t>alp_marca_engajamentos_jovem_mtv_display_logo_ros_logo-vma_all_cpm_no-size_111308</t>
  </si>
  <si>
    <t>249991874</t>
  </si>
  <si>
    <t>446368266</t>
  </si>
  <si>
    <t>alp_marca_engajamentos_jovem_mtv_display_retangulo_ros_slim-hits-vma_all_cpm_300x250_111304</t>
  </si>
  <si>
    <t>250394535</t>
  </si>
  <si>
    <t>446519932</t>
  </si>
  <si>
    <t>alp_marca_engajamentos_jovem_mtv_influenciador_stories-jonathan-neguebites_social_havaianas-top-max_all_fixo_de-11s-ate-29s_111327</t>
  </si>
  <si>
    <t>250818865</t>
  </si>
  <si>
    <t>447013237</t>
  </si>
  <si>
    <t>alp_marca_engajamentos_jovem_mtv_influenciador_stories-karolconka_social_rasteiras-you_all_fixo_de-11s-ate-29s_111326</t>
  </si>
  <si>
    <t>250898058</t>
  </si>
  <si>
    <t>alp_marca_engajamentos_jovem_mtv_stories-karolconka_rasteiras-you_all_fixo_de-11s-ate-29s_111326</t>
  </si>
  <si>
    <t>446926007</t>
  </si>
  <si>
    <t>alp_marca_engajamentos_jovem_mtv_influenciador_stories-sabrinasato_social_slim-hits_all_fixo_de-11s-ate-29s_111325</t>
  </si>
  <si>
    <t>250818304</t>
  </si>
  <si>
    <t>446926763</t>
  </si>
  <si>
    <t>alp_marca_engajamentos_jovem_mtv_video_pre-roll_ros_hype-vma_all_cpm_de-11s-ate-29s_111309</t>
  </si>
  <si>
    <t>249995243</t>
  </si>
  <si>
    <t>446428979</t>
  </si>
  <si>
    <t>alp_marca_engajamentos_jovem_mtv_video_pre-roll_ros_slim-hibisco-vma_all_cpm_de-11s-ate-29s_111307</t>
  </si>
  <si>
    <t>249992882</t>
  </si>
  <si>
    <t>446368218</t>
  </si>
  <si>
    <t>alp_marca_alcance_feminino_marie-claire_display_billboard_ros_rasteiras_fashion_cpm_970x250_111341</t>
  </si>
  <si>
    <t>251705546</t>
  </si>
  <si>
    <t>448030590</t>
  </si>
  <si>
    <t>alp_marca_alcance_feminino_marie-claire_display_billboard_ros_rasteiras_funcional_cpm_970x250_111340</t>
  </si>
  <si>
    <t>252109170</t>
  </si>
  <si>
    <t>448044843</t>
  </si>
  <si>
    <t>alp_marca_alcance_feminino_marie-claire_display_half-page_ros_rasteiras_fashion_cpm_300x600_111341</t>
  </si>
  <si>
    <t>251713850</t>
  </si>
  <si>
    <t>448102064</t>
  </si>
  <si>
    <t>alp_marca_alcance_feminino_marie-claire_display_half-page_ros_rasteiras_funcional_cpm_300x600_111340</t>
  </si>
  <si>
    <t>252038203</t>
  </si>
  <si>
    <t>448183864</t>
  </si>
  <si>
    <t>alp_marca_alcance_feminino_marie-claire_display_retangulo_ros_rasteiras_fashion_cpm_300x250_111341</t>
  </si>
  <si>
    <t>252108897</t>
  </si>
  <si>
    <t>448185619</t>
  </si>
  <si>
    <t>alp_marca_alcance_feminino_marie-claire_display_retangulo_ros_rasteiras_funcional_cpm_300x250_111340</t>
  </si>
  <si>
    <t>252038179</t>
  </si>
  <si>
    <t>448100054</t>
  </si>
  <si>
    <t>alp_marca_alcance_feminino_marie-claire_display_superbanner_ros_rasteiras_fashion_cpm_728x90_111341</t>
  </si>
  <si>
    <t>252038263</t>
  </si>
  <si>
    <t>448102070</t>
  </si>
  <si>
    <t>alp_marca_alcance_feminino_marie-claire_display_superbanner_ros_rasteiras_funcional_cpm_728x90_111340</t>
  </si>
  <si>
    <t>251713829</t>
  </si>
  <si>
    <t>448044489</t>
  </si>
  <si>
    <t>alp_marca_alcance_feminino_oath-verizon_display_arranha-ceu_ros_rasteiras_fashion_cpm_160x600_111341</t>
  </si>
  <si>
    <t>251525998</t>
  </si>
  <si>
    <t>alp_marca_alcance_feminino_oath-verizon_display_arranha-ceu_ros_rasteiras_funcional_cpm_160x600_111340</t>
  </si>
  <si>
    <t>251622879</t>
  </si>
  <si>
    <t>447709207</t>
  </si>
  <si>
    <t>alp_marca_alcance_feminino_oath-verizon_display_banner_ros_rasteiras_fashion_cpm_468x60_111341</t>
  </si>
  <si>
    <t>251527363</t>
  </si>
  <si>
    <t>447711241</t>
  </si>
  <si>
    <t>alp_marca_alcance_feminino_oath-verizon_display_banner_ros_rasteiras_funcional_cpm_468x60_111340</t>
  </si>
  <si>
    <t>251625366</t>
  </si>
  <si>
    <t>447710446</t>
  </si>
  <si>
    <t>alp_marca_alcance_feminino_oath-verizon_display_billboard_ros_rasteiras_fashion_cpm_970x250_111341</t>
  </si>
  <si>
    <t>251230706</t>
  </si>
  <si>
    <t>447627221</t>
  </si>
  <si>
    <t>alp_marca_alcance_feminino_oath-verizon_display_billboard_ros_rasteiras_funcional_cpm_970x250_111340</t>
  </si>
  <si>
    <t>251625105</t>
  </si>
  <si>
    <t>447711070</t>
  </si>
  <si>
    <t>alp_marca_alcance_feminino_oath-verizon_display_half-page_ros_rasteiras_fashion_cpm_300x600_111341</t>
  </si>
  <si>
    <t>251527147</t>
  </si>
  <si>
    <t>447625571</t>
  </si>
  <si>
    <t>alp_marca_alcance_feminino_oath-verizon_display_half-page_ros_rasteiras_funcional_cpm_300x600_111340</t>
  </si>
  <si>
    <t>251625273</t>
  </si>
  <si>
    <t>447709690</t>
  </si>
  <si>
    <t>alp_marca_alcance_feminino_oath-verizon_display_header-mobile_ros_rasteiras_fashion_cpm_320x50_111341</t>
  </si>
  <si>
    <t>251229551</t>
  </si>
  <si>
    <t>447710638</t>
  </si>
  <si>
    <t>alp_marca_alcance_feminino_oath-verizon_display_header-mobile_ros_rasteiras_funcional_cpm_320x50_111340</t>
  </si>
  <si>
    <t>251524300</t>
  </si>
  <si>
    <t>447708541</t>
  </si>
  <si>
    <t>alp_marca_alcance_feminino_oath-verizon_display_quadrado-pequeno_ros_rasteiras_fashion_cpm_200x200_111341</t>
  </si>
  <si>
    <t>251229083</t>
  </si>
  <si>
    <t>447625487</t>
  </si>
  <si>
    <t>alp_marca_alcance_feminino_oath-verizon_display_quadrado-pequeno_ros_rasteiras_funcional_cpm_200x200_111340</t>
  </si>
  <si>
    <t>251523709</t>
  </si>
  <si>
    <t>447708427</t>
  </si>
  <si>
    <t>alp_marca_alcance_feminino_oath-verizon_display_quadrado_ros_rasteiras_fashion_cpm_250x250_111341</t>
  </si>
  <si>
    <t>251526604</t>
  </si>
  <si>
    <t>alp_marca_alcance_feminino_oath-verizon_display_quadrado_ros_rasteiras_funcional_cpm_250x250_111340</t>
  </si>
  <si>
    <t>251524159</t>
  </si>
  <si>
    <t>447577809</t>
  </si>
  <si>
    <t>alp_marca_alcance_feminino_oath-verizon_display_retangulo-grande_ros_rasteiras_fashion_cpm_336x280_111341</t>
  </si>
  <si>
    <t>251229647</t>
  </si>
  <si>
    <t>447712489</t>
  </si>
  <si>
    <t>alp_marca_alcance_feminino_oath-verizon_display_retangulo-grande_ros_rasteiras_funcional_cpm_336x280_111340</t>
  </si>
  <si>
    <t>251624976</t>
  </si>
  <si>
    <t>alp_marca_alcance_feminino_oath-verizon_display_retangulo_ros_rasteiras_fashion_cpm_300x250_111341</t>
  </si>
  <si>
    <t>251526127</t>
  </si>
  <si>
    <t>447709948</t>
  </si>
  <si>
    <t>alp_marca_alcance_feminino_oath-verizon_display_retangulo_ros_rasteiras_funcional_cpm_300x250_111340</t>
  </si>
  <si>
    <t>251621979</t>
  </si>
  <si>
    <t>447710785</t>
  </si>
  <si>
    <t>alp_marca_alcance_feminino_oath-verizon_display_super-leaderboard_ros_rasteiras_fashion_cpm_970x90_111341</t>
  </si>
  <si>
    <t>251627298</t>
  </si>
  <si>
    <t>alp_marca_alcance_feminino_oath-verizon_display_super-leaderboard_ros_rasteiras_funcional_cpm_970x90_111340</t>
  </si>
  <si>
    <t>251625678</t>
  </si>
  <si>
    <t>447709858</t>
  </si>
  <si>
    <t>alp_marca_alcance_feminino_oath-verizon_display_superbanner_ros_rasteiras_fashion_cpm_728x90_111341</t>
  </si>
  <si>
    <t>251527402</t>
  </si>
  <si>
    <t>447711490</t>
  </si>
  <si>
    <t>alp_marca_alcance_feminino_oath-verizon_display_superbanner_ros_rasteiras_funcional_cpm_728x90_111340</t>
  </si>
  <si>
    <t>251524372</t>
  </si>
  <si>
    <t>447710992</t>
  </si>
  <si>
    <t>alp_marca_alcance_feminino_oath-verizon_display_superheader-mobile_ros_rasteiras_fashion_cpm_320x100_111341</t>
  </si>
  <si>
    <t>251527273</t>
  </si>
  <si>
    <t>alp_marca_alcance_feminino_oath-verizon_display_superheader-mobile_ros_rasteiras_funcional_cpm_320x100_111340</t>
  </si>
  <si>
    <t>251625333</t>
  </si>
  <si>
    <t>447710392</t>
  </si>
  <si>
    <t>alp_marca_alcance_masculino_oath-verizon_video_video_ros_havaianas-urban-rubinho_all_cpm_de-11s-ate-29s_111333</t>
  </si>
  <si>
    <t>251320243</t>
  </si>
  <si>
    <t>447398574</t>
  </si>
  <si>
    <t>alp_marca_alcance_jovem_omelete_display_half-page_ros_stranger-things_all_cpm_300x600_111320</t>
  </si>
  <si>
    <t>250660884</t>
  </si>
  <si>
    <t>446775328</t>
  </si>
  <si>
    <t>alp_marca_alcance_jovem_omelete_display_header-mobile_ros_stranger-things_all_cpm_320x50_111321</t>
  </si>
  <si>
    <t>250660881</t>
  </si>
  <si>
    <t>446775325</t>
  </si>
  <si>
    <t>alp_marca_alcance_jovem_omelete_display_retangulo_ros_got_all_fixo_300x250_111154</t>
  </si>
  <si>
    <t>245972916</t>
  </si>
  <si>
    <t>442369679</t>
  </si>
  <si>
    <t>alp_marca_engajamentos_masculino_outbrain_native_native-ads_ros_masculino-cinderello_all_cpm_no-size_111143</t>
  </si>
  <si>
    <t>244289813</t>
  </si>
  <si>
    <t>441119934</t>
  </si>
  <si>
    <t>alp_marca_alcance_feminino_steal-the-look_display_diaria-bg_home_rasteiras-you_all_cpm_1900x1020_111349</t>
  </si>
  <si>
    <t>252094675</t>
  </si>
  <si>
    <t>448096674</t>
  </si>
  <si>
    <t>alp_marca_engajamentos_feminino_steal-the-look_conteudo-veiculo_publieditorial_ros_rasteiras-you_all_cpm_no-size_111354</t>
  </si>
  <si>
    <t>252202933</t>
  </si>
  <si>
    <t>448198305</t>
  </si>
  <si>
    <t>alp_marca_engajamentos_feminino_steal-the-look_conteudo-veiculo_publieditorial_ros_rasteiras-you_all_cpm_no-size_111355</t>
  </si>
  <si>
    <t>251870939</t>
  </si>
  <si>
    <t>448251389</t>
  </si>
  <si>
    <t>alp_marca_alcance_jovem_adoro-cinema_display_half-page-expand_ros_rei-leao_all_fixo_de-5s-ate-10s_111347</t>
  </si>
  <si>
    <t>251609371</t>
  </si>
  <si>
    <t>447776953</t>
  </si>
  <si>
    <t>alp_marca_alcance_jovem_adoro-cinema_display_maxi-wallpaper_ros_rei-leao_all_fixo_de-5s-ate-10s_111346</t>
  </si>
  <si>
    <t>251604283</t>
  </si>
  <si>
    <t>447638973</t>
  </si>
  <si>
    <t>alp_marca_alcance_feminino_facebook_social_pagepost_social_havaianas-shooting-bienal_all_cpm_1080x1080_111356</t>
  </si>
  <si>
    <t>251873027</t>
  </si>
  <si>
    <t>448202253</t>
  </si>
  <si>
    <t>alp_marca_alcance_feminino_facebook_social_pagepost_social_havaianas-shooting-bienal_all_cpm_1080x1080_111357</t>
  </si>
  <si>
    <t>252284052</t>
  </si>
  <si>
    <t>448340077</t>
  </si>
  <si>
    <t>alp_marca_alcance_jovem_facebook_social_dark-post_social_got_all_cpm_1080x1080_111122</t>
  </si>
  <si>
    <t>243290136</t>
  </si>
  <si>
    <t>439764581</t>
  </si>
  <si>
    <t>alp_marca_alcance_jovem_facebook_social_dark-post_social_got_all_cpm_1080x1080_111136</t>
  </si>
  <si>
    <t>244294036</t>
  </si>
  <si>
    <t>441044553</t>
  </si>
  <si>
    <t>alp_marca_alcance_jovem_facebook_social_dark-post_social_got_all_cpm_1080x1080_111137</t>
  </si>
  <si>
    <t>244529484</t>
  </si>
  <si>
    <t>441159217</t>
  </si>
  <si>
    <t>alp_marca_alcance_jovem_facebook_social_dark-post_social_la-casa-de-papel_all_cpm_1080x1080_111352</t>
  </si>
  <si>
    <t>251858638</t>
  </si>
  <si>
    <t>447930218</t>
  </si>
  <si>
    <t>alp_marca_alcance_jovem_facebook_social_dark-post_social_la-casa-de-papel_all_cpm_1080x1080_111353</t>
  </si>
  <si>
    <t>251856574</t>
  </si>
  <si>
    <t>448027624</t>
  </si>
  <si>
    <t>alp_marca_alcance_jovem_facebook_social_video-social_social_buff-moster_all_cpm_de-11s-ate-29s_111351</t>
  </si>
  <si>
    <t>251458466</t>
  </si>
  <si>
    <t>447788730</t>
  </si>
  <si>
    <t>alp_marca_alcance_jovem_facebook_social_video-social_social_rei-leao_all_cpm_de-5s-ate-10s_111342</t>
  </si>
  <si>
    <t>251703600</t>
  </si>
  <si>
    <t>447785983</t>
  </si>
  <si>
    <t>alp_marca_alcance_jovem_facebook_social_video-social_social_stranger-things_all_cpm_de-11s-ate-29s_111317</t>
  </si>
  <si>
    <t>250660893</t>
  </si>
  <si>
    <t>446775337</t>
  </si>
  <si>
    <t>alp_marca_alcance_jovem_facebook_social_video-social_social_stranger-things_all_cpm_de-11s-ate-29s_111318</t>
  </si>
  <si>
    <t>250660890</t>
  </si>
  <si>
    <t>446775334</t>
  </si>
  <si>
    <t>alp_marca_alcance_masculino_facebook_social_carrossel_social_havaianas-urban-dia-pais_all_cpm_1080x1080_111360</t>
  </si>
  <si>
    <t>252404155</t>
  </si>
  <si>
    <t>448436609</t>
  </si>
  <si>
    <t>alp_marca_alcance_masculino_facebook_social_pagepost_social_havaianas-urban-dia-pais-store-visit_all_cpm_1080x1080_111361</t>
  </si>
  <si>
    <t>252404179</t>
  </si>
  <si>
    <t>448434623</t>
  </si>
  <si>
    <t>alp_marca_alcance_masculino_facebook_social_pagepost_social_havaianas-urban-dia-pais_all_cpm_1080x1080_111359</t>
  </si>
  <si>
    <t>252404788</t>
  </si>
  <si>
    <t>448436600</t>
  </si>
  <si>
    <t>alp_marca_alcance_masculino_facebook_social_pagepost_social_havaianas-urban-rubinho_all_cpm_1080x1080_111331</t>
  </si>
  <si>
    <t>251034425</t>
  </si>
  <si>
    <t>447459188</t>
  </si>
  <si>
    <t>alp_marca_alcance_masculino_facebook_social_stories_social_havaianas-rubinho-criacao-fb-relaxa_all_cpm_de-11s-ate-29s_111362</t>
  </si>
  <si>
    <t>252073241</t>
  </si>
  <si>
    <t>448391832</t>
  </si>
  <si>
    <t>alp_marca_alcance_masculino_facebook_social_stories_social_havaianas-rubinho-criacao-fb_all_cpm_de-11s-ate-29s_111358</t>
  </si>
  <si>
    <t>252400696</t>
  </si>
  <si>
    <t>448505326</t>
  </si>
  <si>
    <t>alp_marca_alcance_masculino_facebook_social_video-social_social_havaianas-urban-rubinho_all_cpm_de-11s-ate-29s_111332</t>
  </si>
  <si>
    <t>251020964</t>
  </si>
  <si>
    <t>447523264</t>
  </si>
  <si>
    <t>alp_marca_alcance_masculino_facebook_social_video-social_social_havaianas-urban-rubinho_all_cpm_de-11s-ate-29s_111342</t>
  </si>
  <si>
    <t>251626715</t>
  </si>
  <si>
    <t>448019633</t>
  </si>
  <si>
    <t>alp_marca_alcance_masculino_facebook_social_video-social_social_havaianas-urban-rubinho_all_cpm_de-11s-ate-29s_111343</t>
  </si>
  <si>
    <t>251953726</t>
  </si>
  <si>
    <t>448018391</t>
  </si>
  <si>
    <t>alp_marca_alcance_masculino_facebook_social_video-social_social_havaianas-urban-rubinho_all_cpm_de-11s-ate-29s_111349</t>
  </si>
  <si>
    <t>251458439</t>
  </si>
  <si>
    <t>447939268</t>
  </si>
  <si>
    <t>alp_marca_alcance_masculino_facebook_social_video-social_social_havaianas-urban-rubinho_all_cpm_de-11s-ate-29s_111350</t>
  </si>
  <si>
    <t>251457926</t>
  </si>
  <si>
    <t>447940573</t>
  </si>
  <si>
    <t>alp_marca_engajamentos_feminino_facebook_social_dark-post_social_rasteiras_fashion_cpm_1080x1080_111337</t>
  </si>
  <si>
    <t>251079884</t>
  </si>
  <si>
    <t>447454932</t>
  </si>
  <si>
    <t>alp_marca_engajamentos_feminino_facebook_social_dark-post_social_rasteiras_fashion_cpm_1200x628_111339</t>
  </si>
  <si>
    <t>251373616</t>
  </si>
  <si>
    <t>447455262</t>
  </si>
  <si>
    <t>alp_marca_engajamentos_feminino_facebook_social_dark-post_social_rasteiras_fashion_cpm_500x500_111338</t>
  </si>
  <si>
    <t>251375338</t>
  </si>
  <si>
    <t>447586543</t>
  </si>
  <si>
    <t>alp_marca_engajamentos_feminino_facebook_social_dark-post_social_rasteiras_funcional_cpm_1080x1080_111334</t>
  </si>
  <si>
    <t>251079740</t>
  </si>
  <si>
    <t>447455193</t>
  </si>
  <si>
    <t>alp_marca_engajamentos_feminino_facebook_social_dark-post_social_rasteiras_funcional_cpm_1200x628_111336</t>
  </si>
  <si>
    <t>251476689</t>
  </si>
  <si>
    <t>447504758</t>
  </si>
  <si>
    <t>alp_marca_engajamentos_feminino_facebook_social_dark-post_social_rasteiras_funcional_cpm_500x500_111335</t>
  </si>
  <si>
    <t>251079758</t>
  </si>
  <si>
    <t>447455613</t>
  </si>
  <si>
    <t>alp_marca_engajamentos_masculino_facebook_social_dark-post_social_hype_sports_cpm_1080x1080_111348</t>
  </si>
  <si>
    <t>251697559</t>
  </si>
  <si>
    <t>447872983</t>
  </si>
  <si>
    <t>Disable_alp_marca_engajamentos_masculino_globo-esporte_display_billboard_ros_hype_all_cpm_970x250_111348</t>
  </si>
  <si>
    <t>252148830</t>
  </si>
  <si>
    <t>alp_marca_engajamentos_masculino_globo-esporte_display_billboard_ros_hype_all_cpm_970x250_111348</t>
  </si>
  <si>
    <t>448143782</t>
  </si>
  <si>
    <t>Disable_alp_marca_engajamentos_masculino_globo-esporte_display_maxiboard_ros_hype_all_cpm_970x150_111348</t>
  </si>
  <si>
    <t>252150357</t>
  </si>
  <si>
    <t>alp_marca_engajamentos_masculino_globo-esporte_display_maxiboard_ros_hype_all_cpm_970x150_111348</t>
  </si>
  <si>
    <t>448145243</t>
  </si>
  <si>
    <t>Disable_alp_marca_engajamentos_masculino_globo-esporte_display_retangulo_ros_hype_all_cpm_300x250_111348</t>
  </si>
  <si>
    <t>252088453</t>
  </si>
  <si>
    <t>alp_marca_engajamentos_masculino_globo-esporte_display_retangulo_ros_hype_all_cpm_300x250_111348</t>
  </si>
  <si>
    <t>448144328</t>
  </si>
  <si>
    <t>252119284</t>
  </si>
  <si>
    <t>448246708</t>
  </si>
  <si>
    <t>252179835</t>
  </si>
  <si>
    <t>448251334</t>
  </si>
  <si>
    <t>252119245</t>
  </si>
  <si>
    <t>448252102</t>
  </si>
  <si>
    <t>alp_marca_alcance_jovem_jovem-nerd_display_half-page_ros_got_all_cpm_300x600_111158</t>
  </si>
  <si>
    <t>245972907</t>
  </si>
  <si>
    <t>442369667</t>
  </si>
  <si>
    <t>alp_marca_alcance_jovem_jovem-nerd_display_half-page_ros_stranger-things_all_cpm_300x600_111324</t>
  </si>
  <si>
    <t>250660872</t>
  </si>
  <si>
    <t>446775316</t>
  </si>
  <si>
    <t>alp_marca_alcance_jovem_jovem-nerd_display_retangulo_ros_stranger-things_all_cpm_300x250_111322</t>
  </si>
  <si>
    <t>250660878</t>
  </si>
  <si>
    <t>446775322</t>
  </si>
  <si>
    <t>alp_marca_alcance_jovem_jovem-nerd_display_superbanner_ros_got_all_cpm_728x90_111159</t>
  </si>
  <si>
    <t>245972904</t>
  </si>
  <si>
    <t>alp_marca_alcance_jovem_jovem-nerd_display_superbanner_ros_stranger-things_all_cpm_728x90_111323</t>
  </si>
  <si>
    <t>250660875</t>
  </si>
  <si>
    <t>446775319</t>
  </si>
  <si>
    <t>alp_marca_alcance_feminino_universa-uol_display_billboard_ros_rasteiras_fashion_cpm_970x250_111341</t>
  </si>
  <si>
    <t>252033517</t>
  </si>
  <si>
    <t>448038642</t>
  </si>
  <si>
    <t>alp_marca_alcance_feminino_universa-uol_display_billboard_ros_rasteiras_funcional_cpm_970x250_111340</t>
  </si>
  <si>
    <t>252034573</t>
  </si>
  <si>
    <t>448036827</t>
  </si>
  <si>
    <t>alp_marca_alcance_feminino_universa-uol_display_half-page_ros_rasteiras_fashion_cpm_300x600_111341</t>
  </si>
  <si>
    <t>252033505</t>
  </si>
  <si>
    <t>448036851</t>
  </si>
  <si>
    <t>alp_marca_alcance_feminino_universa-uol_display_header-mobile_ros_rasteiras_fashion_cpm_320x50_111341</t>
  </si>
  <si>
    <t>252265371</t>
  </si>
  <si>
    <t>448238975</t>
  </si>
  <si>
    <t>alp_marca_alcance_feminino_universa-uol_display_retangulo_ros_rasteiras_fashion_cpm_300x250_111341</t>
  </si>
  <si>
    <t>252034849</t>
  </si>
  <si>
    <t>448038630</t>
  </si>
  <si>
    <t>alp_marca_alcance_feminino_universa-uol_display_retangulo_ros_rasteiras_funcional_cpm_300x250_111340</t>
  </si>
  <si>
    <t>251711111</t>
  </si>
  <si>
    <t>448038858</t>
  </si>
  <si>
    <t>alp_marca_alcance_feminino_universa-uol_display_superbanner_ros_rasteiras_fashion_cpm_728x90_111341</t>
  </si>
  <si>
    <t>252035758</t>
  </si>
  <si>
    <t>448092575</t>
  </si>
  <si>
    <t>alp_marca_alcance_feminino_universa-uol_display_superbanner_ros_rasteiras_funcional_cpm_728x90_111340</t>
  </si>
  <si>
    <t>251710241</t>
  </si>
  <si>
    <t>448092557</t>
  </si>
  <si>
    <t>alp_marca_alcance_feminino_universa-uol_display_superheader-mobile_ros_rasteiras_fashion_cpm_320x100_111341</t>
  </si>
  <si>
    <t>252177547</t>
  </si>
  <si>
    <t>448240193</t>
  </si>
  <si>
    <t>alp_marca_engajamentos_feminino_universa-uol_conteudo-veiculo_publieditorial_ros_rasteiras-you_all_cpm_no-size_111291</t>
  </si>
  <si>
    <t>250145917</t>
  </si>
  <si>
    <t>446267201</t>
  </si>
  <si>
    <t>alp_marca_engajamentos_feminino_universa-uol_conteudo-veiculo_publieditorial_ros_rasteiras-you_all_cpm_no-size_111298</t>
  </si>
  <si>
    <t>250145896</t>
  </si>
  <si>
    <t>446267180</t>
  </si>
  <si>
    <t>alp_marca_engajamentos_feminino_universa-uol_conteudo-veiculo_publieditorial_ros_rasteiras-you_all_cpm_no-size_111301</t>
  </si>
  <si>
    <t>250138987</t>
  </si>
  <si>
    <t>446267171</t>
  </si>
  <si>
    <t>alp_marca_engajamentos_feminino_universa-uol_conteudo-veiculo_publieditorial_ros_rasteiras-you_all_cpm_no-size_111303</t>
  </si>
  <si>
    <t>250138981</t>
  </si>
  <si>
    <t>446267165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</si>
</sst>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5">
    <xf numFmtId="0" fontId="0" fillId="0" borderId="0" xfId="0"/>
    <xf numFmtId="0" fontId="0" fillId="0" borderId="1" xfId="0" applyBorder="1"/>
    <xf numFmtId="2" fontId="0" fillId="0" borderId="0" xfId="0" applyNumberFormat="1"/>
    <xf numFmtId="44" fontId="0" fillId="0" borderId="0" xfId="1" applyFon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4" fontId="0" fillId="0" borderId="1" xfId="0" applyNumberFormat="1" applyBorder="1"/>
    <xf numFmtId="44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13</xdr:row>
          <xdr:rowOff>123825</xdr:rowOff>
        </xdr:from>
        <xdr:to>
          <xdr:col>2</xdr:col>
          <xdr:colOff>2286000</xdr:colOff>
          <xdr:row>14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13</xdr:row>
          <xdr:rowOff>114300</xdr:rowOff>
        </xdr:from>
        <xdr:to>
          <xdr:col>3</xdr:col>
          <xdr:colOff>2295525</xdr:colOff>
          <xdr:row>14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2161"/>
  <sheetViews>
    <sheetView showGridLines="0" tabSelected="1" workbookViewId="0">
      <selection activeCell="I7" sqref="I7"/>
    </sheetView>
  </sheetViews>
  <sheetFormatPr defaultRowHeight="15"/>
  <cols>
    <col min="1" max="1" width="2.85546875" customWidth="1"/>
    <col min="2" max="2" width="24.42578125" customWidth="1"/>
    <col min="3" max="3" width="29" customWidth="1"/>
    <col min="4" max="4" width="37.28515625" customWidth="1"/>
    <col min="5" max="5" width="18.7109375" customWidth="1"/>
    <col min="7" max="7" width="17.5703125" customWidth="1"/>
    <col min="8" max="8" width="17.140625" customWidth="1"/>
    <col min="9" max="9" width="16.28515625" customWidth="1"/>
    <col min="12" max="12" width="15.5703125" customWidth="1"/>
    <col min="13" max="13" width="10.85546875" customWidth="1"/>
    <col min="15" max="15" width="14.28515625" bestFit="1" customWidth="1"/>
  </cols>
  <sheetData>
    <row r="3" spans="1:8">
      <c r="B3" s="7" t="s">
        <v>17</v>
      </c>
      <c r="C3" s="7" t="s">
        <v>22</v>
      </c>
      <c r="D3" s="7" t="s">
        <v>18</v>
      </c>
      <c r="E3" s="7" t="s">
        <v>19</v>
      </c>
      <c r="G3" s="14" t="s">
        <v>28</v>
      </c>
      <c r="H3" s="14"/>
    </row>
    <row r="4" spans="1:8">
      <c r="B4" s="8" t="s">
        <v>12</v>
      </c>
      <c r="C4" s="1">
        <v>0.09</v>
      </c>
      <c r="D4" s="1">
        <v>172142906</v>
      </c>
      <c r="E4" s="9">
        <f>C4*D4/1000</f>
        <v>15492.86154</v>
      </c>
      <c r="G4" s="13" t="s">
        <v>29</v>
      </c>
      <c r="H4" s="13" t="s">
        <v>30</v>
      </c>
    </row>
    <row r="5" spans="1:8">
      <c r="B5" s="8" t="s">
        <v>11</v>
      </c>
      <c r="C5" s="1">
        <v>0.09</v>
      </c>
      <c r="D5" s="1">
        <f>SUMIF(adtype_filtrada,$B5,impressoes_filtrada)</f>
        <v>1</v>
      </c>
      <c r="E5" s="9">
        <f>C5*D5/1000</f>
        <v>8.9999999999999992E-5</v>
      </c>
      <c r="G5" s="9">
        <f>E10</f>
        <v>19589.581630000001</v>
      </c>
      <c r="H5" s="9">
        <v>7292.79</v>
      </c>
    </row>
    <row r="6" spans="1:8">
      <c r="B6" s="8" t="s">
        <v>10</v>
      </c>
      <c r="C6" s="1">
        <v>0.02</v>
      </c>
      <c r="D6" s="1">
        <v>204836</v>
      </c>
      <c r="E6" s="9">
        <f>C6*D6</f>
        <v>4096.72</v>
      </c>
    </row>
    <row r="7" spans="1:8">
      <c r="B7" s="8" t="s">
        <v>25</v>
      </c>
      <c r="C7" s="1">
        <v>0.6</v>
      </c>
      <c r="D7" s="1">
        <f>SUMIF(adtype_filtrada,$B7,impressoes_filtrada)</f>
        <v>0</v>
      </c>
      <c r="E7" s="9">
        <f>C7*D7/1000</f>
        <v>0</v>
      </c>
    </row>
    <row r="8" spans="1:8">
      <c r="B8" s="8" t="s">
        <v>24</v>
      </c>
      <c r="C8" s="1">
        <v>7.0000000000000007E-2</v>
      </c>
      <c r="D8" s="1">
        <f>SUMIF(adtype_filtrada,$B8,impressoes_filtrada)</f>
        <v>0</v>
      </c>
      <c r="E8" s="9">
        <f>C8*D8/1000</f>
        <v>0</v>
      </c>
    </row>
    <row r="9" spans="1:8">
      <c r="B9" s="8" t="s">
        <v>21</v>
      </c>
      <c r="C9" s="1">
        <v>0.35</v>
      </c>
      <c r="D9" s="1">
        <f>SUMIF(adtype_filtrada,$B9,impressoes_filtrada)</f>
        <v>0</v>
      </c>
      <c r="E9" s="9">
        <f>C9*D9/1000</f>
        <v>0</v>
      </c>
    </row>
    <row r="10" spans="1:8">
      <c r="B10" s="7" t="s">
        <v>20</v>
      </c>
      <c r="C10" s="7"/>
      <c r="D10" s="7"/>
      <c r="E10" s="10">
        <f>SUM(E4:E9)</f>
        <v>19589.581630000001</v>
      </c>
    </row>
    <row r="14" spans="1:8">
      <c r="A14" s="4"/>
      <c r="B14" s="5" t="s">
        <v>0</v>
      </c>
      <c r="C14" s="5"/>
      <c r="D14" s="5"/>
    </row>
    <row r="15" spans="1:8">
      <c r="A15" s="4"/>
      <c r="B15" s="12" t="s">
        <v>32</v>
      </c>
      <c r="C15" s="5"/>
      <c r="D15" s="5"/>
    </row>
    <row r="16" spans="1:8" ht="6.75" customHeight="1">
      <c r="A16" s="4"/>
      <c r="B16" s="5"/>
      <c r="C16" s="5"/>
      <c r="D16" s="5"/>
    </row>
    <row r="19" spans="1:15" ht="45">
      <c r="A19" s="11" t="s">
        <v>23</v>
      </c>
      <c r="B19" s="5" t="s">
        <v>0</v>
      </c>
      <c r="C19" s="5" t="s">
        <v>1</v>
      </c>
      <c r="D19" s="5" t="s">
        <v>2</v>
      </c>
      <c r="E19" s="5" t="s">
        <v>3</v>
      </c>
      <c r="F19" s="5" t="s">
        <v>4</v>
      </c>
      <c r="G19" s="5" t="s">
        <v>5</v>
      </c>
      <c r="H19" s="5" t="s">
        <v>6</v>
      </c>
      <c r="I19" s="5" t="s">
        <v>7</v>
      </c>
      <c r="J19" s="5" t="s">
        <v>8</v>
      </c>
      <c r="K19" s="5" t="s">
        <v>9</v>
      </c>
      <c r="L19" s="6" t="s">
        <v>13</v>
      </c>
      <c r="M19" s="6" t="s">
        <v>14</v>
      </c>
      <c r="N19" s="6" t="s">
        <v>15</v>
      </c>
      <c r="O19" s="6" t="s">
        <v>16</v>
      </c>
    </row>
    <row r="20" spans="1:15">
      <c r="B20" t="s">
        <v>32</v>
      </c>
      <c r="C20" t="s">
        <v>298</v>
      </c>
      <c r="D20" t="s">
        <v>299</v>
      </c>
      <c r="E20" t="s">
        <v>300</v>
      </c>
      <c r="F20" t="s">
        <v>12</v>
      </c>
      <c r="G20" t="s">
        <v>299</v>
      </c>
      <c r="H20" t="s">
        <v>301</v>
      </c>
      <c r="I20" t="s">
        <v>27</v>
      </c>
      <c r="J20">
        <v>45014</v>
      </c>
      <c r="K20">
        <v>16</v>
      </c>
      <c r="L20" s="2">
        <v>3.8199999999999998E-2</v>
      </c>
      <c r="M20">
        <v>0.09</v>
      </c>
      <c r="N20" s="2">
        <v>1.7195347999999999</v>
      </c>
      <c r="O20" s="2">
        <v>4.0512600000000001</v>
      </c>
    </row>
    <row r="21" spans="1:15">
      <c r="B21" t="s">
        <v>32</v>
      </c>
      <c r="C21" t="s">
        <v>298</v>
      </c>
      <c r="D21" t="s">
        <v>302</v>
      </c>
      <c r="E21" t="s">
        <v>303</v>
      </c>
      <c r="F21" t="s">
        <v>12</v>
      </c>
      <c r="G21" t="s">
        <v>302</v>
      </c>
      <c r="H21" t="s">
        <v>304</v>
      </c>
      <c r="I21" t="s">
        <v>27</v>
      </c>
      <c r="J21">
        <v>192108</v>
      </c>
      <c r="K21">
        <v>109</v>
      </c>
      <c r="L21" s="2">
        <v>3.8199999999999998E-2</v>
      </c>
      <c r="M21">
        <v>0.09</v>
      </c>
      <c r="N21" s="2">
        <v>7.3385255999999996</v>
      </c>
      <c r="O21" s="2">
        <v>17.289720000000003</v>
      </c>
    </row>
    <row r="22" spans="1:15">
      <c r="B22" t="s">
        <v>32</v>
      </c>
      <c r="C22" t="s">
        <v>298</v>
      </c>
      <c r="D22" t="s">
        <v>305</v>
      </c>
      <c r="E22" t="s">
        <v>306</v>
      </c>
      <c r="F22" t="s">
        <v>12</v>
      </c>
      <c r="G22" t="s">
        <v>305</v>
      </c>
      <c r="H22" t="s">
        <v>307</v>
      </c>
      <c r="I22" t="s">
        <v>27</v>
      </c>
      <c r="J22">
        <v>45118</v>
      </c>
      <c r="K22">
        <v>12</v>
      </c>
      <c r="L22" s="2">
        <v>3.8199999999999998E-2</v>
      </c>
      <c r="M22">
        <v>0.09</v>
      </c>
      <c r="N22" s="2">
        <v>1.7235075999999998</v>
      </c>
      <c r="O22" s="2">
        <v>4.0606200000000001</v>
      </c>
    </row>
    <row r="23" spans="1:15">
      <c r="B23" t="s">
        <v>32</v>
      </c>
      <c r="C23" t="s">
        <v>298</v>
      </c>
      <c r="D23" t="s">
        <v>308</v>
      </c>
      <c r="E23" t="s">
        <v>309</v>
      </c>
      <c r="F23" t="s">
        <v>12</v>
      </c>
      <c r="G23" t="s">
        <v>308</v>
      </c>
      <c r="H23" t="s">
        <v>310</v>
      </c>
      <c r="I23" t="s">
        <v>27</v>
      </c>
      <c r="J23">
        <v>43527</v>
      </c>
      <c r="K23">
        <v>12</v>
      </c>
      <c r="L23" s="2">
        <v>3.8199999999999998E-2</v>
      </c>
      <c r="M23">
        <v>0.09</v>
      </c>
      <c r="N23" s="2">
        <v>1.6627314</v>
      </c>
      <c r="O23" s="2">
        <v>3.91743</v>
      </c>
    </row>
    <row r="24" spans="1:15">
      <c r="B24" t="s">
        <v>32</v>
      </c>
      <c r="C24" t="s">
        <v>33</v>
      </c>
      <c r="D24" t="s">
        <v>112</v>
      </c>
      <c r="E24" t="s">
        <v>113</v>
      </c>
      <c r="F24" t="s">
        <v>10</v>
      </c>
      <c r="G24" t="s">
        <v>112</v>
      </c>
      <c r="H24" t="s">
        <v>114</v>
      </c>
      <c r="I24" t="s">
        <v>27</v>
      </c>
      <c r="J24">
        <v>0</v>
      </c>
      <c r="K24">
        <v>1</v>
      </c>
      <c r="L24" s="2">
        <v>3.5000000000000001E-3</v>
      </c>
      <c r="M24">
        <v>0.02</v>
      </c>
      <c r="N24" s="2">
        <v>3.5000000000000001E-3</v>
      </c>
      <c r="O24" s="2">
        <v>0.02</v>
      </c>
    </row>
    <row r="25" spans="1:15">
      <c r="B25" t="s">
        <v>32</v>
      </c>
      <c r="C25" t="s">
        <v>33</v>
      </c>
      <c r="D25" t="s">
        <v>49</v>
      </c>
      <c r="E25" t="s">
        <v>50</v>
      </c>
      <c r="F25" t="s">
        <v>12</v>
      </c>
      <c r="G25" t="s">
        <v>49</v>
      </c>
      <c r="H25" t="s">
        <v>51</v>
      </c>
      <c r="I25" t="s">
        <v>27</v>
      </c>
      <c r="J25">
        <v>2</v>
      </c>
      <c r="K25">
        <v>0</v>
      </c>
      <c r="L25" s="2">
        <v>3.8199999999999998E-2</v>
      </c>
      <c r="M25">
        <v>0.09</v>
      </c>
      <c r="N25" s="2">
        <v>7.64E-5</v>
      </c>
      <c r="O25" s="2">
        <v>1.7999999999999998E-4</v>
      </c>
    </row>
    <row r="26" spans="1:15">
      <c r="B26" t="s">
        <v>32</v>
      </c>
      <c r="C26" t="s">
        <v>33</v>
      </c>
      <c r="D26" t="s">
        <v>115</v>
      </c>
      <c r="E26" t="s">
        <v>116</v>
      </c>
      <c r="F26" t="s">
        <v>10</v>
      </c>
      <c r="G26" t="s">
        <v>115</v>
      </c>
      <c r="H26" t="s">
        <v>117</v>
      </c>
      <c r="I26" t="s">
        <v>27</v>
      </c>
      <c r="J26">
        <v>0</v>
      </c>
      <c r="K26">
        <v>1</v>
      </c>
      <c r="L26" s="2">
        <v>3.5000000000000001E-3</v>
      </c>
      <c r="M26">
        <v>0.02</v>
      </c>
      <c r="N26" s="2">
        <v>3.5000000000000001E-3</v>
      </c>
      <c r="O26" s="2">
        <v>0.02</v>
      </c>
    </row>
    <row r="27" spans="1:15">
      <c r="B27" t="s">
        <v>32</v>
      </c>
      <c r="C27" t="s">
        <v>33</v>
      </c>
      <c r="D27" t="s">
        <v>118</v>
      </c>
      <c r="E27" t="s">
        <v>119</v>
      </c>
      <c r="F27" t="s">
        <v>12</v>
      </c>
      <c r="G27" t="s">
        <v>60</v>
      </c>
      <c r="H27" t="s">
        <v>61</v>
      </c>
      <c r="I27" t="s">
        <v>26</v>
      </c>
      <c r="J27">
        <v>2</v>
      </c>
      <c r="K27">
        <v>0</v>
      </c>
      <c r="L27" s="2">
        <v>3.8199999999999998E-2</v>
      </c>
      <c r="M27">
        <v>0.09</v>
      </c>
      <c r="N27" s="2">
        <v>7.64E-5</v>
      </c>
      <c r="O27" s="2">
        <v>1.7999999999999998E-4</v>
      </c>
    </row>
    <row r="28" spans="1:15">
      <c r="B28" t="s">
        <v>32</v>
      </c>
      <c r="C28" t="s">
        <v>120</v>
      </c>
      <c r="D28" t="s">
        <v>311</v>
      </c>
      <c r="E28" t="s">
        <v>312</v>
      </c>
      <c r="F28" t="s">
        <v>12</v>
      </c>
      <c r="G28" t="s">
        <v>311</v>
      </c>
      <c r="H28" t="s">
        <v>313</v>
      </c>
      <c r="I28" t="s">
        <v>27</v>
      </c>
      <c r="J28">
        <v>23875</v>
      </c>
      <c r="K28">
        <v>1</v>
      </c>
      <c r="L28" s="2">
        <v>3.8199999999999998E-2</v>
      </c>
      <c r="M28">
        <v>0.09</v>
      </c>
      <c r="N28" s="2">
        <v>0.91202499999999997</v>
      </c>
      <c r="O28" s="2">
        <v>2.1487500000000002</v>
      </c>
    </row>
    <row r="29" spans="1:15">
      <c r="B29" t="s">
        <v>32</v>
      </c>
      <c r="C29" t="s">
        <v>120</v>
      </c>
      <c r="D29" t="s">
        <v>314</v>
      </c>
      <c r="E29" t="s">
        <v>315</v>
      </c>
      <c r="F29" t="s">
        <v>12</v>
      </c>
      <c r="G29" t="s">
        <v>314</v>
      </c>
      <c r="H29" t="s">
        <v>316</v>
      </c>
      <c r="I29" t="s">
        <v>27</v>
      </c>
      <c r="J29">
        <v>570169</v>
      </c>
      <c r="K29">
        <v>861</v>
      </c>
      <c r="L29" s="2">
        <v>3.8199999999999998E-2</v>
      </c>
      <c r="M29">
        <v>0.09</v>
      </c>
      <c r="N29" s="2">
        <v>21.780455799999999</v>
      </c>
      <c r="O29" s="2">
        <v>51.31521</v>
      </c>
    </row>
    <row r="30" spans="1:15">
      <c r="B30" t="s">
        <v>32</v>
      </c>
      <c r="C30" t="s">
        <v>120</v>
      </c>
      <c r="D30" t="s">
        <v>121</v>
      </c>
      <c r="E30" t="s">
        <v>122</v>
      </c>
      <c r="F30" t="s">
        <v>10</v>
      </c>
      <c r="G30" t="s">
        <v>121</v>
      </c>
      <c r="H30" t="s">
        <v>123</v>
      </c>
      <c r="I30" t="s">
        <v>27</v>
      </c>
      <c r="J30">
        <v>0</v>
      </c>
      <c r="K30">
        <v>1</v>
      </c>
      <c r="L30" s="2">
        <v>3.5000000000000001E-3</v>
      </c>
      <c r="M30">
        <v>0.02</v>
      </c>
      <c r="N30" s="2">
        <v>3.5000000000000001E-3</v>
      </c>
      <c r="O30" s="2">
        <v>0.02</v>
      </c>
    </row>
    <row r="31" spans="1:15">
      <c r="B31" t="s">
        <v>32</v>
      </c>
      <c r="C31" t="s">
        <v>120</v>
      </c>
      <c r="D31" t="s">
        <v>317</v>
      </c>
      <c r="E31" t="s">
        <v>318</v>
      </c>
      <c r="F31" t="s">
        <v>12</v>
      </c>
      <c r="G31" t="s">
        <v>317</v>
      </c>
      <c r="H31" t="s">
        <v>319</v>
      </c>
      <c r="I31" t="s">
        <v>27</v>
      </c>
      <c r="J31">
        <v>212876</v>
      </c>
      <c r="K31">
        <v>621</v>
      </c>
      <c r="L31" s="2">
        <v>3.8199999999999998E-2</v>
      </c>
      <c r="M31">
        <v>0.09</v>
      </c>
      <c r="N31" s="2">
        <v>8.1318631999999997</v>
      </c>
      <c r="O31" s="2">
        <v>19.158840000000001</v>
      </c>
    </row>
    <row r="32" spans="1:15">
      <c r="B32" t="s">
        <v>32</v>
      </c>
      <c r="C32" t="s">
        <v>120</v>
      </c>
      <c r="D32" t="s">
        <v>320</v>
      </c>
      <c r="E32" t="s">
        <v>321</v>
      </c>
      <c r="F32" t="s">
        <v>12</v>
      </c>
      <c r="G32" t="s">
        <v>320</v>
      </c>
      <c r="H32" t="s">
        <v>322</v>
      </c>
      <c r="I32" t="s">
        <v>27</v>
      </c>
      <c r="J32">
        <v>37731</v>
      </c>
      <c r="K32">
        <v>61</v>
      </c>
      <c r="L32" s="2">
        <v>3.8199999999999998E-2</v>
      </c>
      <c r="M32">
        <v>0.09</v>
      </c>
      <c r="N32" s="2">
        <v>1.4413241999999999</v>
      </c>
      <c r="O32" s="2">
        <v>3.3957899999999999</v>
      </c>
    </row>
    <row r="33" spans="2:15">
      <c r="B33" t="s">
        <v>32</v>
      </c>
      <c r="C33" t="s">
        <v>120</v>
      </c>
      <c r="D33" t="s">
        <v>323</v>
      </c>
      <c r="E33" t="s">
        <v>324</v>
      </c>
      <c r="F33" t="s">
        <v>12</v>
      </c>
      <c r="G33" t="s">
        <v>323</v>
      </c>
      <c r="H33" t="s">
        <v>325</v>
      </c>
      <c r="I33" t="s">
        <v>27</v>
      </c>
      <c r="J33">
        <v>408825</v>
      </c>
      <c r="K33">
        <v>737</v>
      </c>
      <c r="L33" s="2">
        <v>3.8199999999999998E-2</v>
      </c>
      <c r="M33">
        <v>0.09</v>
      </c>
      <c r="N33" s="2">
        <v>15.617115</v>
      </c>
      <c r="O33" s="2">
        <v>36.794249999999998</v>
      </c>
    </row>
    <row r="34" spans="2:15">
      <c r="B34" t="s">
        <v>32</v>
      </c>
      <c r="C34" t="s">
        <v>120</v>
      </c>
      <c r="D34" t="s">
        <v>124</v>
      </c>
      <c r="E34" t="s">
        <v>125</v>
      </c>
      <c r="F34" t="s">
        <v>10</v>
      </c>
      <c r="G34" t="s">
        <v>124</v>
      </c>
      <c r="H34" t="s">
        <v>126</v>
      </c>
      <c r="I34" t="s">
        <v>27</v>
      </c>
      <c r="J34">
        <v>0</v>
      </c>
      <c r="K34">
        <v>1</v>
      </c>
      <c r="L34" s="2">
        <v>3.5000000000000001E-3</v>
      </c>
      <c r="M34">
        <v>0.02</v>
      </c>
      <c r="N34" s="2">
        <v>3.5000000000000001E-3</v>
      </c>
      <c r="O34" s="2">
        <v>0.02</v>
      </c>
    </row>
    <row r="35" spans="2:15">
      <c r="B35" t="s">
        <v>32</v>
      </c>
      <c r="C35" t="s">
        <v>120</v>
      </c>
      <c r="D35" t="s">
        <v>326</v>
      </c>
      <c r="E35" t="s">
        <v>327</v>
      </c>
      <c r="F35" t="s">
        <v>12</v>
      </c>
      <c r="G35" t="s">
        <v>326</v>
      </c>
      <c r="H35" t="s">
        <v>328</v>
      </c>
      <c r="I35" t="s">
        <v>27</v>
      </c>
      <c r="J35">
        <v>62737</v>
      </c>
      <c r="K35">
        <v>47</v>
      </c>
      <c r="L35" s="2">
        <v>3.8199999999999998E-2</v>
      </c>
      <c r="M35">
        <v>0.09</v>
      </c>
      <c r="N35" s="2">
        <v>2.3965533999999997</v>
      </c>
      <c r="O35" s="2">
        <v>5.6463299999999998</v>
      </c>
    </row>
    <row r="36" spans="2:15">
      <c r="B36" t="s">
        <v>32</v>
      </c>
      <c r="C36" t="s">
        <v>120</v>
      </c>
      <c r="D36" t="s">
        <v>329</v>
      </c>
      <c r="E36" t="s">
        <v>330</v>
      </c>
      <c r="F36" t="s">
        <v>12</v>
      </c>
      <c r="G36" t="s">
        <v>329</v>
      </c>
      <c r="H36" t="s">
        <v>331</v>
      </c>
      <c r="I36" t="s">
        <v>27</v>
      </c>
      <c r="J36">
        <v>199997</v>
      </c>
      <c r="K36">
        <v>692</v>
      </c>
      <c r="L36" s="2">
        <v>3.8199999999999998E-2</v>
      </c>
      <c r="M36">
        <v>0.09</v>
      </c>
      <c r="N36" s="2">
        <v>7.6398853999999989</v>
      </c>
      <c r="O36" s="2">
        <v>17.99973</v>
      </c>
    </row>
    <row r="37" spans="2:15">
      <c r="B37" t="s">
        <v>32</v>
      </c>
      <c r="C37" t="s">
        <v>120</v>
      </c>
      <c r="D37" t="s">
        <v>332</v>
      </c>
      <c r="E37" t="s">
        <v>333</v>
      </c>
      <c r="F37" t="s">
        <v>12</v>
      </c>
      <c r="G37" t="s">
        <v>332</v>
      </c>
      <c r="H37" t="s">
        <v>334</v>
      </c>
      <c r="I37" t="s">
        <v>27</v>
      </c>
      <c r="J37">
        <v>73721</v>
      </c>
      <c r="K37">
        <v>376</v>
      </c>
      <c r="L37" s="2">
        <v>3.8199999999999998E-2</v>
      </c>
      <c r="M37">
        <v>0.09</v>
      </c>
      <c r="N37" s="2">
        <v>2.8161421999999998</v>
      </c>
      <c r="O37" s="2">
        <v>6.6348899999999995</v>
      </c>
    </row>
    <row r="38" spans="2:15">
      <c r="B38" t="s">
        <v>32</v>
      </c>
      <c r="C38" t="s">
        <v>120</v>
      </c>
      <c r="D38" t="s">
        <v>335</v>
      </c>
      <c r="E38" t="s">
        <v>336</v>
      </c>
      <c r="F38" t="s">
        <v>12</v>
      </c>
      <c r="G38" t="s">
        <v>335</v>
      </c>
      <c r="H38" t="s">
        <v>337</v>
      </c>
      <c r="I38" t="s">
        <v>27</v>
      </c>
      <c r="J38">
        <v>22713</v>
      </c>
      <c r="K38">
        <v>105</v>
      </c>
      <c r="L38" s="2">
        <v>3.8199999999999998E-2</v>
      </c>
      <c r="M38">
        <v>0.09</v>
      </c>
      <c r="N38" s="2">
        <v>0.86763659999999998</v>
      </c>
      <c r="O38" s="2">
        <v>2.0441699999999998</v>
      </c>
    </row>
    <row r="39" spans="2:15">
      <c r="B39" t="s">
        <v>32</v>
      </c>
      <c r="C39" t="s">
        <v>120</v>
      </c>
      <c r="D39" t="s">
        <v>338</v>
      </c>
      <c r="E39" t="s">
        <v>339</v>
      </c>
      <c r="F39" t="s">
        <v>12</v>
      </c>
      <c r="G39" t="s">
        <v>338</v>
      </c>
      <c r="H39" t="s">
        <v>340</v>
      </c>
      <c r="I39" t="s">
        <v>27</v>
      </c>
      <c r="J39">
        <v>246590</v>
      </c>
      <c r="K39">
        <v>483</v>
      </c>
      <c r="L39" s="2">
        <v>3.8199999999999998E-2</v>
      </c>
      <c r="M39">
        <v>0.09</v>
      </c>
      <c r="N39" s="2">
        <v>9.4197379999999988</v>
      </c>
      <c r="O39" s="2">
        <v>22.193099999999998</v>
      </c>
    </row>
    <row r="40" spans="2:15">
      <c r="B40" t="s">
        <v>32</v>
      </c>
      <c r="C40" t="s">
        <v>120</v>
      </c>
      <c r="D40" t="s">
        <v>341</v>
      </c>
      <c r="E40" t="s">
        <v>342</v>
      </c>
      <c r="F40" t="s">
        <v>10</v>
      </c>
      <c r="G40" t="s">
        <v>341</v>
      </c>
      <c r="H40" t="s">
        <v>343</v>
      </c>
      <c r="I40" t="s">
        <v>27</v>
      </c>
      <c r="J40">
        <v>0</v>
      </c>
      <c r="K40">
        <v>1</v>
      </c>
      <c r="L40" s="2">
        <v>3.5000000000000001E-3</v>
      </c>
      <c r="M40">
        <v>0.02</v>
      </c>
      <c r="N40" s="2">
        <v>3.5000000000000001E-3</v>
      </c>
      <c r="O40" s="2">
        <v>0.02</v>
      </c>
    </row>
    <row r="41" spans="2:15">
      <c r="B41" t="s">
        <v>32</v>
      </c>
      <c r="C41" t="s">
        <v>45</v>
      </c>
      <c r="D41" t="s">
        <v>127</v>
      </c>
      <c r="E41" t="s">
        <v>128</v>
      </c>
      <c r="F41" t="s">
        <v>10</v>
      </c>
      <c r="G41" t="s">
        <v>127</v>
      </c>
      <c r="H41" t="s">
        <v>129</v>
      </c>
      <c r="I41" t="s">
        <v>27</v>
      </c>
      <c r="J41">
        <v>324</v>
      </c>
      <c r="K41">
        <v>431</v>
      </c>
      <c r="L41" s="2">
        <v>3.5000000000000001E-3</v>
      </c>
      <c r="M41">
        <v>0.02</v>
      </c>
      <c r="N41" s="2">
        <v>1.5085</v>
      </c>
      <c r="O41" s="2">
        <v>8.620000000000001</v>
      </c>
    </row>
    <row r="42" spans="2:15">
      <c r="B42" t="s">
        <v>32</v>
      </c>
      <c r="C42" t="s">
        <v>45</v>
      </c>
      <c r="D42" t="s">
        <v>130</v>
      </c>
      <c r="E42" t="s">
        <v>131</v>
      </c>
      <c r="F42" t="s">
        <v>10</v>
      </c>
      <c r="G42" t="s">
        <v>130</v>
      </c>
      <c r="H42" t="s">
        <v>132</v>
      </c>
      <c r="I42" t="s">
        <v>27</v>
      </c>
      <c r="J42">
        <v>227</v>
      </c>
      <c r="K42">
        <v>340</v>
      </c>
      <c r="L42" s="2">
        <v>3.5000000000000001E-3</v>
      </c>
      <c r="M42">
        <v>0.02</v>
      </c>
      <c r="N42" s="2">
        <v>1.19</v>
      </c>
      <c r="O42" s="2">
        <v>6.8</v>
      </c>
    </row>
    <row r="43" spans="2:15">
      <c r="B43" t="s">
        <v>32</v>
      </c>
      <c r="C43" t="s">
        <v>45</v>
      </c>
      <c r="D43" t="s">
        <v>133</v>
      </c>
      <c r="E43" t="s">
        <v>134</v>
      </c>
      <c r="F43" t="s">
        <v>10</v>
      </c>
      <c r="G43" t="s">
        <v>133</v>
      </c>
      <c r="H43" t="s">
        <v>135</v>
      </c>
      <c r="I43" t="s">
        <v>27</v>
      </c>
      <c r="J43">
        <v>312</v>
      </c>
      <c r="K43">
        <v>1027</v>
      </c>
      <c r="L43" s="2">
        <v>3.5000000000000001E-3</v>
      </c>
      <c r="M43">
        <v>0.02</v>
      </c>
      <c r="N43" s="2">
        <v>3.5945</v>
      </c>
      <c r="O43" s="2">
        <v>20.54</v>
      </c>
    </row>
    <row r="44" spans="2:15">
      <c r="B44" t="s">
        <v>32</v>
      </c>
      <c r="C44" t="s">
        <v>45</v>
      </c>
      <c r="D44" t="s">
        <v>344</v>
      </c>
      <c r="E44" t="s">
        <v>345</v>
      </c>
      <c r="F44" t="s">
        <v>10</v>
      </c>
      <c r="G44" t="s">
        <v>344</v>
      </c>
      <c r="H44" t="s">
        <v>346</v>
      </c>
      <c r="I44" t="s">
        <v>27</v>
      </c>
      <c r="J44">
        <v>3552</v>
      </c>
      <c r="K44">
        <v>12182</v>
      </c>
      <c r="L44" s="2">
        <v>3.5000000000000001E-3</v>
      </c>
      <c r="M44">
        <v>0.02</v>
      </c>
      <c r="N44" s="2">
        <v>42.637</v>
      </c>
      <c r="O44" s="2">
        <v>243.64000000000001</v>
      </c>
    </row>
    <row r="45" spans="2:15">
      <c r="B45" t="s">
        <v>32</v>
      </c>
      <c r="C45" t="s">
        <v>45</v>
      </c>
      <c r="D45" t="s">
        <v>347</v>
      </c>
      <c r="E45" t="s">
        <v>348</v>
      </c>
      <c r="F45" t="s">
        <v>10</v>
      </c>
      <c r="G45" t="s">
        <v>347</v>
      </c>
      <c r="H45" t="s">
        <v>349</v>
      </c>
      <c r="I45" t="s">
        <v>27</v>
      </c>
      <c r="J45">
        <v>2711</v>
      </c>
      <c r="K45">
        <v>6566</v>
      </c>
      <c r="L45" s="2">
        <v>3.5000000000000001E-3</v>
      </c>
      <c r="M45">
        <v>0.02</v>
      </c>
      <c r="N45" s="2">
        <v>22.981000000000002</v>
      </c>
      <c r="O45" s="2">
        <v>131.32</v>
      </c>
    </row>
    <row r="46" spans="2:15">
      <c r="B46" t="s">
        <v>32</v>
      </c>
      <c r="C46" t="s">
        <v>45</v>
      </c>
      <c r="D46" t="s">
        <v>350</v>
      </c>
      <c r="E46" t="s">
        <v>351</v>
      </c>
      <c r="F46" t="s">
        <v>10</v>
      </c>
      <c r="G46" t="s">
        <v>350</v>
      </c>
      <c r="H46" t="s">
        <v>352</v>
      </c>
      <c r="I46" t="s">
        <v>27</v>
      </c>
      <c r="J46">
        <v>0</v>
      </c>
      <c r="K46">
        <v>1</v>
      </c>
      <c r="L46" s="2">
        <v>3.5000000000000001E-3</v>
      </c>
      <c r="M46">
        <v>0.02</v>
      </c>
      <c r="N46" s="2">
        <v>3.5000000000000001E-3</v>
      </c>
      <c r="O46" s="2">
        <v>0.02</v>
      </c>
    </row>
    <row r="47" spans="2:15">
      <c r="B47" t="s">
        <v>32</v>
      </c>
      <c r="C47" t="s">
        <v>45</v>
      </c>
      <c r="D47" t="s">
        <v>353</v>
      </c>
      <c r="E47" t="s">
        <v>354</v>
      </c>
      <c r="F47" t="s">
        <v>10</v>
      </c>
      <c r="G47" t="s">
        <v>353</v>
      </c>
      <c r="H47" t="s">
        <v>355</v>
      </c>
      <c r="I47" t="s">
        <v>27</v>
      </c>
      <c r="J47">
        <v>1090</v>
      </c>
      <c r="K47">
        <v>5952</v>
      </c>
      <c r="L47" s="2">
        <v>3.5000000000000001E-3</v>
      </c>
      <c r="M47">
        <v>0.02</v>
      </c>
      <c r="N47" s="2">
        <v>20.832000000000001</v>
      </c>
      <c r="O47" s="2">
        <v>119.04</v>
      </c>
    </row>
    <row r="48" spans="2:15">
      <c r="B48" t="s">
        <v>32</v>
      </c>
      <c r="C48" t="s">
        <v>45</v>
      </c>
      <c r="D48" t="s">
        <v>136</v>
      </c>
      <c r="E48" t="s">
        <v>137</v>
      </c>
      <c r="F48" t="s">
        <v>12</v>
      </c>
      <c r="G48" t="s">
        <v>136</v>
      </c>
      <c r="H48" t="s">
        <v>138</v>
      </c>
      <c r="I48" t="s">
        <v>27</v>
      </c>
      <c r="J48">
        <v>5733197</v>
      </c>
      <c r="K48">
        <v>29775</v>
      </c>
      <c r="L48" s="2">
        <v>3.8199999999999998E-2</v>
      </c>
      <c r="M48">
        <v>0.09</v>
      </c>
      <c r="N48" s="2">
        <v>219.00812539999998</v>
      </c>
      <c r="O48" s="2">
        <v>515.98772999999994</v>
      </c>
    </row>
    <row r="49" spans="2:15">
      <c r="B49" t="s">
        <v>32</v>
      </c>
      <c r="C49" t="s">
        <v>45</v>
      </c>
      <c r="D49" t="s">
        <v>139</v>
      </c>
      <c r="E49" t="s">
        <v>140</v>
      </c>
      <c r="F49" t="s">
        <v>10</v>
      </c>
      <c r="G49" t="s">
        <v>139</v>
      </c>
      <c r="H49" t="s">
        <v>141</v>
      </c>
      <c r="I49" t="s">
        <v>27</v>
      </c>
      <c r="J49">
        <v>0</v>
      </c>
      <c r="K49">
        <v>16</v>
      </c>
      <c r="L49" s="2">
        <v>3.5000000000000001E-3</v>
      </c>
      <c r="M49">
        <v>0.02</v>
      </c>
      <c r="N49" s="2">
        <v>5.6000000000000001E-2</v>
      </c>
      <c r="O49" s="2">
        <v>0.32</v>
      </c>
    </row>
    <row r="50" spans="2:15">
      <c r="B50" t="s">
        <v>32</v>
      </c>
      <c r="C50" t="s">
        <v>45</v>
      </c>
      <c r="D50" t="s">
        <v>142</v>
      </c>
      <c r="E50" t="s">
        <v>143</v>
      </c>
      <c r="F50" t="s">
        <v>10</v>
      </c>
      <c r="G50" t="s">
        <v>142</v>
      </c>
      <c r="H50" t="s">
        <v>144</v>
      </c>
      <c r="I50" t="s">
        <v>27</v>
      </c>
      <c r="J50">
        <v>1950</v>
      </c>
      <c r="K50">
        <v>9831</v>
      </c>
      <c r="L50" s="2">
        <v>3.5000000000000001E-3</v>
      </c>
      <c r="M50">
        <v>0.02</v>
      </c>
      <c r="N50" s="2">
        <v>34.408500000000004</v>
      </c>
      <c r="O50" s="2">
        <v>196.62</v>
      </c>
    </row>
    <row r="51" spans="2:15">
      <c r="B51" t="s">
        <v>32</v>
      </c>
      <c r="C51" t="s">
        <v>45</v>
      </c>
      <c r="D51" t="s">
        <v>145</v>
      </c>
      <c r="E51" t="s">
        <v>146</v>
      </c>
      <c r="F51" t="s">
        <v>10</v>
      </c>
      <c r="G51" t="s">
        <v>145</v>
      </c>
      <c r="H51" t="s">
        <v>147</v>
      </c>
      <c r="I51" t="s">
        <v>27</v>
      </c>
      <c r="J51">
        <v>0</v>
      </c>
      <c r="K51">
        <v>1</v>
      </c>
      <c r="L51" s="2">
        <v>3.5000000000000001E-3</v>
      </c>
      <c r="M51">
        <v>0.02</v>
      </c>
      <c r="N51" s="2">
        <v>3.5000000000000001E-3</v>
      </c>
      <c r="O51" s="2">
        <v>0.02</v>
      </c>
    </row>
    <row r="52" spans="2:15">
      <c r="B52" t="s">
        <v>32</v>
      </c>
      <c r="C52" t="s">
        <v>148</v>
      </c>
      <c r="D52" t="s">
        <v>149</v>
      </c>
      <c r="E52" t="s">
        <v>150</v>
      </c>
      <c r="F52" t="s">
        <v>12</v>
      </c>
      <c r="G52" t="s">
        <v>149</v>
      </c>
      <c r="H52" t="s">
        <v>151</v>
      </c>
      <c r="I52" t="s">
        <v>27</v>
      </c>
      <c r="J52">
        <v>9</v>
      </c>
      <c r="K52">
        <v>1</v>
      </c>
      <c r="L52" s="2">
        <v>3.8199999999999998E-2</v>
      </c>
      <c r="M52">
        <v>0.09</v>
      </c>
      <c r="N52" s="2">
        <v>3.4380000000000001E-4</v>
      </c>
      <c r="O52" s="2">
        <v>8.0999999999999996E-4</v>
      </c>
    </row>
    <row r="53" spans="2:15">
      <c r="B53" t="s">
        <v>32</v>
      </c>
      <c r="C53" t="s">
        <v>52</v>
      </c>
      <c r="D53" t="s">
        <v>356</v>
      </c>
      <c r="E53" t="s">
        <v>357</v>
      </c>
      <c r="F53" t="s">
        <v>12</v>
      </c>
      <c r="G53" t="s">
        <v>356</v>
      </c>
      <c r="H53" t="s">
        <v>358</v>
      </c>
      <c r="I53" t="s">
        <v>26</v>
      </c>
      <c r="J53">
        <v>304</v>
      </c>
      <c r="K53">
        <v>0</v>
      </c>
      <c r="L53" s="2">
        <v>3.8199999999999998E-2</v>
      </c>
      <c r="M53">
        <v>0.09</v>
      </c>
      <c r="N53" s="2">
        <v>1.16128E-2</v>
      </c>
      <c r="O53" s="2">
        <v>2.7359999999999999E-2</v>
      </c>
    </row>
    <row r="54" spans="2:15">
      <c r="B54" t="s">
        <v>32</v>
      </c>
      <c r="C54" t="s">
        <v>52</v>
      </c>
      <c r="D54" t="s">
        <v>152</v>
      </c>
      <c r="E54" t="s">
        <v>153</v>
      </c>
      <c r="F54" t="s">
        <v>12</v>
      </c>
      <c r="G54" t="s">
        <v>152</v>
      </c>
      <c r="H54" t="s">
        <v>154</v>
      </c>
      <c r="I54" t="s">
        <v>26</v>
      </c>
      <c r="J54">
        <v>126130</v>
      </c>
      <c r="K54">
        <v>70</v>
      </c>
      <c r="L54" s="2">
        <v>3.8199999999999998E-2</v>
      </c>
      <c r="M54">
        <v>0.09</v>
      </c>
      <c r="N54" s="2">
        <v>4.8181659999999997</v>
      </c>
      <c r="O54" s="2">
        <v>11.351699999999999</v>
      </c>
    </row>
    <row r="55" spans="2:15">
      <c r="B55" t="s">
        <v>32</v>
      </c>
      <c r="C55" t="s">
        <v>52</v>
      </c>
      <c r="D55" t="s">
        <v>359</v>
      </c>
      <c r="E55" t="s">
        <v>360</v>
      </c>
      <c r="F55" t="s">
        <v>10</v>
      </c>
      <c r="G55" t="s">
        <v>359</v>
      </c>
      <c r="H55" t="s">
        <v>361</v>
      </c>
      <c r="I55" t="s">
        <v>27</v>
      </c>
      <c r="J55">
        <v>0</v>
      </c>
      <c r="K55">
        <v>1</v>
      </c>
      <c r="L55" s="2">
        <v>3.5000000000000001E-3</v>
      </c>
      <c r="M55">
        <v>0.02</v>
      </c>
      <c r="N55" s="2">
        <v>3.5000000000000001E-3</v>
      </c>
      <c r="O55" s="2">
        <v>0.02</v>
      </c>
    </row>
    <row r="56" spans="2:15">
      <c r="B56" t="s">
        <v>32</v>
      </c>
      <c r="C56" t="s">
        <v>52</v>
      </c>
      <c r="D56" t="s">
        <v>53</v>
      </c>
      <c r="E56" t="s">
        <v>54</v>
      </c>
      <c r="F56" t="s">
        <v>12</v>
      </c>
      <c r="G56" t="s">
        <v>53</v>
      </c>
      <c r="H56" t="s">
        <v>55</v>
      </c>
      <c r="I56" t="s">
        <v>27</v>
      </c>
      <c r="J56">
        <v>162146</v>
      </c>
      <c r="K56">
        <v>1666</v>
      </c>
      <c r="L56" s="2">
        <v>3.8199999999999998E-2</v>
      </c>
      <c r="M56">
        <v>0.09</v>
      </c>
      <c r="N56" s="2">
        <v>6.1939771999999991</v>
      </c>
      <c r="O56" s="2">
        <v>14.59314</v>
      </c>
    </row>
    <row r="57" spans="2:15">
      <c r="B57" t="s">
        <v>32</v>
      </c>
      <c r="C57" t="s">
        <v>52</v>
      </c>
      <c r="D57" t="s">
        <v>362</v>
      </c>
      <c r="E57" t="s">
        <v>363</v>
      </c>
      <c r="F57" t="s">
        <v>12</v>
      </c>
      <c r="G57" t="s">
        <v>362</v>
      </c>
      <c r="H57" t="s">
        <v>364</v>
      </c>
      <c r="I57" t="s">
        <v>26</v>
      </c>
      <c r="J57">
        <v>36</v>
      </c>
      <c r="K57">
        <v>0</v>
      </c>
      <c r="L57" s="2">
        <v>3.8199999999999998E-2</v>
      </c>
      <c r="M57">
        <v>0.09</v>
      </c>
      <c r="N57" s="2">
        <v>1.3752E-3</v>
      </c>
      <c r="O57" s="2">
        <v>3.2399999999999998E-3</v>
      </c>
    </row>
    <row r="58" spans="2:15">
      <c r="B58" t="s">
        <v>32</v>
      </c>
      <c r="C58" t="s">
        <v>52</v>
      </c>
      <c r="D58" t="s">
        <v>155</v>
      </c>
      <c r="E58" t="s">
        <v>156</v>
      </c>
      <c r="F58" t="s">
        <v>12</v>
      </c>
      <c r="G58" t="s">
        <v>155</v>
      </c>
      <c r="H58" t="s">
        <v>157</v>
      </c>
      <c r="I58" t="s">
        <v>26</v>
      </c>
      <c r="J58">
        <v>268545</v>
      </c>
      <c r="K58">
        <v>1140</v>
      </c>
      <c r="L58" s="2">
        <v>3.8199999999999998E-2</v>
      </c>
      <c r="M58">
        <v>0.09</v>
      </c>
      <c r="N58" s="2">
        <v>10.258419</v>
      </c>
      <c r="O58" s="2">
        <v>24.169049999999999</v>
      </c>
    </row>
    <row r="59" spans="2:15">
      <c r="B59" t="s">
        <v>32</v>
      </c>
      <c r="C59" t="s">
        <v>52</v>
      </c>
      <c r="D59" t="s">
        <v>158</v>
      </c>
      <c r="E59" t="s">
        <v>159</v>
      </c>
      <c r="F59" t="s">
        <v>12</v>
      </c>
      <c r="G59" t="s">
        <v>158</v>
      </c>
      <c r="H59" t="s">
        <v>160</v>
      </c>
      <c r="I59" t="s">
        <v>26</v>
      </c>
      <c r="J59">
        <v>248</v>
      </c>
      <c r="K59">
        <v>0</v>
      </c>
      <c r="L59" s="2">
        <v>3.8199999999999998E-2</v>
      </c>
      <c r="M59">
        <v>0.09</v>
      </c>
      <c r="N59" s="2">
        <v>9.4735999999999987E-3</v>
      </c>
      <c r="O59" s="2">
        <v>2.232E-2</v>
      </c>
    </row>
    <row r="60" spans="2:15">
      <c r="B60" t="s">
        <v>32</v>
      </c>
      <c r="C60" t="s">
        <v>52</v>
      </c>
      <c r="D60" t="s">
        <v>161</v>
      </c>
      <c r="E60" t="s">
        <v>162</v>
      </c>
      <c r="F60" t="s">
        <v>12</v>
      </c>
      <c r="G60" t="s">
        <v>161</v>
      </c>
      <c r="H60" t="s">
        <v>163</v>
      </c>
      <c r="I60" t="s">
        <v>26</v>
      </c>
      <c r="J60">
        <v>17489</v>
      </c>
      <c r="K60">
        <v>17</v>
      </c>
      <c r="L60" s="2">
        <v>3.8199999999999998E-2</v>
      </c>
      <c r="M60">
        <v>0.09</v>
      </c>
      <c r="N60" s="2">
        <v>0.6680798</v>
      </c>
      <c r="O60" s="2">
        <v>1.5740099999999999</v>
      </c>
    </row>
    <row r="61" spans="2:15">
      <c r="B61" t="s">
        <v>32</v>
      </c>
      <c r="C61" t="s">
        <v>52</v>
      </c>
      <c r="D61" t="s">
        <v>365</v>
      </c>
      <c r="E61" t="s">
        <v>366</v>
      </c>
      <c r="F61" t="s">
        <v>10</v>
      </c>
      <c r="G61" t="s">
        <v>365</v>
      </c>
      <c r="H61" t="s">
        <v>367</v>
      </c>
      <c r="I61" t="s">
        <v>27</v>
      </c>
      <c r="J61">
        <v>0</v>
      </c>
      <c r="K61">
        <v>7</v>
      </c>
      <c r="L61" s="2">
        <v>3.5000000000000001E-3</v>
      </c>
      <c r="M61">
        <v>0.02</v>
      </c>
      <c r="N61" s="2">
        <v>2.4500000000000001E-2</v>
      </c>
      <c r="O61" s="2">
        <v>0.14000000000000001</v>
      </c>
    </row>
    <row r="62" spans="2:15">
      <c r="B62" t="s">
        <v>32</v>
      </c>
      <c r="C62" t="s">
        <v>52</v>
      </c>
      <c r="D62" t="s">
        <v>368</v>
      </c>
      <c r="E62" t="s">
        <v>369</v>
      </c>
      <c r="F62" t="s">
        <v>10</v>
      </c>
      <c r="G62" t="s">
        <v>370</v>
      </c>
      <c r="H62" t="s">
        <v>371</v>
      </c>
      <c r="I62" t="s">
        <v>27</v>
      </c>
      <c r="J62">
        <v>0</v>
      </c>
      <c r="K62">
        <v>123</v>
      </c>
      <c r="L62" s="2">
        <v>3.5000000000000001E-3</v>
      </c>
      <c r="M62">
        <v>0.02</v>
      </c>
      <c r="N62" s="2">
        <v>0.43049999999999999</v>
      </c>
      <c r="O62" s="2">
        <v>2.46</v>
      </c>
    </row>
    <row r="63" spans="2:15">
      <c r="B63" t="s">
        <v>32</v>
      </c>
      <c r="C63" t="s">
        <v>52</v>
      </c>
      <c r="D63" t="s">
        <v>372</v>
      </c>
      <c r="E63" t="s">
        <v>373</v>
      </c>
      <c r="F63" t="s">
        <v>10</v>
      </c>
      <c r="G63" t="s">
        <v>372</v>
      </c>
      <c r="H63" t="s">
        <v>374</v>
      </c>
      <c r="I63" t="s">
        <v>27</v>
      </c>
      <c r="J63">
        <v>0</v>
      </c>
      <c r="K63">
        <v>728</v>
      </c>
      <c r="L63" s="2">
        <v>3.5000000000000001E-3</v>
      </c>
      <c r="M63">
        <v>0.02</v>
      </c>
      <c r="N63" s="2">
        <v>2.548</v>
      </c>
      <c r="O63" s="2">
        <v>14.56</v>
      </c>
    </row>
    <row r="64" spans="2:15">
      <c r="B64" t="s">
        <v>32</v>
      </c>
      <c r="C64" t="s">
        <v>52</v>
      </c>
      <c r="D64" t="s">
        <v>375</v>
      </c>
      <c r="E64" t="s">
        <v>376</v>
      </c>
      <c r="F64" t="s">
        <v>10</v>
      </c>
      <c r="G64" t="s">
        <v>375</v>
      </c>
      <c r="H64" t="s">
        <v>377</v>
      </c>
      <c r="I64" t="s">
        <v>27</v>
      </c>
      <c r="J64">
        <v>12</v>
      </c>
      <c r="K64">
        <v>12</v>
      </c>
      <c r="L64" s="2">
        <v>3.5000000000000001E-3</v>
      </c>
      <c r="M64">
        <v>0.02</v>
      </c>
      <c r="N64" s="2">
        <v>4.2000000000000003E-2</v>
      </c>
      <c r="O64" s="2">
        <v>0.24</v>
      </c>
    </row>
    <row r="65" spans="2:15">
      <c r="B65" t="s">
        <v>32</v>
      </c>
      <c r="C65" t="s">
        <v>52</v>
      </c>
      <c r="D65" t="s">
        <v>62</v>
      </c>
      <c r="E65" t="s">
        <v>63</v>
      </c>
      <c r="F65" t="s">
        <v>12</v>
      </c>
      <c r="G65" t="s">
        <v>62</v>
      </c>
      <c r="H65" t="s">
        <v>64</v>
      </c>
      <c r="I65" t="s">
        <v>27</v>
      </c>
      <c r="J65">
        <v>3640</v>
      </c>
      <c r="K65">
        <v>220</v>
      </c>
      <c r="L65" s="2">
        <v>3.8199999999999998E-2</v>
      </c>
      <c r="M65">
        <v>0.09</v>
      </c>
      <c r="N65" s="2">
        <v>0.139048</v>
      </c>
      <c r="O65" s="2">
        <v>0.32759999999999995</v>
      </c>
    </row>
    <row r="66" spans="2:15">
      <c r="B66" t="s">
        <v>32</v>
      </c>
      <c r="C66" t="s">
        <v>52</v>
      </c>
      <c r="D66" t="s">
        <v>378</v>
      </c>
      <c r="E66" t="s">
        <v>379</v>
      </c>
      <c r="F66" t="s">
        <v>10</v>
      </c>
      <c r="G66" t="s">
        <v>378</v>
      </c>
      <c r="H66" t="s">
        <v>380</v>
      </c>
      <c r="I66" t="s">
        <v>27</v>
      </c>
      <c r="J66">
        <v>0</v>
      </c>
      <c r="K66">
        <v>1</v>
      </c>
      <c r="L66" s="2">
        <v>3.5000000000000001E-3</v>
      </c>
      <c r="M66">
        <v>0.02</v>
      </c>
      <c r="N66" s="2">
        <v>3.5000000000000001E-3</v>
      </c>
      <c r="O66" s="2">
        <v>0.02</v>
      </c>
    </row>
    <row r="67" spans="2:15">
      <c r="B67" t="s">
        <v>32</v>
      </c>
      <c r="C67" t="s">
        <v>52</v>
      </c>
      <c r="D67" t="s">
        <v>65</v>
      </c>
      <c r="E67" t="s">
        <v>66</v>
      </c>
      <c r="F67" t="s">
        <v>12</v>
      </c>
      <c r="G67" t="s">
        <v>65</v>
      </c>
      <c r="H67" t="s">
        <v>67</v>
      </c>
      <c r="I67" t="s">
        <v>27</v>
      </c>
      <c r="J67">
        <v>3555</v>
      </c>
      <c r="K67">
        <v>236</v>
      </c>
      <c r="L67" s="2">
        <v>3.8199999999999998E-2</v>
      </c>
      <c r="M67">
        <v>0.09</v>
      </c>
      <c r="N67" s="2">
        <v>0.13580099999999998</v>
      </c>
      <c r="O67" s="2">
        <v>0.31995000000000001</v>
      </c>
    </row>
    <row r="68" spans="2:15">
      <c r="B68" t="s">
        <v>32</v>
      </c>
      <c r="C68" t="s">
        <v>164</v>
      </c>
      <c r="D68" t="s">
        <v>381</v>
      </c>
      <c r="E68" t="s">
        <v>382</v>
      </c>
      <c r="F68" t="s">
        <v>12</v>
      </c>
      <c r="G68" t="s">
        <v>381</v>
      </c>
      <c r="H68" t="s">
        <v>383</v>
      </c>
      <c r="I68" t="s">
        <v>27</v>
      </c>
      <c r="J68">
        <v>759473</v>
      </c>
      <c r="K68">
        <v>732</v>
      </c>
      <c r="L68" s="2">
        <v>3.8199999999999998E-2</v>
      </c>
      <c r="M68">
        <v>0.09</v>
      </c>
      <c r="N68" s="2">
        <v>29.0118686</v>
      </c>
      <c r="O68" s="2">
        <v>68.352569999999986</v>
      </c>
    </row>
    <row r="69" spans="2:15">
      <c r="B69" t="s">
        <v>32</v>
      </c>
      <c r="C69" t="s">
        <v>164</v>
      </c>
      <c r="D69" t="s">
        <v>384</v>
      </c>
      <c r="E69" t="s">
        <v>385</v>
      </c>
      <c r="F69" t="s">
        <v>10</v>
      </c>
      <c r="G69" t="s">
        <v>384</v>
      </c>
      <c r="H69" t="s">
        <v>386</v>
      </c>
      <c r="I69" t="s">
        <v>27</v>
      </c>
      <c r="J69">
        <v>0</v>
      </c>
      <c r="K69">
        <v>1</v>
      </c>
      <c r="L69" s="2">
        <v>3.5000000000000001E-3</v>
      </c>
      <c r="M69">
        <v>0.02</v>
      </c>
      <c r="N69" s="2">
        <v>3.5000000000000001E-3</v>
      </c>
      <c r="O69" s="2">
        <v>0.02</v>
      </c>
    </row>
    <row r="70" spans="2:15">
      <c r="B70" t="s">
        <v>32</v>
      </c>
      <c r="C70" t="s">
        <v>164</v>
      </c>
      <c r="D70" t="s">
        <v>387</v>
      </c>
      <c r="E70" t="s">
        <v>388</v>
      </c>
      <c r="F70" t="s">
        <v>10</v>
      </c>
      <c r="G70" t="s">
        <v>387</v>
      </c>
      <c r="H70" t="s">
        <v>389</v>
      </c>
      <c r="I70" t="s">
        <v>27</v>
      </c>
      <c r="J70">
        <v>0</v>
      </c>
      <c r="K70">
        <v>1</v>
      </c>
      <c r="L70" s="2">
        <v>3.5000000000000001E-3</v>
      </c>
      <c r="M70">
        <v>0.02</v>
      </c>
      <c r="N70" s="2">
        <v>3.5000000000000001E-3</v>
      </c>
      <c r="O70" s="2">
        <v>0.02</v>
      </c>
    </row>
    <row r="71" spans="2:15">
      <c r="B71" t="s">
        <v>32</v>
      </c>
      <c r="C71" t="s">
        <v>164</v>
      </c>
      <c r="D71" t="s">
        <v>390</v>
      </c>
      <c r="E71" t="s">
        <v>391</v>
      </c>
      <c r="F71" t="s">
        <v>10</v>
      </c>
      <c r="G71" t="s">
        <v>390</v>
      </c>
      <c r="H71" t="s">
        <v>392</v>
      </c>
      <c r="I71" t="s">
        <v>27</v>
      </c>
      <c r="J71">
        <v>0</v>
      </c>
      <c r="K71">
        <v>1</v>
      </c>
      <c r="L71" s="2">
        <v>3.5000000000000001E-3</v>
      </c>
      <c r="M71">
        <v>0.02</v>
      </c>
      <c r="N71" s="2">
        <v>3.5000000000000001E-3</v>
      </c>
      <c r="O71" s="2">
        <v>0.02</v>
      </c>
    </row>
    <row r="72" spans="2:15">
      <c r="B72" t="s">
        <v>32</v>
      </c>
      <c r="C72" t="s">
        <v>164</v>
      </c>
      <c r="D72" t="s">
        <v>393</v>
      </c>
      <c r="E72" t="s">
        <v>394</v>
      </c>
      <c r="F72" t="s">
        <v>12</v>
      </c>
      <c r="G72" t="s">
        <v>393</v>
      </c>
      <c r="H72" t="s">
        <v>395</v>
      </c>
      <c r="I72" t="s">
        <v>27</v>
      </c>
      <c r="J72">
        <v>86718</v>
      </c>
      <c r="K72">
        <v>40</v>
      </c>
      <c r="L72" s="2">
        <v>3.8199999999999998E-2</v>
      </c>
      <c r="M72">
        <v>0.09</v>
      </c>
      <c r="N72" s="2">
        <v>3.3126275999999999</v>
      </c>
      <c r="O72" s="2">
        <v>7.8046199999999999</v>
      </c>
    </row>
    <row r="73" spans="2:15">
      <c r="B73" t="s">
        <v>32</v>
      </c>
      <c r="C73" t="s">
        <v>164</v>
      </c>
      <c r="D73" t="s">
        <v>396</v>
      </c>
      <c r="E73" t="s">
        <v>397</v>
      </c>
      <c r="F73" t="s">
        <v>10</v>
      </c>
      <c r="G73" t="s">
        <v>396</v>
      </c>
      <c r="H73" t="s">
        <v>398</v>
      </c>
      <c r="I73" t="s">
        <v>27</v>
      </c>
      <c r="J73">
        <v>0</v>
      </c>
      <c r="K73">
        <v>1</v>
      </c>
      <c r="L73" s="2">
        <v>3.5000000000000001E-3</v>
      </c>
      <c r="M73">
        <v>0.02</v>
      </c>
      <c r="N73" s="2">
        <v>3.5000000000000001E-3</v>
      </c>
      <c r="O73" s="2">
        <v>0.02</v>
      </c>
    </row>
    <row r="74" spans="2:15">
      <c r="B74" t="s">
        <v>32</v>
      </c>
      <c r="C74" t="s">
        <v>164</v>
      </c>
      <c r="D74" t="s">
        <v>399</v>
      </c>
      <c r="E74" t="s">
        <v>400</v>
      </c>
      <c r="F74" t="s">
        <v>12</v>
      </c>
      <c r="G74" t="s">
        <v>399</v>
      </c>
      <c r="H74" t="s">
        <v>401</v>
      </c>
      <c r="I74" t="s">
        <v>27</v>
      </c>
      <c r="J74">
        <v>62356</v>
      </c>
      <c r="K74">
        <v>29</v>
      </c>
      <c r="L74" s="2">
        <v>3.8199999999999998E-2</v>
      </c>
      <c r="M74">
        <v>0.09</v>
      </c>
      <c r="N74" s="2">
        <v>2.3819991999999997</v>
      </c>
      <c r="O74" s="2">
        <v>5.6120400000000004</v>
      </c>
    </row>
    <row r="75" spans="2:15">
      <c r="B75" t="s">
        <v>32</v>
      </c>
      <c r="C75" t="s">
        <v>164</v>
      </c>
      <c r="D75" t="s">
        <v>402</v>
      </c>
      <c r="E75" t="s">
        <v>403</v>
      </c>
      <c r="F75" t="s">
        <v>10</v>
      </c>
      <c r="G75" t="s">
        <v>402</v>
      </c>
      <c r="H75" t="s">
        <v>404</v>
      </c>
      <c r="I75" t="s">
        <v>27</v>
      </c>
      <c r="J75">
        <v>0</v>
      </c>
      <c r="K75">
        <v>1</v>
      </c>
      <c r="L75" s="2">
        <v>3.5000000000000001E-3</v>
      </c>
      <c r="M75">
        <v>0.02</v>
      </c>
      <c r="N75" s="2">
        <v>3.5000000000000001E-3</v>
      </c>
      <c r="O75" s="2">
        <v>0.02</v>
      </c>
    </row>
    <row r="76" spans="2:15">
      <c r="B76" t="s">
        <v>32</v>
      </c>
      <c r="C76" t="s">
        <v>46</v>
      </c>
      <c r="D76" t="s">
        <v>405</v>
      </c>
      <c r="E76" t="s">
        <v>406</v>
      </c>
      <c r="F76" t="s">
        <v>12</v>
      </c>
      <c r="G76" t="s">
        <v>60</v>
      </c>
      <c r="H76" t="s">
        <v>61</v>
      </c>
      <c r="I76" t="s">
        <v>26</v>
      </c>
      <c r="J76">
        <v>6</v>
      </c>
      <c r="K76">
        <v>0</v>
      </c>
      <c r="L76" s="2">
        <v>3.8199999999999998E-2</v>
      </c>
      <c r="M76">
        <v>0.09</v>
      </c>
      <c r="N76" s="2">
        <v>2.2919999999999999E-4</v>
      </c>
      <c r="O76" s="2">
        <v>5.4000000000000001E-4</v>
      </c>
    </row>
    <row r="77" spans="2:15">
      <c r="B77" t="s">
        <v>32</v>
      </c>
      <c r="C77" t="s">
        <v>46</v>
      </c>
      <c r="D77" t="s">
        <v>407</v>
      </c>
      <c r="E77" t="s">
        <v>408</v>
      </c>
      <c r="F77" t="s">
        <v>12</v>
      </c>
      <c r="G77" t="s">
        <v>60</v>
      </c>
      <c r="H77" t="s">
        <v>61</v>
      </c>
      <c r="I77" t="s">
        <v>26</v>
      </c>
      <c r="J77">
        <v>2</v>
      </c>
      <c r="K77">
        <v>0</v>
      </c>
      <c r="L77" s="2">
        <v>3.8199999999999998E-2</v>
      </c>
      <c r="M77">
        <v>0.09</v>
      </c>
      <c r="N77" s="2">
        <v>7.64E-5</v>
      </c>
      <c r="O77" s="2">
        <v>1.7999999999999998E-4</v>
      </c>
    </row>
    <row r="78" spans="2:15">
      <c r="B78" t="s">
        <v>32</v>
      </c>
      <c r="C78" t="s">
        <v>46</v>
      </c>
      <c r="D78" t="s">
        <v>407</v>
      </c>
      <c r="E78" t="s">
        <v>408</v>
      </c>
      <c r="F78" t="s">
        <v>12</v>
      </c>
      <c r="G78" t="s">
        <v>407</v>
      </c>
      <c r="H78" t="s">
        <v>409</v>
      </c>
      <c r="I78" t="s">
        <v>27</v>
      </c>
      <c r="J78">
        <v>30</v>
      </c>
      <c r="K78">
        <v>0</v>
      </c>
      <c r="L78" s="2">
        <v>3.8199999999999998E-2</v>
      </c>
      <c r="M78">
        <v>0.09</v>
      </c>
      <c r="N78" s="2">
        <v>1.1459999999999999E-3</v>
      </c>
      <c r="O78" s="2">
        <v>2.6999999999999997E-3</v>
      </c>
    </row>
    <row r="79" spans="2:15">
      <c r="B79" t="s">
        <v>32</v>
      </c>
      <c r="C79" t="s">
        <v>46</v>
      </c>
      <c r="D79" t="s">
        <v>410</v>
      </c>
      <c r="E79" t="s">
        <v>411</v>
      </c>
      <c r="F79" t="s">
        <v>12</v>
      </c>
      <c r="G79" t="s">
        <v>60</v>
      </c>
      <c r="H79" t="s">
        <v>61</v>
      </c>
      <c r="I79" t="s">
        <v>26</v>
      </c>
      <c r="J79">
        <v>3</v>
      </c>
      <c r="K79">
        <v>0</v>
      </c>
      <c r="L79" s="2">
        <v>3.8199999999999998E-2</v>
      </c>
      <c r="M79">
        <v>0.09</v>
      </c>
      <c r="N79" s="2">
        <v>1.1459999999999999E-4</v>
      </c>
      <c r="O79" s="2">
        <v>2.7E-4</v>
      </c>
    </row>
    <row r="80" spans="2:15">
      <c r="B80" t="s">
        <v>32</v>
      </c>
      <c r="C80" t="s">
        <v>46</v>
      </c>
      <c r="D80" t="s">
        <v>410</v>
      </c>
      <c r="E80" t="s">
        <v>411</v>
      </c>
      <c r="F80" t="s">
        <v>10</v>
      </c>
      <c r="G80" t="s">
        <v>410</v>
      </c>
      <c r="H80" t="s">
        <v>412</v>
      </c>
      <c r="I80" t="s">
        <v>27</v>
      </c>
      <c r="J80">
        <v>0</v>
      </c>
      <c r="K80">
        <v>1</v>
      </c>
      <c r="L80" s="2">
        <v>3.5000000000000001E-3</v>
      </c>
      <c r="M80">
        <v>0.02</v>
      </c>
      <c r="N80" s="2">
        <v>3.5000000000000001E-3</v>
      </c>
      <c r="O80" s="2">
        <v>0.02</v>
      </c>
    </row>
    <row r="81" spans="2:15">
      <c r="B81" t="s">
        <v>32</v>
      </c>
      <c r="C81" t="s">
        <v>46</v>
      </c>
      <c r="D81" t="s">
        <v>413</v>
      </c>
      <c r="E81" t="s">
        <v>414</v>
      </c>
      <c r="F81" t="s">
        <v>12</v>
      </c>
      <c r="G81" t="s">
        <v>60</v>
      </c>
      <c r="H81" t="s">
        <v>61</v>
      </c>
      <c r="I81" t="s">
        <v>26</v>
      </c>
      <c r="J81">
        <v>2</v>
      </c>
      <c r="K81">
        <v>0</v>
      </c>
      <c r="L81" s="2">
        <v>3.8199999999999998E-2</v>
      </c>
      <c r="M81">
        <v>0.09</v>
      </c>
      <c r="N81" s="2">
        <v>7.64E-5</v>
      </c>
      <c r="O81" s="2">
        <v>1.7999999999999998E-4</v>
      </c>
    </row>
    <row r="82" spans="2:15">
      <c r="B82" t="s">
        <v>32</v>
      </c>
      <c r="C82" t="s">
        <v>46</v>
      </c>
      <c r="D82" t="s">
        <v>413</v>
      </c>
      <c r="E82" t="s">
        <v>414</v>
      </c>
      <c r="F82" t="s">
        <v>12</v>
      </c>
      <c r="G82" t="s">
        <v>413</v>
      </c>
      <c r="H82" t="s">
        <v>415</v>
      </c>
      <c r="I82" t="s">
        <v>27</v>
      </c>
      <c r="J82">
        <v>8</v>
      </c>
      <c r="K82">
        <v>0</v>
      </c>
      <c r="L82" s="2">
        <v>3.8199999999999998E-2</v>
      </c>
      <c r="M82">
        <v>0.09</v>
      </c>
      <c r="N82" s="2">
        <v>3.056E-4</v>
      </c>
      <c r="O82" s="2">
        <v>7.1999999999999994E-4</v>
      </c>
    </row>
    <row r="83" spans="2:15">
      <c r="B83" t="s">
        <v>32</v>
      </c>
      <c r="C83" t="s">
        <v>46</v>
      </c>
      <c r="D83" t="s">
        <v>416</v>
      </c>
      <c r="E83" t="s">
        <v>417</v>
      </c>
      <c r="F83" t="s">
        <v>12</v>
      </c>
      <c r="G83" t="s">
        <v>60</v>
      </c>
      <c r="H83" t="s">
        <v>61</v>
      </c>
      <c r="I83" t="s">
        <v>26</v>
      </c>
      <c r="J83">
        <v>1</v>
      </c>
      <c r="K83">
        <v>0</v>
      </c>
      <c r="L83" s="2">
        <v>3.8199999999999998E-2</v>
      </c>
      <c r="M83">
        <v>0.09</v>
      </c>
      <c r="N83" s="2">
        <v>3.82E-5</v>
      </c>
      <c r="O83" s="2">
        <v>8.9999999999999992E-5</v>
      </c>
    </row>
    <row r="84" spans="2:15">
      <c r="B84" t="s">
        <v>32</v>
      </c>
      <c r="C84" t="s">
        <v>46</v>
      </c>
      <c r="D84" t="s">
        <v>416</v>
      </c>
      <c r="E84" t="s">
        <v>417</v>
      </c>
      <c r="F84" t="s">
        <v>12</v>
      </c>
      <c r="G84" t="s">
        <v>416</v>
      </c>
      <c r="H84" t="s">
        <v>418</v>
      </c>
      <c r="I84" t="s">
        <v>27</v>
      </c>
      <c r="J84">
        <v>588611</v>
      </c>
      <c r="K84">
        <v>965</v>
      </c>
      <c r="L84" s="2">
        <v>3.8199999999999998E-2</v>
      </c>
      <c r="M84">
        <v>0.09</v>
      </c>
      <c r="N84" s="2">
        <v>22.484940199999997</v>
      </c>
      <c r="O84" s="2">
        <v>52.974989999999998</v>
      </c>
    </row>
    <row r="85" spans="2:15">
      <c r="B85" t="s">
        <v>32</v>
      </c>
      <c r="C85" t="s">
        <v>46</v>
      </c>
      <c r="D85" t="s">
        <v>419</v>
      </c>
      <c r="E85" t="s">
        <v>420</v>
      </c>
      <c r="F85" t="s">
        <v>12</v>
      </c>
      <c r="G85" t="s">
        <v>60</v>
      </c>
      <c r="H85" t="s">
        <v>61</v>
      </c>
      <c r="I85" t="s">
        <v>26</v>
      </c>
      <c r="J85">
        <v>2</v>
      </c>
      <c r="K85">
        <v>0</v>
      </c>
      <c r="L85" s="2">
        <v>3.8199999999999998E-2</v>
      </c>
      <c r="M85">
        <v>0.09</v>
      </c>
      <c r="N85" s="2">
        <v>7.64E-5</v>
      </c>
      <c r="O85" s="2">
        <v>1.7999999999999998E-4</v>
      </c>
    </row>
    <row r="86" spans="2:15">
      <c r="B86" t="s">
        <v>32</v>
      </c>
      <c r="C86" t="s">
        <v>46</v>
      </c>
      <c r="D86" t="s">
        <v>419</v>
      </c>
      <c r="E86" t="s">
        <v>420</v>
      </c>
      <c r="F86" t="s">
        <v>12</v>
      </c>
      <c r="G86" t="s">
        <v>419</v>
      </c>
      <c r="H86" t="s">
        <v>421</v>
      </c>
      <c r="I86" t="s">
        <v>27</v>
      </c>
      <c r="J86">
        <v>395359</v>
      </c>
      <c r="K86">
        <v>774</v>
      </c>
      <c r="L86" s="2">
        <v>3.8199999999999998E-2</v>
      </c>
      <c r="M86">
        <v>0.09</v>
      </c>
      <c r="N86" s="2">
        <v>15.1027138</v>
      </c>
      <c r="O86" s="2">
        <v>35.58231</v>
      </c>
    </row>
    <row r="87" spans="2:15">
      <c r="B87" t="s">
        <v>32</v>
      </c>
      <c r="C87" t="s">
        <v>46</v>
      </c>
      <c r="D87" t="s">
        <v>422</v>
      </c>
      <c r="E87" t="s">
        <v>423</v>
      </c>
      <c r="F87" t="s">
        <v>12</v>
      </c>
      <c r="G87" t="s">
        <v>60</v>
      </c>
      <c r="H87" t="s">
        <v>61</v>
      </c>
      <c r="I87" t="s">
        <v>26</v>
      </c>
      <c r="J87">
        <v>2</v>
      </c>
      <c r="K87">
        <v>0</v>
      </c>
      <c r="L87" s="2">
        <v>3.8199999999999998E-2</v>
      </c>
      <c r="M87">
        <v>0.09</v>
      </c>
      <c r="N87" s="2">
        <v>7.64E-5</v>
      </c>
      <c r="O87" s="2">
        <v>1.7999999999999998E-4</v>
      </c>
    </row>
    <row r="88" spans="2:15">
      <c r="B88" t="s">
        <v>32</v>
      </c>
      <c r="C88" t="s">
        <v>46</v>
      </c>
      <c r="D88" t="s">
        <v>422</v>
      </c>
      <c r="E88" t="s">
        <v>423</v>
      </c>
      <c r="F88" t="s">
        <v>12</v>
      </c>
      <c r="G88" t="s">
        <v>422</v>
      </c>
      <c r="H88" t="s">
        <v>424</v>
      </c>
      <c r="I88" t="s">
        <v>27</v>
      </c>
      <c r="J88">
        <v>751936</v>
      </c>
      <c r="K88">
        <v>1144</v>
      </c>
      <c r="L88" s="2">
        <v>3.8199999999999998E-2</v>
      </c>
      <c r="M88">
        <v>0.09</v>
      </c>
      <c r="N88" s="2">
        <v>28.723955199999995</v>
      </c>
      <c r="O88" s="2">
        <v>67.674239999999998</v>
      </c>
    </row>
    <row r="89" spans="2:15">
      <c r="B89" t="s">
        <v>32</v>
      </c>
      <c r="C89" t="s">
        <v>46</v>
      </c>
      <c r="D89" t="s">
        <v>425</v>
      </c>
      <c r="E89" t="s">
        <v>426</v>
      </c>
      <c r="F89" t="s">
        <v>12</v>
      </c>
      <c r="G89" t="s">
        <v>60</v>
      </c>
      <c r="H89" t="s">
        <v>61</v>
      </c>
      <c r="I89" t="s">
        <v>26</v>
      </c>
      <c r="J89">
        <v>4</v>
      </c>
      <c r="K89">
        <v>0</v>
      </c>
      <c r="L89" s="2">
        <v>3.8199999999999998E-2</v>
      </c>
      <c r="M89">
        <v>0.09</v>
      </c>
      <c r="N89" s="2">
        <v>1.528E-4</v>
      </c>
      <c r="O89" s="2">
        <v>3.5999999999999997E-4</v>
      </c>
    </row>
    <row r="90" spans="2:15">
      <c r="B90" t="s">
        <v>32</v>
      </c>
      <c r="C90" t="s">
        <v>46</v>
      </c>
      <c r="D90" t="s">
        <v>425</v>
      </c>
      <c r="E90" t="s">
        <v>426</v>
      </c>
      <c r="F90" t="s">
        <v>12</v>
      </c>
      <c r="G90" t="s">
        <v>425</v>
      </c>
      <c r="H90" t="s">
        <v>427</v>
      </c>
      <c r="I90" t="s">
        <v>27</v>
      </c>
      <c r="J90">
        <v>389066</v>
      </c>
      <c r="K90">
        <v>702</v>
      </c>
      <c r="L90" s="2">
        <v>3.8199999999999998E-2</v>
      </c>
      <c r="M90">
        <v>0.09</v>
      </c>
      <c r="N90" s="2">
        <v>14.862321199999998</v>
      </c>
      <c r="O90" s="2">
        <v>35.015940000000001</v>
      </c>
    </row>
    <row r="91" spans="2:15">
      <c r="B91" t="s">
        <v>32</v>
      </c>
      <c r="C91" t="s">
        <v>46</v>
      </c>
      <c r="D91" t="s">
        <v>428</v>
      </c>
      <c r="E91" t="s">
        <v>429</v>
      </c>
      <c r="F91" t="s">
        <v>12</v>
      </c>
      <c r="G91" t="s">
        <v>60</v>
      </c>
      <c r="H91" t="s">
        <v>61</v>
      </c>
      <c r="I91" t="s">
        <v>26</v>
      </c>
      <c r="J91">
        <v>1</v>
      </c>
      <c r="K91">
        <v>0</v>
      </c>
      <c r="L91" s="2">
        <v>3.8199999999999998E-2</v>
      </c>
      <c r="M91">
        <v>0.09</v>
      </c>
      <c r="N91" s="2">
        <v>3.82E-5</v>
      </c>
      <c r="O91" s="2">
        <v>8.9999999999999992E-5</v>
      </c>
    </row>
    <row r="92" spans="2:15">
      <c r="B92" t="s">
        <v>32</v>
      </c>
      <c r="C92" t="s">
        <v>46</v>
      </c>
      <c r="D92" t="s">
        <v>428</v>
      </c>
      <c r="E92" t="s">
        <v>429</v>
      </c>
      <c r="F92" t="s">
        <v>10</v>
      </c>
      <c r="G92" t="s">
        <v>428</v>
      </c>
      <c r="H92" t="s">
        <v>430</v>
      </c>
      <c r="I92" t="s">
        <v>27</v>
      </c>
      <c r="J92">
        <v>0</v>
      </c>
      <c r="K92">
        <v>1</v>
      </c>
      <c r="L92" s="2">
        <v>3.5000000000000001E-3</v>
      </c>
      <c r="M92">
        <v>0.02</v>
      </c>
      <c r="N92" s="2">
        <v>3.5000000000000001E-3</v>
      </c>
      <c r="O92" s="2">
        <v>0.02</v>
      </c>
    </row>
    <row r="93" spans="2:15">
      <c r="B93" t="s">
        <v>32</v>
      </c>
      <c r="C93" t="s">
        <v>46</v>
      </c>
      <c r="D93" t="s">
        <v>431</v>
      </c>
      <c r="E93" t="s">
        <v>432</v>
      </c>
      <c r="F93" t="s">
        <v>12</v>
      </c>
      <c r="G93" t="s">
        <v>60</v>
      </c>
      <c r="H93" t="s">
        <v>61</v>
      </c>
      <c r="I93" t="s">
        <v>26</v>
      </c>
      <c r="J93">
        <v>2</v>
      </c>
      <c r="K93">
        <v>0</v>
      </c>
      <c r="L93" s="2">
        <v>3.8199999999999998E-2</v>
      </c>
      <c r="M93">
        <v>0.09</v>
      </c>
      <c r="N93" s="2">
        <v>7.64E-5</v>
      </c>
      <c r="O93" s="2">
        <v>1.7999999999999998E-4</v>
      </c>
    </row>
    <row r="94" spans="2:15">
      <c r="B94" t="s">
        <v>32</v>
      </c>
      <c r="C94" t="s">
        <v>46</v>
      </c>
      <c r="D94" t="s">
        <v>431</v>
      </c>
      <c r="E94" t="s">
        <v>432</v>
      </c>
      <c r="F94" t="s">
        <v>12</v>
      </c>
      <c r="G94" t="s">
        <v>431</v>
      </c>
      <c r="H94" t="s">
        <v>433</v>
      </c>
      <c r="I94" t="s">
        <v>27</v>
      </c>
      <c r="J94">
        <v>17</v>
      </c>
      <c r="K94">
        <v>0</v>
      </c>
      <c r="L94" s="2">
        <v>3.8199999999999998E-2</v>
      </c>
      <c r="M94">
        <v>0.09</v>
      </c>
      <c r="N94" s="2">
        <v>6.4939999999999996E-4</v>
      </c>
      <c r="O94" s="2">
        <v>1.5300000000000001E-3</v>
      </c>
    </row>
    <row r="95" spans="2:15">
      <c r="B95" t="s">
        <v>32</v>
      </c>
      <c r="C95" t="s">
        <v>46</v>
      </c>
      <c r="D95" t="s">
        <v>434</v>
      </c>
      <c r="E95" t="s">
        <v>435</v>
      </c>
      <c r="F95" t="s">
        <v>12</v>
      </c>
      <c r="G95" t="s">
        <v>60</v>
      </c>
      <c r="H95" t="s">
        <v>61</v>
      </c>
      <c r="I95" t="s">
        <v>26</v>
      </c>
      <c r="J95">
        <v>2</v>
      </c>
      <c r="K95">
        <v>0</v>
      </c>
      <c r="L95" s="2">
        <v>3.8199999999999998E-2</v>
      </c>
      <c r="M95">
        <v>0.09</v>
      </c>
      <c r="N95" s="2">
        <v>7.64E-5</v>
      </c>
      <c r="O95" s="2">
        <v>1.7999999999999998E-4</v>
      </c>
    </row>
    <row r="96" spans="2:15">
      <c r="B96" t="s">
        <v>32</v>
      </c>
      <c r="C96" t="s">
        <v>46</v>
      </c>
      <c r="D96" t="s">
        <v>434</v>
      </c>
      <c r="E96" t="s">
        <v>435</v>
      </c>
      <c r="F96" t="s">
        <v>10</v>
      </c>
      <c r="G96" t="s">
        <v>434</v>
      </c>
      <c r="H96" t="s">
        <v>436</v>
      </c>
      <c r="I96" t="s">
        <v>27</v>
      </c>
      <c r="J96">
        <v>0</v>
      </c>
      <c r="K96">
        <v>1</v>
      </c>
      <c r="L96" s="2">
        <v>3.5000000000000001E-3</v>
      </c>
      <c r="M96">
        <v>0.02</v>
      </c>
      <c r="N96" s="2">
        <v>3.5000000000000001E-3</v>
      </c>
      <c r="O96" s="2">
        <v>0.02</v>
      </c>
    </row>
    <row r="97" spans="2:15">
      <c r="B97" t="s">
        <v>32</v>
      </c>
      <c r="C97" t="s">
        <v>46</v>
      </c>
      <c r="D97" t="s">
        <v>437</v>
      </c>
      <c r="E97" t="s">
        <v>438</v>
      </c>
      <c r="F97" t="s">
        <v>12</v>
      </c>
      <c r="G97" t="s">
        <v>60</v>
      </c>
      <c r="H97" t="s">
        <v>61</v>
      </c>
      <c r="I97" t="s">
        <v>26</v>
      </c>
      <c r="J97">
        <v>1</v>
      </c>
      <c r="K97">
        <v>0</v>
      </c>
      <c r="L97" s="2">
        <v>3.8199999999999998E-2</v>
      </c>
      <c r="M97">
        <v>0.09</v>
      </c>
      <c r="N97" s="2">
        <v>3.82E-5</v>
      </c>
      <c r="O97" s="2">
        <v>8.9999999999999992E-5</v>
      </c>
    </row>
    <row r="98" spans="2:15">
      <c r="B98" t="s">
        <v>32</v>
      </c>
      <c r="C98" t="s">
        <v>46</v>
      </c>
      <c r="D98" t="s">
        <v>437</v>
      </c>
      <c r="E98" t="s">
        <v>438</v>
      </c>
      <c r="F98" t="s">
        <v>12</v>
      </c>
      <c r="G98" t="s">
        <v>437</v>
      </c>
      <c r="H98" t="s">
        <v>439</v>
      </c>
      <c r="I98" t="s">
        <v>27</v>
      </c>
      <c r="J98">
        <v>19</v>
      </c>
      <c r="K98">
        <v>1</v>
      </c>
      <c r="L98" s="2">
        <v>3.8199999999999998E-2</v>
      </c>
      <c r="M98">
        <v>0.09</v>
      </c>
      <c r="N98" s="2">
        <v>7.2579999999999997E-4</v>
      </c>
      <c r="O98" s="2">
        <v>1.7099999999999999E-3</v>
      </c>
    </row>
    <row r="99" spans="2:15">
      <c r="B99" t="s">
        <v>32</v>
      </c>
      <c r="C99" t="s">
        <v>46</v>
      </c>
      <c r="D99" t="s">
        <v>440</v>
      </c>
      <c r="E99" t="s">
        <v>441</v>
      </c>
      <c r="F99" t="s">
        <v>12</v>
      </c>
      <c r="G99" t="s">
        <v>60</v>
      </c>
      <c r="H99" t="s">
        <v>61</v>
      </c>
      <c r="I99" t="s">
        <v>26</v>
      </c>
      <c r="J99">
        <v>1</v>
      </c>
      <c r="K99">
        <v>0</v>
      </c>
      <c r="L99" s="2">
        <v>3.8199999999999998E-2</v>
      </c>
      <c r="M99">
        <v>0.09</v>
      </c>
      <c r="N99" s="2">
        <v>3.82E-5</v>
      </c>
      <c r="O99" s="2">
        <v>8.9999999999999992E-5</v>
      </c>
    </row>
    <row r="100" spans="2:15">
      <c r="B100" t="s">
        <v>32</v>
      </c>
      <c r="C100" t="s">
        <v>46</v>
      </c>
      <c r="D100" t="s">
        <v>442</v>
      </c>
      <c r="E100" t="s">
        <v>443</v>
      </c>
      <c r="F100" t="s">
        <v>12</v>
      </c>
      <c r="G100" t="s">
        <v>60</v>
      </c>
      <c r="H100" t="s">
        <v>61</v>
      </c>
      <c r="I100" t="s">
        <v>26</v>
      </c>
      <c r="J100">
        <v>2</v>
      </c>
      <c r="K100">
        <v>0</v>
      </c>
      <c r="L100" s="2">
        <v>3.8199999999999998E-2</v>
      </c>
      <c r="M100">
        <v>0.09</v>
      </c>
      <c r="N100" s="2">
        <v>7.64E-5</v>
      </c>
      <c r="O100" s="2">
        <v>1.7999999999999998E-4</v>
      </c>
    </row>
    <row r="101" spans="2:15">
      <c r="B101" t="s">
        <v>32</v>
      </c>
      <c r="C101" t="s">
        <v>46</v>
      </c>
      <c r="D101" t="s">
        <v>442</v>
      </c>
      <c r="E101" t="s">
        <v>443</v>
      </c>
      <c r="F101" t="s">
        <v>12</v>
      </c>
      <c r="G101" t="s">
        <v>442</v>
      </c>
      <c r="H101" t="s">
        <v>444</v>
      </c>
      <c r="I101" t="s">
        <v>27</v>
      </c>
      <c r="J101">
        <v>19</v>
      </c>
      <c r="K101">
        <v>0</v>
      </c>
      <c r="L101" s="2">
        <v>3.8199999999999998E-2</v>
      </c>
      <c r="M101">
        <v>0.09</v>
      </c>
      <c r="N101" s="2">
        <v>7.2579999999999997E-4</v>
      </c>
      <c r="O101" s="2">
        <v>1.7099999999999999E-3</v>
      </c>
    </row>
    <row r="102" spans="2:15">
      <c r="B102" t="s">
        <v>32</v>
      </c>
      <c r="C102" t="s">
        <v>46</v>
      </c>
      <c r="D102" t="s">
        <v>445</v>
      </c>
      <c r="E102" t="s">
        <v>446</v>
      </c>
      <c r="F102" t="s">
        <v>12</v>
      </c>
      <c r="G102" t="s">
        <v>60</v>
      </c>
      <c r="H102" t="s">
        <v>61</v>
      </c>
      <c r="I102" t="s">
        <v>26</v>
      </c>
      <c r="J102">
        <v>10</v>
      </c>
      <c r="K102">
        <v>0</v>
      </c>
      <c r="L102" s="2">
        <v>3.8199999999999998E-2</v>
      </c>
      <c r="M102">
        <v>0.09</v>
      </c>
      <c r="N102" s="2">
        <v>3.8200000000000002E-4</v>
      </c>
      <c r="O102" s="2">
        <v>8.9999999999999987E-4</v>
      </c>
    </row>
    <row r="103" spans="2:15">
      <c r="B103" t="s">
        <v>32</v>
      </c>
      <c r="C103" t="s">
        <v>46</v>
      </c>
      <c r="D103" t="s">
        <v>445</v>
      </c>
      <c r="E103" t="s">
        <v>446</v>
      </c>
      <c r="F103" t="s">
        <v>10</v>
      </c>
      <c r="G103" t="s">
        <v>445</v>
      </c>
      <c r="H103" t="s">
        <v>447</v>
      </c>
      <c r="I103" t="s">
        <v>27</v>
      </c>
      <c r="J103">
        <v>0</v>
      </c>
      <c r="K103">
        <v>1</v>
      </c>
      <c r="L103" s="2">
        <v>3.5000000000000001E-3</v>
      </c>
      <c r="M103">
        <v>0.02</v>
      </c>
      <c r="N103" s="2">
        <v>3.5000000000000001E-3</v>
      </c>
      <c r="O103" s="2">
        <v>0.02</v>
      </c>
    </row>
    <row r="104" spans="2:15">
      <c r="B104" t="s">
        <v>32</v>
      </c>
      <c r="C104" t="s">
        <v>46</v>
      </c>
      <c r="D104" t="s">
        <v>448</v>
      </c>
      <c r="E104" t="s">
        <v>449</v>
      </c>
      <c r="F104" t="s">
        <v>12</v>
      </c>
      <c r="G104" t="s">
        <v>60</v>
      </c>
      <c r="H104" t="s">
        <v>61</v>
      </c>
      <c r="I104" t="s">
        <v>26</v>
      </c>
      <c r="J104">
        <v>4</v>
      </c>
      <c r="K104">
        <v>0</v>
      </c>
      <c r="L104" s="2">
        <v>3.8199999999999998E-2</v>
      </c>
      <c r="M104">
        <v>0.09</v>
      </c>
      <c r="N104" s="2">
        <v>1.528E-4</v>
      </c>
      <c r="O104" s="2">
        <v>3.5999999999999997E-4</v>
      </c>
    </row>
    <row r="105" spans="2:15">
      <c r="B105" t="s">
        <v>32</v>
      </c>
      <c r="C105" t="s">
        <v>46</v>
      </c>
      <c r="D105" t="s">
        <v>450</v>
      </c>
      <c r="E105" t="s">
        <v>451</v>
      </c>
      <c r="F105" t="s">
        <v>12</v>
      </c>
      <c r="G105" t="s">
        <v>60</v>
      </c>
      <c r="H105" t="s">
        <v>61</v>
      </c>
      <c r="I105" t="s">
        <v>26</v>
      </c>
      <c r="J105">
        <v>2</v>
      </c>
      <c r="K105">
        <v>0</v>
      </c>
      <c r="L105" s="2">
        <v>3.8199999999999998E-2</v>
      </c>
      <c r="M105">
        <v>0.09</v>
      </c>
      <c r="N105" s="2">
        <v>7.64E-5</v>
      </c>
      <c r="O105" s="2">
        <v>1.7999999999999998E-4</v>
      </c>
    </row>
    <row r="106" spans="2:15">
      <c r="B106" t="s">
        <v>32</v>
      </c>
      <c r="C106" t="s">
        <v>46</v>
      </c>
      <c r="D106" t="s">
        <v>450</v>
      </c>
      <c r="E106" t="s">
        <v>451</v>
      </c>
      <c r="F106" t="s">
        <v>12</v>
      </c>
      <c r="G106" t="s">
        <v>450</v>
      </c>
      <c r="H106" t="s">
        <v>452</v>
      </c>
      <c r="I106" t="s">
        <v>27</v>
      </c>
      <c r="J106">
        <v>21</v>
      </c>
      <c r="K106">
        <v>2</v>
      </c>
      <c r="L106" s="2">
        <v>3.8199999999999998E-2</v>
      </c>
      <c r="M106">
        <v>0.09</v>
      </c>
      <c r="N106" s="2">
        <v>8.0219999999999987E-4</v>
      </c>
      <c r="O106" s="2">
        <v>1.89E-3</v>
      </c>
    </row>
    <row r="107" spans="2:15">
      <c r="B107" t="s">
        <v>32</v>
      </c>
      <c r="C107" t="s">
        <v>46</v>
      </c>
      <c r="D107" t="s">
        <v>453</v>
      </c>
      <c r="E107" t="s">
        <v>454</v>
      </c>
      <c r="F107" t="s">
        <v>12</v>
      </c>
      <c r="G107" t="s">
        <v>60</v>
      </c>
      <c r="H107" t="s">
        <v>61</v>
      </c>
      <c r="I107" t="s">
        <v>26</v>
      </c>
      <c r="J107">
        <v>1</v>
      </c>
      <c r="K107">
        <v>0</v>
      </c>
      <c r="L107" s="2">
        <v>3.8199999999999998E-2</v>
      </c>
      <c r="M107">
        <v>0.09</v>
      </c>
      <c r="N107" s="2">
        <v>3.82E-5</v>
      </c>
      <c r="O107" s="2">
        <v>8.9999999999999992E-5</v>
      </c>
    </row>
    <row r="108" spans="2:15">
      <c r="B108" t="s">
        <v>32</v>
      </c>
      <c r="C108" t="s">
        <v>46</v>
      </c>
      <c r="D108" t="s">
        <v>453</v>
      </c>
      <c r="E108" t="s">
        <v>454</v>
      </c>
      <c r="F108" t="s">
        <v>12</v>
      </c>
      <c r="G108" t="s">
        <v>453</v>
      </c>
      <c r="H108" t="s">
        <v>455</v>
      </c>
      <c r="I108" t="s">
        <v>27</v>
      </c>
      <c r="J108">
        <v>3550574</v>
      </c>
      <c r="K108">
        <v>21635</v>
      </c>
      <c r="L108" s="2">
        <v>3.8199999999999998E-2</v>
      </c>
      <c r="M108">
        <v>0.09</v>
      </c>
      <c r="N108" s="2">
        <v>135.63192679999997</v>
      </c>
      <c r="O108" s="2">
        <v>319.55165999999997</v>
      </c>
    </row>
    <row r="109" spans="2:15">
      <c r="B109" t="s">
        <v>32</v>
      </c>
      <c r="C109" t="s">
        <v>46</v>
      </c>
      <c r="D109" t="s">
        <v>456</v>
      </c>
      <c r="E109" t="s">
        <v>457</v>
      </c>
      <c r="F109" t="s">
        <v>12</v>
      </c>
      <c r="G109" t="s">
        <v>60</v>
      </c>
      <c r="H109" t="s">
        <v>61</v>
      </c>
      <c r="I109" t="s">
        <v>26</v>
      </c>
      <c r="J109">
        <v>3</v>
      </c>
      <c r="K109">
        <v>0</v>
      </c>
      <c r="L109" s="2">
        <v>3.8199999999999998E-2</v>
      </c>
      <c r="M109">
        <v>0.09</v>
      </c>
      <c r="N109" s="2">
        <v>1.1459999999999999E-4</v>
      </c>
      <c r="O109" s="2">
        <v>2.7E-4</v>
      </c>
    </row>
    <row r="110" spans="2:15">
      <c r="B110" t="s">
        <v>32</v>
      </c>
      <c r="C110" t="s">
        <v>46</v>
      </c>
      <c r="D110" t="s">
        <v>458</v>
      </c>
      <c r="E110" t="s">
        <v>459</v>
      </c>
      <c r="F110" t="s">
        <v>12</v>
      </c>
      <c r="G110" t="s">
        <v>458</v>
      </c>
      <c r="H110" t="s">
        <v>460</v>
      </c>
      <c r="I110" t="s">
        <v>27</v>
      </c>
      <c r="J110">
        <v>21</v>
      </c>
      <c r="K110">
        <v>0</v>
      </c>
      <c r="L110" s="2">
        <v>3.8199999999999998E-2</v>
      </c>
      <c r="M110">
        <v>0.09</v>
      </c>
      <c r="N110" s="2">
        <v>8.0219999999999987E-4</v>
      </c>
      <c r="O110" s="2">
        <v>1.89E-3</v>
      </c>
    </row>
    <row r="111" spans="2:15">
      <c r="B111" t="s">
        <v>32</v>
      </c>
      <c r="C111" t="s">
        <v>46</v>
      </c>
      <c r="D111" t="s">
        <v>461</v>
      </c>
      <c r="E111" t="s">
        <v>462</v>
      </c>
      <c r="F111" t="s">
        <v>12</v>
      </c>
      <c r="G111" t="s">
        <v>60</v>
      </c>
      <c r="H111" t="s">
        <v>61</v>
      </c>
      <c r="I111" t="s">
        <v>26</v>
      </c>
      <c r="J111">
        <v>4</v>
      </c>
      <c r="K111">
        <v>0</v>
      </c>
      <c r="L111" s="2">
        <v>3.8199999999999998E-2</v>
      </c>
      <c r="M111">
        <v>0.09</v>
      </c>
      <c r="N111" s="2">
        <v>1.528E-4</v>
      </c>
      <c r="O111" s="2">
        <v>3.5999999999999997E-4</v>
      </c>
    </row>
    <row r="112" spans="2:15">
      <c r="B112" t="s">
        <v>32</v>
      </c>
      <c r="C112" t="s">
        <v>46</v>
      </c>
      <c r="D112" t="s">
        <v>461</v>
      </c>
      <c r="E112" t="s">
        <v>462</v>
      </c>
      <c r="F112" t="s">
        <v>12</v>
      </c>
      <c r="G112" t="s">
        <v>461</v>
      </c>
      <c r="H112" t="s">
        <v>463</v>
      </c>
      <c r="I112" t="s">
        <v>27</v>
      </c>
      <c r="J112">
        <v>902353</v>
      </c>
      <c r="K112">
        <v>2330</v>
      </c>
      <c r="L112" s="2">
        <v>3.8199999999999998E-2</v>
      </c>
      <c r="M112">
        <v>0.09</v>
      </c>
      <c r="N112" s="2">
        <v>34.4698846</v>
      </c>
      <c r="O112" s="2">
        <v>81.211770000000001</v>
      </c>
    </row>
    <row r="113" spans="2:15">
      <c r="B113" t="s">
        <v>32</v>
      </c>
      <c r="C113" t="s">
        <v>46</v>
      </c>
      <c r="D113" t="s">
        <v>464</v>
      </c>
      <c r="E113" t="s">
        <v>465</v>
      </c>
      <c r="F113" t="s">
        <v>12</v>
      </c>
      <c r="G113" t="s">
        <v>60</v>
      </c>
      <c r="H113" t="s">
        <v>61</v>
      </c>
      <c r="I113" t="s">
        <v>26</v>
      </c>
      <c r="J113">
        <v>2</v>
      </c>
      <c r="K113">
        <v>0</v>
      </c>
      <c r="L113" s="2">
        <v>3.8199999999999998E-2</v>
      </c>
      <c r="M113">
        <v>0.09</v>
      </c>
      <c r="N113" s="2">
        <v>7.64E-5</v>
      </c>
      <c r="O113" s="2">
        <v>1.7999999999999998E-4</v>
      </c>
    </row>
    <row r="114" spans="2:15">
      <c r="B114" t="s">
        <v>32</v>
      </c>
      <c r="C114" t="s">
        <v>46</v>
      </c>
      <c r="D114" t="s">
        <v>464</v>
      </c>
      <c r="E114" t="s">
        <v>465</v>
      </c>
      <c r="F114" t="s">
        <v>12</v>
      </c>
      <c r="G114" t="s">
        <v>464</v>
      </c>
      <c r="H114" t="s">
        <v>466</v>
      </c>
      <c r="I114" t="s">
        <v>27</v>
      </c>
      <c r="J114">
        <v>877950</v>
      </c>
      <c r="K114">
        <v>1670</v>
      </c>
      <c r="L114" s="2">
        <v>3.8199999999999998E-2</v>
      </c>
      <c r="M114">
        <v>0.09</v>
      </c>
      <c r="N114" s="2">
        <v>33.537689999999998</v>
      </c>
      <c r="O114" s="2">
        <v>79.015500000000003</v>
      </c>
    </row>
    <row r="115" spans="2:15">
      <c r="B115" t="s">
        <v>32</v>
      </c>
      <c r="C115" t="s">
        <v>46</v>
      </c>
      <c r="D115" t="s">
        <v>467</v>
      </c>
      <c r="E115" t="s">
        <v>468</v>
      </c>
      <c r="F115" t="s">
        <v>12</v>
      </c>
      <c r="G115" t="s">
        <v>60</v>
      </c>
      <c r="H115" t="s">
        <v>61</v>
      </c>
      <c r="I115" t="s">
        <v>26</v>
      </c>
      <c r="J115">
        <v>2</v>
      </c>
      <c r="K115">
        <v>0</v>
      </c>
      <c r="L115" s="2">
        <v>3.8199999999999998E-2</v>
      </c>
      <c r="M115">
        <v>0.09</v>
      </c>
      <c r="N115" s="2">
        <v>7.64E-5</v>
      </c>
      <c r="O115" s="2">
        <v>1.7999999999999998E-4</v>
      </c>
    </row>
    <row r="116" spans="2:15">
      <c r="B116" t="s">
        <v>32</v>
      </c>
      <c r="C116" t="s">
        <v>46</v>
      </c>
      <c r="D116" t="s">
        <v>469</v>
      </c>
      <c r="E116" t="s">
        <v>470</v>
      </c>
      <c r="F116" t="s">
        <v>12</v>
      </c>
      <c r="G116" t="s">
        <v>469</v>
      </c>
      <c r="H116" t="s">
        <v>471</v>
      </c>
      <c r="I116" t="s">
        <v>27</v>
      </c>
      <c r="J116">
        <v>20</v>
      </c>
      <c r="K116">
        <v>0</v>
      </c>
      <c r="L116" s="2">
        <v>3.8199999999999998E-2</v>
      </c>
      <c r="M116">
        <v>0.09</v>
      </c>
      <c r="N116" s="2">
        <v>7.6400000000000003E-4</v>
      </c>
      <c r="O116" s="2">
        <v>1.7999999999999997E-3</v>
      </c>
    </row>
    <row r="117" spans="2:15">
      <c r="B117" t="s">
        <v>32</v>
      </c>
      <c r="C117" t="s">
        <v>46</v>
      </c>
      <c r="D117" t="s">
        <v>472</v>
      </c>
      <c r="E117" t="s">
        <v>473</v>
      </c>
      <c r="F117" t="s">
        <v>12</v>
      </c>
      <c r="G117" t="s">
        <v>472</v>
      </c>
      <c r="H117" t="s">
        <v>474</v>
      </c>
      <c r="I117" t="s">
        <v>27</v>
      </c>
      <c r="J117">
        <v>30948795</v>
      </c>
      <c r="K117">
        <v>504684</v>
      </c>
      <c r="L117" s="2">
        <v>3.8199999999999998E-2</v>
      </c>
      <c r="M117">
        <v>0.09</v>
      </c>
      <c r="N117" s="2">
        <v>1182.2439690000001</v>
      </c>
      <c r="O117" s="2">
        <v>2785.3915499999998</v>
      </c>
    </row>
    <row r="118" spans="2:15">
      <c r="B118" t="s">
        <v>32</v>
      </c>
      <c r="C118" t="s">
        <v>56</v>
      </c>
      <c r="D118" t="s">
        <v>475</v>
      </c>
      <c r="E118" t="s">
        <v>476</v>
      </c>
      <c r="F118" t="s">
        <v>12</v>
      </c>
      <c r="G118" t="s">
        <v>475</v>
      </c>
      <c r="H118" t="s">
        <v>477</v>
      </c>
      <c r="I118" t="s">
        <v>27</v>
      </c>
      <c r="J118">
        <v>119670</v>
      </c>
      <c r="K118">
        <v>207</v>
      </c>
      <c r="L118" s="2">
        <v>3.8199999999999998E-2</v>
      </c>
      <c r="M118">
        <v>0.09</v>
      </c>
      <c r="N118" s="2">
        <v>4.5713939999999997</v>
      </c>
      <c r="O118" s="2">
        <v>10.770299999999999</v>
      </c>
    </row>
    <row r="119" spans="2:15">
      <c r="B119" t="s">
        <v>32</v>
      </c>
      <c r="C119" t="s">
        <v>56</v>
      </c>
      <c r="D119" t="s">
        <v>478</v>
      </c>
      <c r="E119" t="s">
        <v>479</v>
      </c>
      <c r="F119" t="s">
        <v>12</v>
      </c>
      <c r="G119" t="s">
        <v>478</v>
      </c>
      <c r="H119" t="s">
        <v>480</v>
      </c>
      <c r="I119" t="s">
        <v>27</v>
      </c>
      <c r="J119">
        <v>89280</v>
      </c>
      <c r="K119">
        <v>436</v>
      </c>
      <c r="L119" s="2">
        <v>3.8199999999999998E-2</v>
      </c>
      <c r="M119">
        <v>0.09</v>
      </c>
      <c r="N119" s="2">
        <v>3.4104959999999997</v>
      </c>
      <c r="O119" s="2">
        <v>8.0351999999999997</v>
      </c>
    </row>
    <row r="120" spans="2:15">
      <c r="B120" t="s">
        <v>32</v>
      </c>
      <c r="C120" t="s">
        <v>56</v>
      </c>
      <c r="D120" t="s">
        <v>165</v>
      </c>
      <c r="E120" t="s">
        <v>166</v>
      </c>
      <c r="F120" t="s">
        <v>10</v>
      </c>
      <c r="G120" t="s">
        <v>165</v>
      </c>
      <c r="H120" t="s">
        <v>167</v>
      </c>
      <c r="I120" t="s">
        <v>27</v>
      </c>
      <c r="J120">
        <v>1650</v>
      </c>
      <c r="K120">
        <v>1865</v>
      </c>
      <c r="L120" s="2">
        <v>3.5000000000000001E-3</v>
      </c>
      <c r="M120">
        <v>0.02</v>
      </c>
      <c r="N120" s="2">
        <v>6.5274999999999999</v>
      </c>
      <c r="O120" s="2">
        <v>37.300000000000004</v>
      </c>
    </row>
    <row r="121" spans="2:15">
      <c r="B121" t="s">
        <v>32</v>
      </c>
      <c r="C121" t="s">
        <v>56</v>
      </c>
      <c r="D121" t="s">
        <v>481</v>
      </c>
      <c r="E121" t="s">
        <v>482</v>
      </c>
      <c r="F121" t="s">
        <v>10</v>
      </c>
      <c r="G121" t="s">
        <v>481</v>
      </c>
      <c r="H121" t="s">
        <v>483</v>
      </c>
      <c r="I121" t="s">
        <v>27</v>
      </c>
      <c r="J121">
        <v>0</v>
      </c>
      <c r="K121">
        <v>1</v>
      </c>
      <c r="L121" s="2">
        <v>3.5000000000000001E-3</v>
      </c>
      <c r="M121">
        <v>0.02</v>
      </c>
      <c r="N121" s="2">
        <v>3.5000000000000001E-3</v>
      </c>
      <c r="O121" s="2">
        <v>0.02</v>
      </c>
    </row>
    <row r="122" spans="2:15">
      <c r="B122" t="s">
        <v>32</v>
      </c>
      <c r="C122" t="s">
        <v>56</v>
      </c>
      <c r="D122" t="s">
        <v>168</v>
      </c>
      <c r="E122" t="s">
        <v>169</v>
      </c>
      <c r="F122" t="s">
        <v>10</v>
      </c>
      <c r="G122" t="s">
        <v>168</v>
      </c>
      <c r="H122" t="s">
        <v>170</v>
      </c>
      <c r="I122" t="s">
        <v>27</v>
      </c>
      <c r="J122">
        <v>36</v>
      </c>
      <c r="K122">
        <v>36</v>
      </c>
      <c r="L122" s="2">
        <v>3.5000000000000001E-3</v>
      </c>
      <c r="M122">
        <v>0.02</v>
      </c>
      <c r="N122" s="2">
        <v>0.126</v>
      </c>
      <c r="O122" s="2">
        <v>0.72</v>
      </c>
    </row>
    <row r="123" spans="2:15">
      <c r="B123" t="s">
        <v>32</v>
      </c>
      <c r="C123" t="s">
        <v>47</v>
      </c>
      <c r="D123" t="s">
        <v>484</v>
      </c>
      <c r="E123" t="s">
        <v>485</v>
      </c>
      <c r="F123" t="s">
        <v>10</v>
      </c>
      <c r="G123" t="s">
        <v>484</v>
      </c>
      <c r="H123" t="s">
        <v>486</v>
      </c>
      <c r="I123" t="s">
        <v>27</v>
      </c>
      <c r="J123">
        <v>0</v>
      </c>
      <c r="K123">
        <v>1</v>
      </c>
      <c r="L123" s="2">
        <v>3.5000000000000001E-3</v>
      </c>
      <c r="M123">
        <v>0.02</v>
      </c>
      <c r="N123" s="2">
        <v>3.5000000000000001E-3</v>
      </c>
      <c r="O123" s="2">
        <v>0.02</v>
      </c>
    </row>
    <row r="124" spans="2:15">
      <c r="B124" t="s">
        <v>32</v>
      </c>
      <c r="C124" t="s">
        <v>68</v>
      </c>
      <c r="D124" t="s">
        <v>171</v>
      </c>
      <c r="E124" t="s">
        <v>172</v>
      </c>
      <c r="F124" t="s">
        <v>10</v>
      </c>
      <c r="G124" t="s">
        <v>171</v>
      </c>
      <c r="H124" t="s">
        <v>173</v>
      </c>
      <c r="I124" t="s">
        <v>27</v>
      </c>
      <c r="J124">
        <v>0</v>
      </c>
      <c r="K124">
        <v>50</v>
      </c>
      <c r="L124" s="2">
        <v>3.5000000000000001E-3</v>
      </c>
      <c r="M124">
        <v>0.02</v>
      </c>
      <c r="N124" s="2">
        <v>0.17500000000000002</v>
      </c>
      <c r="O124" s="2">
        <v>1</v>
      </c>
    </row>
    <row r="125" spans="2:15">
      <c r="B125" t="s">
        <v>32</v>
      </c>
      <c r="C125" t="s">
        <v>68</v>
      </c>
      <c r="D125" t="s">
        <v>69</v>
      </c>
      <c r="E125" t="s">
        <v>70</v>
      </c>
      <c r="F125" t="s">
        <v>10</v>
      </c>
      <c r="G125" t="s">
        <v>69</v>
      </c>
      <c r="H125" t="s">
        <v>71</v>
      </c>
      <c r="I125" t="s">
        <v>27</v>
      </c>
      <c r="J125">
        <v>0</v>
      </c>
      <c r="K125">
        <v>14</v>
      </c>
      <c r="L125" s="2">
        <v>3.5000000000000001E-3</v>
      </c>
      <c r="M125">
        <v>0.02</v>
      </c>
      <c r="N125" s="2">
        <v>4.9000000000000002E-2</v>
      </c>
      <c r="O125" s="2">
        <v>0.28000000000000003</v>
      </c>
    </row>
    <row r="126" spans="2:15">
      <c r="B126" t="s">
        <v>32</v>
      </c>
      <c r="C126" t="s">
        <v>48</v>
      </c>
      <c r="D126" t="s">
        <v>487</v>
      </c>
      <c r="E126" t="s">
        <v>488</v>
      </c>
      <c r="F126" t="s">
        <v>10</v>
      </c>
      <c r="G126" t="s">
        <v>487</v>
      </c>
      <c r="H126" t="s">
        <v>489</v>
      </c>
      <c r="I126" t="s">
        <v>27</v>
      </c>
      <c r="J126">
        <v>0</v>
      </c>
      <c r="K126">
        <v>408</v>
      </c>
      <c r="L126" s="2">
        <v>3.5000000000000001E-3</v>
      </c>
      <c r="M126">
        <v>0.02</v>
      </c>
      <c r="N126" s="2">
        <v>1.4279999999999999</v>
      </c>
      <c r="O126" s="2">
        <v>8.16</v>
      </c>
    </row>
    <row r="127" spans="2:15">
      <c r="B127" t="s">
        <v>32</v>
      </c>
      <c r="C127" t="s">
        <v>48</v>
      </c>
      <c r="D127" t="s">
        <v>174</v>
      </c>
      <c r="E127" t="s">
        <v>175</v>
      </c>
      <c r="F127" t="s">
        <v>10</v>
      </c>
      <c r="G127" t="s">
        <v>174</v>
      </c>
      <c r="H127" t="s">
        <v>176</v>
      </c>
      <c r="I127" t="s">
        <v>27</v>
      </c>
      <c r="J127">
        <v>0</v>
      </c>
      <c r="K127">
        <v>99</v>
      </c>
      <c r="L127" s="2">
        <v>3.5000000000000001E-3</v>
      </c>
      <c r="M127">
        <v>0.02</v>
      </c>
      <c r="N127" s="2">
        <v>0.34650000000000003</v>
      </c>
      <c r="O127" s="2">
        <v>1.98</v>
      </c>
    </row>
    <row r="128" spans="2:15">
      <c r="B128" t="s">
        <v>32</v>
      </c>
      <c r="C128" t="s">
        <v>48</v>
      </c>
      <c r="D128" t="s">
        <v>177</v>
      </c>
      <c r="E128" t="s">
        <v>178</v>
      </c>
      <c r="F128" t="s">
        <v>10</v>
      </c>
      <c r="G128" t="s">
        <v>177</v>
      </c>
      <c r="H128" t="s">
        <v>179</v>
      </c>
      <c r="I128" t="s">
        <v>27</v>
      </c>
      <c r="J128">
        <v>0</v>
      </c>
      <c r="K128">
        <v>6</v>
      </c>
      <c r="L128" s="2">
        <v>3.5000000000000001E-3</v>
      </c>
      <c r="M128">
        <v>0.02</v>
      </c>
      <c r="N128" s="2">
        <v>2.1000000000000001E-2</v>
      </c>
      <c r="O128" s="2">
        <v>0.12</v>
      </c>
    </row>
    <row r="129" spans="2:15">
      <c r="B129" t="s">
        <v>32</v>
      </c>
      <c r="C129" t="s">
        <v>48</v>
      </c>
      <c r="D129" t="s">
        <v>180</v>
      </c>
      <c r="E129" t="s">
        <v>181</v>
      </c>
      <c r="F129" t="s">
        <v>10</v>
      </c>
      <c r="G129" t="s">
        <v>180</v>
      </c>
      <c r="H129" t="s">
        <v>182</v>
      </c>
      <c r="I129" t="s">
        <v>27</v>
      </c>
      <c r="J129">
        <v>0</v>
      </c>
      <c r="K129">
        <v>1</v>
      </c>
      <c r="L129" s="2">
        <v>3.5000000000000001E-3</v>
      </c>
      <c r="M129">
        <v>0.02</v>
      </c>
      <c r="N129" s="2">
        <v>3.5000000000000001E-3</v>
      </c>
      <c r="O129" s="2">
        <v>0.02</v>
      </c>
    </row>
    <row r="130" spans="2:15">
      <c r="B130" t="s">
        <v>32</v>
      </c>
      <c r="C130" t="s">
        <v>48</v>
      </c>
      <c r="D130" t="s">
        <v>183</v>
      </c>
      <c r="E130" t="s">
        <v>184</v>
      </c>
      <c r="F130" t="s">
        <v>10</v>
      </c>
      <c r="G130" t="s">
        <v>183</v>
      </c>
      <c r="H130" t="s">
        <v>185</v>
      </c>
      <c r="I130" t="s">
        <v>27</v>
      </c>
      <c r="J130">
        <v>0</v>
      </c>
      <c r="K130">
        <v>28</v>
      </c>
      <c r="L130" s="2">
        <v>3.5000000000000001E-3</v>
      </c>
      <c r="M130">
        <v>0.02</v>
      </c>
      <c r="N130" s="2">
        <v>9.8000000000000004E-2</v>
      </c>
      <c r="O130" s="2">
        <v>0.56000000000000005</v>
      </c>
    </row>
    <row r="131" spans="2:15">
      <c r="B131" t="s">
        <v>32</v>
      </c>
      <c r="C131" t="s">
        <v>48</v>
      </c>
      <c r="D131" t="s">
        <v>186</v>
      </c>
      <c r="E131" t="s">
        <v>187</v>
      </c>
      <c r="F131" t="s">
        <v>10</v>
      </c>
      <c r="G131" t="s">
        <v>186</v>
      </c>
      <c r="H131" t="s">
        <v>188</v>
      </c>
      <c r="I131" t="s">
        <v>27</v>
      </c>
      <c r="J131">
        <v>0</v>
      </c>
      <c r="K131">
        <v>3</v>
      </c>
      <c r="L131" s="2">
        <v>3.5000000000000001E-3</v>
      </c>
      <c r="M131">
        <v>0.02</v>
      </c>
      <c r="N131" s="2">
        <v>1.0500000000000001E-2</v>
      </c>
      <c r="O131" s="2">
        <v>0.06</v>
      </c>
    </row>
    <row r="132" spans="2:15">
      <c r="B132" t="s">
        <v>32</v>
      </c>
      <c r="C132" t="s">
        <v>48</v>
      </c>
      <c r="D132" t="s">
        <v>189</v>
      </c>
      <c r="E132" t="s">
        <v>190</v>
      </c>
      <c r="F132" t="s">
        <v>10</v>
      </c>
      <c r="G132" t="s">
        <v>189</v>
      </c>
      <c r="H132" t="s">
        <v>191</v>
      </c>
      <c r="I132" t="s">
        <v>27</v>
      </c>
      <c r="J132">
        <v>0</v>
      </c>
      <c r="K132">
        <v>6</v>
      </c>
      <c r="L132" s="2">
        <v>3.5000000000000001E-3</v>
      </c>
      <c r="M132">
        <v>0.02</v>
      </c>
      <c r="N132" s="2">
        <v>2.1000000000000001E-2</v>
      </c>
      <c r="O132" s="2">
        <v>0.12</v>
      </c>
    </row>
    <row r="133" spans="2:15">
      <c r="B133" t="s">
        <v>32</v>
      </c>
      <c r="C133" t="s">
        <v>48</v>
      </c>
      <c r="D133" t="s">
        <v>192</v>
      </c>
      <c r="E133" t="s">
        <v>193</v>
      </c>
      <c r="F133" t="s">
        <v>10</v>
      </c>
      <c r="G133" t="s">
        <v>192</v>
      </c>
      <c r="H133" t="s">
        <v>194</v>
      </c>
      <c r="I133" t="s">
        <v>27</v>
      </c>
      <c r="J133">
        <v>0</v>
      </c>
      <c r="K133">
        <v>91</v>
      </c>
      <c r="L133" s="2">
        <v>3.5000000000000001E-3</v>
      </c>
      <c r="M133">
        <v>0.02</v>
      </c>
      <c r="N133" s="2">
        <v>0.31850000000000001</v>
      </c>
      <c r="O133" s="2">
        <v>1.82</v>
      </c>
    </row>
    <row r="134" spans="2:15">
      <c r="B134" t="s">
        <v>32</v>
      </c>
      <c r="C134" t="s">
        <v>48</v>
      </c>
      <c r="D134" t="s">
        <v>195</v>
      </c>
      <c r="E134" t="s">
        <v>196</v>
      </c>
      <c r="F134" t="s">
        <v>10</v>
      </c>
      <c r="G134" t="s">
        <v>195</v>
      </c>
      <c r="H134" t="s">
        <v>197</v>
      </c>
      <c r="I134" t="s">
        <v>27</v>
      </c>
      <c r="J134">
        <v>0</v>
      </c>
      <c r="K134">
        <v>33</v>
      </c>
      <c r="L134" s="2">
        <v>3.5000000000000001E-3</v>
      </c>
      <c r="M134">
        <v>0.02</v>
      </c>
      <c r="N134" s="2">
        <v>0.11550000000000001</v>
      </c>
      <c r="O134" s="2">
        <v>0.66</v>
      </c>
    </row>
    <row r="135" spans="2:15">
      <c r="B135" t="s">
        <v>32</v>
      </c>
      <c r="C135" t="s">
        <v>48</v>
      </c>
      <c r="D135" t="s">
        <v>198</v>
      </c>
      <c r="E135" t="s">
        <v>199</v>
      </c>
      <c r="F135" t="s">
        <v>10</v>
      </c>
      <c r="G135" t="s">
        <v>198</v>
      </c>
      <c r="H135" t="s">
        <v>200</v>
      </c>
      <c r="I135" t="s">
        <v>27</v>
      </c>
      <c r="J135">
        <v>0</v>
      </c>
      <c r="K135">
        <v>15</v>
      </c>
      <c r="L135" s="2">
        <v>3.5000000000000001E-3</v>
      </c>
      <c r="M135">
        <v>0.02</v>
      </c>
      <c r="N135" s="2">
        <v>5.2499999999999998E-2</v>
      </c>
      <c r="O135" s="2">
        <v>0.3</v>
      </c>
    </row>
    <row r="136" spans="2:15">
      <c r="B136" t="s">
        <v>32</v>
      </c>
      <c r="C136" t="s">
        <v>48</v>
      </c>
      <c r="D136" t="s">
        <v>490</v>
      </c>
      <c r="E136" t="s">
        <v>491</v>
      </c>
      <c r="F136" t="s">
        <v>10</v>
      </c>
      <c r="G136" t="s">
        <v>490</v>
      </c>
      <c r="H136" t="s">
        <v>492</v>
      </c>
      <c r="I136" t="s">
        <v>27</v>
      </c>
      <c r="J136">
        <v>0</v>
      </c>
      <c r="K136">
        <v>20</v>
      </c>
      <c r="L136" s="2">
        <v>3.5000000000000001E-3</v>
      </c>
      <c r="M136">
        <v>0.02</v>
      </c>
      <c r="N136" s="2">
        <v>7.0000000000000007E-2</v>
      </c>
      <c r="O136" s="2">
        <v>0.4</v>
      </c>
    </row>
    <row r="137" spans="2:15">
      <c r="B137" t="s">
        <v>32</v>
      </c>
      <c r="C137" t="s">
        <v>48</v>
      </c>
      <c r="D137" t="s">
        <v>493</v>
      </c>
      <c r="E137" t="s">
        <v>494</v>
      </c>
      <c r="F137" t="s">
        <v>10</v>
      </c>
      <c r="G137" t="s">
        <v>493</v>
      </c>
      <c r="H137" t="s">
        <v>495</v>
      </c>
      <c r="I137" t="s">
        <v>27</v>
      </c>
      <c r="J137">
        <v>0</v>
      </c>
      <c r="K137">
        <v>21</v>
      </c>
      <c r="L137" s="2">
        <v>3.5000000000000001E-3</v>
      </c>
      <c r="M137">
        <v>0.02</v>
      </c>
      <c r="N137" s="2">
        <v>7.3499999999999996E-2</v>
      </c>
      <c r="O137" s="2">
        <v>0.42</v>
      </c>
    </row>
    <row r="138" spans="2:15">
      <c r="B138" t="s">
        <v>32</v>
      </c>
      <c r="C138" t="s">
        <v>201</v>
      </c>
      <c r="D138" t="s">
        <v>202</v>
      </c>
      <c r="E138" t="s">
        <v>203</v>
      </c>
      <c r="F138" t="s">
        <v>10</v>
      </c>
      <c r="G138" t="s">
        <v>202</v>
      </c>
      <c r="H138" t="s">
        <v>204</v>
      </c>
      <c r="I138" t="s">
        <v>27</v>
      </c>
      <c r="J138">
        <v>0</v>
      </c>
      <c r="K138">
        <v>30</v>
      </c>
      <c r="L138" s="2">
        <v>3.5000000000000001E-3</v>
      </c>
      <c r="M138">
        <v>0.02</v>
      </c>
      <c r="N138" s="2">
        <v>0.105</v>
      </c>
      <c r="O138" s="2">
        <v>0.6</v>
      </c>
    </row>
    <row r="139" spans="2:15">
      <c r="B139" t="s">
        <v>32</v>
      </c>
      <c r="C139" t="s">
        <v>201</v>
      </c>
      <c r="D139" t="s">
        <v>205</v>
      </c>
      <c r="E139" t="s">
        <v>206</v>
      </c>
      <c r="F139" t="s">
        <v>10</v>
      </c>
      <c r="G139" t="s">
        <v>205</v>
      </c>
      <c r="H139" t="s">
        <v>207</v>
      </c>
      <c r="I139" t="s">
        <v>27</v>
      </c>
      <c r="J139">
        <v>34</v>
      </c>
      <c r="K139">
        <v>189</v>
      </c>
      <c r="L139" s="2">
        <v>3.5000000000000001E-3</v>
      </c>
      <c r="M139">
        <v>0.02</v>
      </c>
      <c r="N139" s="2">
        <v>0.66149999999999998</v>
      </c>
      <c r="O139" s="2">
        <v>3.7800000000000002</v>
      </c>
    </row>
    <row r="140" spans="2:15">
      <c r="B140" t="s">
        <v>32</v>
      </c>
      <c r="C140" t="s">
        <v>201</v>
      </c>
      <c r="D140" t="s">
        <v>208</v>
      </c>
      <c r="E140" t="s">
        <v>209</v>
      </c>
      <c r="F140" t="s">
        <v>10</v>
      </c>
      <c r="G140" t="s">
        <v>208</v>
      </c>
      <c r="H140" t="s">
        <v>210</v>
      </c>
      <c r="I140" t="s">
        <v>27</v>
      </c>
      <c r="J140">
        <v>0</v>
      </c>
      <c r="K140">
        <v>7</v>
      </c>
      <c r="L140" s="2">
        <v>3.5000000000000001E-3</v>
      </c>
      <c r="M140">
        <v>0.02</v>
      </c>
      <c r="N140" s="2">
        <v>2.4500000000000001E-2</v>
      </c>
      <c r="O140" s="2">
        <v>0.14000000000000001</v>
      </c>
    </row>
    <row r="141" spans="2:15">
      <c r="B141" t="s">
        <v>32</v>
      </c>
      <c r="C141" t="s">
        <v>211</v>
      </c>
      <c r="D141" t="s">
        <v>496</v>
      </c>
      <c r="E141" t="s">
        <v>497</v>
      </c>
      <c r="F141" t="s">
        <v>12</v>
      </c>
      <c r="G141" t="s">
        <v>496</v>
      </c>
      <c r="H141" t="s">
        <v>498</v>
      </c>
      <c r="I141" t="s">
        <v>27</v>
      </c>
      <c r="J141">
        <v>515378</v>
      </c>
      <c r="K141">
        <v>25738</v>
      </c>
      <c r="L141" s="2">
        <v>3.8199999999999998E-2</v>
      </c>
      <c r="M141">
        <v>0.09</v>
      </c>
      <c r="N141" s="2">
        <v>19.687439599999998</v>
      </c>
      <c r="O141" s="2">
        <v>46.38402</v>
      </c>
    </row>
    <row r="142" spans="2:15">
      <c r="B142" t="s">
        <v>32</v>
      </c>
      <c r="C142" t="s">
        <v>211</v>
      </c>
      <c r="D142" t="s">
        <v>212</v>
      </c>
      <c r="E142" t="s">
        <v>213</v>
      </c>
      <c r="F142" t="s">
        <v>12</v>
      </c>
      <c r="G142" t="s">
        <v>212</v>
      </c>
      <c r="H142" t="s">
        <v>214</v>
      </c>
      <c r="I142" t="s">
        <v>27</v>
      </c>
      <c r="J142">
        <v>167785</v>
      </c>
      <c r="K142">
        <v>136</v>
      </c>
      <c r="L142" s="2">
        <v>3.8199999999999998E-2</v>
      </c>
      <c r="M142">
        <v>0.09</v>
      </c>
      <c r="N142" s="2">
        <v>6.4093869999999997</v>
      </c>
      <c r="O142" s="2">
        <v>15.10065</v>
      </c>
    </row>
    <row r="143" spans="2:15">
      <c r="B143" t="s">
        <v>32</v>
      </c>
      <c r="C143" t="s">
        <v>211</v>
      </c>
      <c r="D143" t="s">
        <v>499</v>
      </c>
      <c r="E143" t="s">
        <v>500</v>
      </c>
      <c r="F143" t="s">
        <v>12</v>
      </c>
      <c r="G143" t="s">
        <v>499</v>
      </c>
      <c r="H143" t="s">
        <v>501</v>
      </c>
      <c r="I143" t="s">
        <v>27</v>
      </c>
      <c r="J143">
        <v>110533</v>
      </c>
      <c r="K143">
        <v>1363</v>
      </c>
      <c r="L143" s="2">
        <v>3.8199999999999998E-2</v>
      </c>
      <c r="M143">
        <v>0.09</v>
      </c>
      <c r="N143" s="2">
        <v>4.2223606</v>
      </c>
      <c r="O143" s="2">
        <v>9.9479699999999998</v>
      </c>
    </row>
    <row r="144" spans="2:15">
      <c r="B144" t="s">
        <v>32</v>
      </c>
      <c r="C144" t="s">
        <v>211</v>
      </c>
      <c r="D144" t="s">
        <v>215</v>
      </c>
      <c r="E144" t="s">
        <v>216</v>
      </c>
      <c r="F144" t="s">
        <v>12</v>
      </c>
      <c r="G144" t="s">
        <v>215</v>
      </c>
      <c r="H144" t="s">
        <v>217</v>
      </c>
      <c r="I144" t="s">
        <v>27</v>
      </c>
      <c r="J144">
        <v>7</v>
      </c>
      <c r="K144">
        <v>0</v>
      </c>
      <c r="L144" s="2">
        <v>3.8199999999999998E-2</v>
      </c>
      <c r="M144">
        <v>0.09</v>
      </c>
      <c r="N144" s="2">
        <v>2.6739999999999999E-4</v>
      </c>
      <c r="O144" s="2">
        <v>6.3000000000000003E-4</v>
      </c>
    </row>
    <row r="145" spans="2:15">
      <c r="B145" t="s">
        <v>32</v>
      </c>
      <c r="C145" t="s">
        <v>218</v>
      </c>
      <c r="D145" t="s">
        <v>219</v>
      </c>
      <c r="E145" t="s">
        <v>220</v>
      </c>
      <c r="F145" t="s">
        <v>12</v>
      </c>
      <c r="G145" t="s">
        <v>219</v>
      </c>
      <c r="H145" t="s">
        <v>221</v>
      </c>
      <c r="I145" t="s">
        <v>27</v>
      </c>
      <c r="J145">
        <v>601</v>
      </c>
      <c r="K145">
        <v>1</v>
      </c>
      <c r="L145" s="2">
        <v>3.8199999999999998E-2</v>
      </c>
      <c r="M145">
        <v>0.09</v>
      </c>
      <c r="N145" s="2">
        <v>2.2958199999999998E-2</v>
      </c>
      <c r="O145" s="2">
        <v>5.4089999999999999E-2</v>
      </c>
    </row>
    <row r="146" spans="2:15">
      <c r="B146" t="s">
        <v>32</v>
      </c>
      <c r="C146" t="s">
        <v>222</v>
      </c>
      <c r="D146" t="s">
        <v>223</v>
      </c>
      <c r="E146" t="s">
        <v>224</v>
      </c>
      <c r="F146" t="s">
        <v>12</v>
      </c>
      <c r="G146" t="s">
        <v>223</v>
      </c>
      <c r="H146" t="s">
        <v>225</v>
      </c>
      <c r="I146" t="s">
        <v>27</v>
      </c>
      <c r="J146">
        <v>74909</v>
      </c>
      <c r="K146">
        <v>78</v>
      </c>
      <c r="L146" s="2">
        <v>3.8199999999999998E-2</v>
      </c>
      <c r="M146">
        <v>0.09</v>
      </c>
      <c r="N146" s="2">
        <v>2.8615238000000001</v>
      </c>
      <c r="O146" s="2">
        <v>6.7418099999999992</v>
      </c>
    </row>
    <row r="147" spans="2:15">
      <c r="B147" t="s">
        <v>32</v>
      </c>
      <c r="C147" t="s">
        <v>31</v>
      </c>
      <c r="D147" t="s">
        <v>502</v>
      </c>
      <c r="E147" t="s">
        <v>503</v>
      </c>
      <c r="F147" t="s">
        <v>10</v>
      </c>
      <c r="G147" t="s">
        <v>502</v>
      </c>
      <c r="H147" t="s">
        <v>504</v>
      </c>
      <c r="I147" t="s">
        <v>27</v>
      </c>
      <c r="J147">
        <v>0</v>
      </c>
      <c r="K147">
        <v>1</v>
      </c>
      <c r="L147" s="2">
        <v>3.5000000000000001E-3</v>
      </c>
      <c r="M147">
        <v>0.02</v>
      </c>
      <c r="N147" s="2">
        <v>3.5000000000000001E-3</v>
      </c>
      <c r="O147" s="2">
        <v>0.02</v>
      </c>
    </row>
    <row r="148" spans="2:15">
      <c r="B148" t="s">
        <v>32</v>
      </c>
      <c r="C148" t="s">
        <v>31</v>
      </c>
      <c r="D148" t="s">
        <v>505</v>
      </c>
      <c r="E148" t="s">
        <v>506</v>
      </c>
      <c r="F148" t="s">
        <v>10</v>
      </c>
      <c r="G148" t="s">
        <v>505</v>
      </c>
      <c r="H148" t="s">
        <v>507</v>
      </c>
      <c r="I148" t="s">
        <v>27</v>
      </c>
      <c r="J148">
        <v>0</v>
      </c>
      <c r="K148">
        <v>1</v>
      </c>
      <c r="L148" s="2">
        <v>3.5000000000000001E-3</v>
      </c>
      <c r="M148">
        <v>0.02</v>
      </c>
      <c r="N148" s="2">
        <v>3.5000000000000001E-3</v>
      </c>
      <c r="O148" s="2">
        <v>0.02</v>
      </c>
    </row>
    <row r="149" spans="2:15">
      <c r="B149" t="s">
        <v>32</v>
      </c>
      <c r="C149" t="s">
        <v>31</v>
      </c>
      <c r="D149" t="s">
        <v>226</v>
      </c>
      <c r="E149" t="s">
        <v>227</v>
      </c>
      <c r="F149" t="s">
        <v>10</v>
      </c>
      <c r="G149" t="s">
        <v>226</v>
      </c>
      <c r="H149" t="s">
        <v>228</v>
      </c>
      <c r="I149" t="s">
        <v>27</v>
      </c>
      <c r="J149">
        <v>0</v>
      </c>
      <c r="K149">
        <v>52</v>
      </c>
      <c r="L149" s="2">
        <v>3.5000000000000001E-3</v>
      </c>
      <c r="M149">
        <v>0.02</v>
      </c>
      <c r="N149" s="2">
        <v>0.182</v>
      </c>
      <c r="O149" s="2">
        <v>1.04</v>
      </c>
    </row>
    <row r="150" spans="2:15">
      <c r="B150" t="s">
        <v>32</v>
      </c>
      <c r="C150" t="s">
        <v>31</v>
      </c>
      <c r="D150" t="s">
        <v>229</v>
      </c>
      <c r="E150" t="s">
        <v>230</v>
      </c>
      <c r="F150" t="s">
        <v>10</v>
      </c>
      <c r="G150" t="s">
        <v>229</v>
      </c>
      <c r="H150" t="s">
        <v>231</v>
      </c>
      <c r="I150" t="s">
        <v>27</v>
      </c>
      <c r="J150">
        <v>0</v>
      </c>
      <c r="K150">
        <v>27</v>
      </c>
      <c r="L150" s="2">
        <v>3.5000000000000001E-3</v>
      </c>
      <c r="M150">
        <v>0.02</v>
      </c>
      <c r="N150" s="2">
        <v>9.4500000000000001E-2</v>
      </c>
      <c r="O150" s="2">
        <v>0.54</v>
      </c>
    </row>
    <row r="151" spans="2:15">
      <c r="B151" t="s">
        <v>32</v>
      </c>
      <c r="C151" t="s">
        <v>31</v>
      </c>
      <c r="D151" t="s">
        <v>72</v>
      </c>
      <c r="E151" t="s">
        <v>73</v>
      </c>
      <c r="F151" t="s">
        <v>10</v>
      </c>
      <c r="G151" t="s">
        <v>72</v>
      </c>
      <c r="H151" t="s">
        <v>74</v>
      </c>
      <c r="I151" t="s">
        <v>27</v>
      </c>
      <c r="J151">
        <v>0</v>
      </c>
      <c r="K151">
        <v>54</v>
      </c>
      <c r="L151" s="2">
        <v>3.5000000000000001E-3</v>
      </c>
      <c r="M151">
        <v>0.02</v>
      </c>
      <c r="N151" s="2">
        <v>0.189</v>
      </c>
      <c r="O151" s="2">
        <v>1.08</v>
      </c>
    </row>
    <row r="152" spans="2:15">
      <c r="B152" t="s">
        <v>32</v>
      </c>
      <c r="C152" t="s">
        <v>31</v>
      </c>
      <c r="D152" t="s">
        <v>232</v>
      </c>
      <c r="E152" t="s">
        <v>233</v>
      </c>
      <c r="F152" t="s">
        <v>10</v>
      </c>
      <c r="G152" t="s">
        <v>232</v>
      </c>
      <c r="H152" t="s">
        <v>234</v>
      </c>
      <c r="I152" t="s">
        <v>27</v>
      </c>
      <c r="J152">
        <v>0</v>
      </c>
      <c r="K152">
        <v>15</v>
      </c>
      <c r="L152" s="2">
        <v>3.5000000000000001E-3</v>
      </c>
      <c r="M152">
        <v>0.02</v>
      </c>
      <c r="N152" s="2">
        <v>5.2499999999999998E-2</v>
      </c>
      <c r="O152" s="2">
        <v>0.3</v>
      </c>
    </row>
    <row r="153" spans="2:15">
      <c r="B153" t="s">
        <v>32</v>
      </c>
      <c r="C153" t="s">
        <v>31</v>
      </c>
      <c r="D153" t="s">
        <v>57</v>
      </c>
      <c r="E153" t="s">
        <v>34</v>
      </c>
      <c r="F153" t="s">
        <v>10</v>
      </c>
      <c r="G153" t="s">
        <v>57</v>
      </c>
      <c r="H153" t="s">
        <v>35</v>
      </c>
      <c r="I153" t="s">
        <v>27</v>
      </c>
      <c r="J153">
        <v>0</v>
      </c>
      <c r="K153">
        <v>1</v>
      </c>
      <c r="L153" s="2">
        <v>3.5000000000000001E-3</v>
      </c>
      <c r="M153">
        <v>0.02</v>
      </c>
      <c r="N153" s="2">
        <v>3.5000000000000001E-3</v>
      </c>
      <c r="O153" s="2">
        <v>0.02</v>
      </c>
    </row>
    <row r="154" spans="2:15">
      <c r="B154" t="s">
        <v>32</v>
      </c>
      <c r="C154" t="s">
        <v>31</v>
      </c>
      <c r="D154" t="s">
        <v>58</v>
      </c>
      <c r="E154" t="s">
        <v>36</v>
      </c>
      <c r="F154" t="s">
        <v>10</v>
      </c>
      <c r="G154" t="s">
        <v>58</v>
      </c>
      <c r="H154" t="s">
        <v>37</v>
      </c>
      <c r="I154" t="s">
        <v>27</v>
      </c>
      <c r="J154">
        <v>0</v>
      </c>
      <c r="K154">
        <v>13</v>
      </c>
      <c r="L154" s="2">
        <v>3.5000000000000001E-3</v>
      </c>
      <c r="M154">
        <v>0.02</v>
      </c>
      <c r="N154" s="2">
        <v>4.5499999999999999E-2</v>
      </c>
      <c r="O154" s="2">
        <v>0.26</v>
      </c>
    </row>
    <row r="155" spans="2:15">
      <c r="B155" t="s">
        <v>32</v>
      </c>
      <c r="C155" t="s">
        <v>31</v>
      </c>
      <c r="D155" t="s">
        <v>508</v>
      </c>
      <c r="E155" t="s">
        <v>509</v>
      </c>
      <c r="F155" t="s">
        <v>10</v>
      </c>
      <c r="G155" t="s">
        <v>508</v>
      </c>
      <c r="H155" t="s">
        <v>510</v>
      </c>
      <c r="I155" t="s">
        <v>27</v>
      </c>
      <c r="J155">
        <v>0</v>
      </c>
      <c r="K155">
        <v>2</v>
      </c>
      <c r="L155" s="2">
        <v>3.5000000000000001E-3</v>
      </c>
      <c r="M155">
        <v>0.02</v>
      </c>
      <c r="N155" s="2">
        <v>7.0000000000000001E-3</v>
      </c>
      <c r="O155" s="2">
        <v>0.04</v>
      </c>
    </row>
    <row r="156" spans="2:15">
      <c r="B156" t="s">
        <v>32</v>
      </c>
      <c r="C156" t="s">
        <v>31</v>
      </c>
      <c r="D156" t="s">
        <v>511</v>
      </c>
      <c r="E156" t="s">
        <v>512</v>
      </c>
      <c r="F156" t="s">
        <v>10</v>
      </c>
      <c r="G156" t="s">
        <v>511</v>
      </c>
      <c r="H156" t="s">
        <v>513</v>
      </c>
      <c r="I156" t="s">
        <v>27</v>
      </c>
      <c r="J156">
        <v>0</v>
      </c>
      <c r="K156">
        <v>1</v>
      </c>
      <c r="L156" s="2">
        <v>3.5000000000000001E-3</v>
      </c>
      <c r="M156">
        <v>0.02</v>
      </c>
      <c r="N156" s="2">
        <v>3.5000000000000001E-3</v>
      </c>
      <c r="O156" s="2">
        <v>0.02</v>
      </c>
    </row>
    <row r="157" spans="2:15">
      <c r="B157" t="s">
        <v>32</v>
      </c>
      <c r="C157" t="s">
        <v>31</v>
      </c>
      <c r="D157" t="s">
        <v>514</v>
      </c>
      <c r="E157" t="s">
        <v>515</v>
      </c>
      <c r="F157" t="s">
        <v>10</v>
      </c>
      <c r="G157" t="s">
        <v>514</v>
      </c>
      <c r="H157" t="s">
        <v>516</v>
      </c>
      <c r="I157" t="s">
        <v>27</v>
      </c>
      <c r="J157">
        <v>0</v>
      </c>
      <c r="K157">
        <v>1</v>
      </c>
      <c r="L157" s="2">
        <v>3.5000000000000001E-3</v>
      </c>
      <c r="M157">
        <v>0.02</v>
      </c>
      <c r="N157" s="2">
        <v>3.5000000000000001E-3</v>
      </c>
      <c r="O157" s="2">
        <v>0.02</v>
      </c>
    </row>
    <row r="158" spans="2:15">
      <c r="B158" t="s">
        <v>32</v>
      </c>
      <c r="C158" t="s">
        <v>31</v>
      </c>
      <c r="D158" t="s">
        <v>517</v>
      </c>
      <c r="E158" t="s">
        <v>518</v>
      </c>
      <c r="F158" t="s">
        <v>12</v>
      </c>
      <c r="G158" t="s">
        <v>517</v>
      </c>
      <c r="H158" t="s">
        <v>519</v>
      </c>
      <c r="I158" t="s">
        <v>27</v>
      </c>
      <c r="J158">
        <v>5429722</v>
      </c>
      <c r="K158">
        <v>31240</v>
      </c>
      <c r="L158" s="2">
        <v>3.8199999999999998E-2</v>
      </c>
      <c r="M158">
        <v>0.09</v>
      </c>
      <c r="N158" s="2">
        <v>207.4153804</v>
      </c>
      <c r="O158" s="2">
        <v>488.67498000000001</v>
      </c>
    </row>
    <row r="159" spans="2:15">
      <c r="B159" t="s">
        <v>32</v>
      </c>
      <c r="C159" t="s">
        <v>31</v>
      </c>
      <c r="D159" t="s">
        <v>520</v>
      </c>
      <c r="E159" t="s">
        <v>521</v>
      </c>
      <c r="F159" t="s">
        <v>12</v>
      </c>
      <c r="G159" t="s">
        <v>520</v>
      </c>
      <c r="H159" t="s">
        <v>522</v>
      </c>
      <c r="I159" t="s">
        <v>27</v>
      </c>
      <c r="J159">
        <v>5285996</v>
      </c>
      <c r="K159">
        <v>40046</v>
      </c>
      <c r="L159" s="2">
        <v>3.8199999999999998E-2</v>
      </c>
      <c r="M159">
        <v>0.09</v>
      </c>
      <c r="N159" s="2">
        <v>201.92504719999999</v>
      </c>
      <c r="O159" s="2">
        <v>475.73963999999995</v>
      </c>
    </row>
    <row r="160" spans="2:15">
      <c r="B160" t="s">
        <v>32</v>
      </c>
      <c r="C160" t="s">
        <v>31</v>
      </c>
      <c r="D160" t="s">
        <v>235</v>
      </c>
      <c r="E160" t="s">
        <v>236</v>
      </c>
      <c r="F160" t="s">
        <v>10</v>
      </c>
      <c r="G160" t="s">
        <v>235</v>
      </c>
      <c r="H160" t="s">
        <v>237</v>
      </c>
      <c r="I160" t="s">
        <v>27</v>
      </c>
      <c r="J160">
        <v>0</v>
      </c>
      <c r="K160">
        <v>1</v>
      </c>
      <c r="L160" s="2">
        <v>3.5000000000000001E-3</v>
      </c>
      <c r="M160">
        <v>0.02</v>
      </c>
      <c r="N160" s="2">
        <v>3.5000000000000001E-3</v>
      </c>
      <c r="O160" s="2">
        <v>0.02</v>
      </c>
    </row>
    <row r="161" spans="2:15">
      <c r="B161" t="s">
        <v>32</v>
      </c>
      <c r="C161" t="s">
        <v>31</v>
      </c>
      <c r="D161" t="s">
        <v>238</v>
      </c>
      <c r="E161" t="s">
        <v>239</v>
      </c>
      <c r="F161" t="s">
        <v>10</v>
      </c>
      <c r="G161" t="s">
        <v>238</v>
      </c>
      <c r="H161" t="s">
        <v>240</v>
      </c>
      <c r="I161" t="s">
        <v>27</v>
      </c>
      <c r="J161">
        <v>0</v>
      </c>
      <c r="K161">
        <v>1</v>
      </c>
      <c r="L161" s="2">
        <v>3.5000000000000001E-3</v>
      </c>
      <c r="M161">
        <v>0.02</v>
      </c>
      <c r="N161" s="2">
        <v>3.5000000000000001E-3</v>
      </c>
      <c r="O161" s="2">
        <v>0.02</v>
      </c>
    </row>
    <row r="162" spans="2:15">
      <c r="B162" t="s">
        <v>32</v>
      </c>
      <c r="C162" t="s">
        <v>31</v>
      </c>
      <c r="D162" t="s">
        <v>241</v>
      </c>
      <c r="E162" t="s">
        <v>242</v>
      </c>
      <c r="F162" t="s">
        <v>10</v>
      </c>
      <c r="G162" t="s">
        <v>243</v>
      </c>
      <c r="H162" t="s">
        <v>244</v>
      </c>
      <c r="I162" t="s">
        <v>27</v>
      </c>
      <c r="J162">
        <v>0</v>
      </c>
      <c r="K162">
        <v>21</v>
      </c>
      <c r="L162" s="2">
        <v>3.5000000000000001E-3</v>
      </c>
      <c r="M162">
        <v>0.02</v>
      </c>
      <c r="N162" s="2">
        <v>7.3499999999999996E-2</v>
      </c>
      <c r="O162" s="2">
        <v>0.42</v>
      </c>
    </row>
    <row r="163" spans="2:15">
      <c r="B163" t="s">
        <v>32</v>
      </c>
      <c r="C163" t="s">
        <v>31</v>
      </c>
      <c r="D163" t="s">
        <v>245</v>
      </c>
      <c r="E163" t="s">
        <v>246</v>
      </c>
      <c r="F163" t="s">
        <v>10</v>
      </c>
      <c r="G163" t="s">
        <v>245</v>
      </c>
      <c r="H163" t="s">
        <v>247</v>
      </c>
      <c r="I163" t="s">
        <v>27</v>
      </c>
      <c r="J163">
        <v>0</v>
      </c>
      <c r="K163">
        <v>149</v>
      </c>
      <c r="L163" s="2">
        <v>3.5000000000000001E-3</v>
      </c>
      <c r="M163">
        <v>0.02</v>
      </c>
      <c r="N163" s="2">
        <v>0.52149999999999996</v>
      </c>
      <c r="O163" s="2">
        <v>2.98</v>
      </c>
    </row>
    <row r="164" spans="2:15">
      <c r="B164" t="s">
        <v>32</v>
      </c>
      <c r="C164" t="s">
        <v>31</v>
      </c>
      <c r="D164" t="s">
        <v>523</v>
      </c>
      <c r="E164" t="s">
        <v>524</v>
      </c>
      <c r="F164" t="s">
        <v>12</v>
      </c>
      <c r="G164" t="s">
        <v>523</v>
      </c>
      <c r="H164" t="s">
        <v>525</v>
      </c>
      <c r="I164" t="s">
        <v>27</v>
      </c>
      <c r="J164">
        <v>2733183</v>
      </c>
      <c r="K164">
        <v>3207</v>
      </c>
      <c r="L164" s="2">
        <v>3.8199999999999998E-2</v>
      </c>
      <c r="M164">
        <v>0.09</v>
      </c>
      <c r="N164" s="2">
        <v>104.40759059999999</v>
      </c>
      <c r="O164" s="2">
        <v>245.98647</v>
      </c>
    </row>
    <row r="165" spans="2:15">
      <c r="B165" t="s">
        <v>32</v>
      </c>
      <c r="C165" t="s">
        <v>31</v>
      </c>
      <c r="D165" t="s">
        <v>526</v>
      </c>
      <c r="E165" t="s">
        <v>527</v>
      </c>
      <c r="F165" t="s">
        <v>12</v>
      </c>
      <c r="G165" t="s">
        <v>526</v>
      </c>
      <c r="H165" t="s">
        <v>528</v>
      </c>
      <c r="I165" t="s">
        <v>27</v>
      </c>
      <c r="J165">
        <v>4303943</v>
      </c>
      <c r="K165">
        <v>23204</v>
      </c>
      <c r="L165" s="2">
        <v>3.8199999999999998E-2</v>
      </c>
      <c r="M165">
        <v>0.09</v>
      </c>
      <c r="N165" s="2">
        <v>164.41062260000001</v>
      </c>
      <c r="O165" s="2">
        <v>387.35487000000001</v>
      </c>
    </row>
    <row r="166" spans="2:15">
      <c r="B166" t="s">
        <v>32</v>
      </c>
      <c r="C166" t="s">
        <v>31</v>
      </c>
      <c r="D166" t="s">
        <v>248</v>
      </c>
      <c r="E166" t="s">
        <v>249</v>
      </c>
      <c r="F166" t="s">
        <v>12</v>
      </c>
      <c r="G166" t="s">
        <v>248</v>
      </c>
      <c r="H166" t="s">
        <v>250</v>
      </c>
      <c r="I166" t="s">
        <v>27</v>
      </c>
      <c r="J166">
        <v>22319517</v>
      </c>
      <c r="K166">
        <v>0</v>
      </c>
      <c r="L166" s="2">
        <v>3.8199999999999998E-2</v>
      </c>
      <c r="M166">
        <v>0.09</v>
      </c>
      <c r="N166" s="2">
        <v>852.60554939999986</v>
      </c>
      <c r="O166" s="2">
        <v>2008.7565300000001</v>
      </c>
    </row>
    <row r="167" spans="2:15">
      <c r="B167" t="s">
        <v>32</v>
      </c>
      <c r="C167" t="s">
        <v>31</v>
      </c>
      <c r="D167" t="s">
        <v>529</v>
      </c>
      <c r="E167" t="s">
        <v>530</v>
      </c>
      <c r="F167" t="s">
        <v>12</v>
      </c>
      <c r="G167" t="s">
        <v>529</v>
      </c>
      <c r="H167" t="s">
        <v>531</v>
      </c>
      <c r="I167" t="s">
        <v>27</v>
      </c>
      <c r="J167">
        <v>4898511</v>
      </c>
      <c r="K167">
        <v>5497</v>
      </c>
      <c r="L167" s="2">
        <v>3.8199999999999998E-2</v>
      </c>
      <c r="M167">
        <v>0.09</v>
      </c>
      <c r="N167" s="2">
        <v>187.12312019999999</v>
      </c>
      <c r="O167" s="2">
        <v>440.86599000000001</v>
      </c>
    </row>
    <row r="168" spans="2:15">
      <c r="B168" t="s">
        <v>32</v>
      </c>
      <c r="C168" t="s">
        <v>31</v>
      </c>
      <c r="D168" t="s">
        <v>532</v>
      </c>
      <c r="E168" t="s">
        <v>533</v>
      </c>
      <c r="F168" t="s">
        <v>12</v>
      </c>
      <c r="G168" t="s">
        <v>532</v>
      </c>
      <c r="H168" t="s">
        <v>534</v>
      </c>
      <c r="I168" t="s">
        <v>27</v>
      </c>
      <c r="J168">
        <v>3595319</v>
      </c>
      <c r="K168">
        <v>4591</v>
      </c>
      <c r="L168" s="2">
        <v>3.8199999999999998E-2</v>
      </c>
      <c r="M168">
        <v>0.09</v>
      </c>
      <c r="N168" s="2">
        <v>137.34118580000001</v>
      </c>
      <c r="O168" s="2">
        <v>323.57870999999994</v>
      </c>
    </row>
    <row r="169" spans="2:15">
      <c r="B169" t="s">
        <v>32</v>
      </c>
      <c r="C169" t="s">
        <v>31</v>
      </c>
      <c r="D169" t="s">
        <v>251</v>
      </c>
      <c r="E169" t="s">
        <v>252</v>
      </c>
      <c r="F169" t="s">
        <v>10</v>
      </c>
      <c r="G169" t="s">
        <v>251</v>
      </c>
      <c r="H169" t="s">
        <v>253</v>
      </c>
      <c r="I169" t="s">
        <v>27</v>
      </c>
      <c r="J169">
        <v>0</v>
      </c>
      <c r="K169">
        <v>33</v>
      </c>
      <c r="L169" s="2">
        <v>3.5000000000000001E-3</v>
      </c>
      <c r="M169">
        <v>0.02</v>
      </c>
      <c r="N169" s="2">
        <v>0.11550000000000001</v>
      </c>
      <c r="O169" s="2">
        <v>0.66</v>
      </c>
    </row>
    <row r="170" spans="2:15">
      <c r="B170" t="s">
        <v>32</v>
      </c>
      <c r="C170" t="s">
        <v>31</v>
      </c>
      <c r="D170" t="s">
        <v>254</v>
      </c>
      <c r="E170" t="s">
        <v>255</v>
      </c>
      <c r="F170" t="s">
        <v>12</v>
      </c>
      <c r="G170" t="s">
        <v>254</v>
      </c>
      <c r="H170" t="s">
        <v>256</v>
      </c>
      <c r="I170" t="s">
        <v>27</v>
      </c>
      <c r="J170">
        <v>21</v>
      </c>
      <c r="K170">
        <v>0</v>
      </c>
      <c r="L170" s="2">
        <v>3.8199999999999998E-2</v>
      </c>
      <c r="M170">
        <v>0.09</v>
      </c>
      <c r="N170" s="2">
        <v>8.0219999999999987E-4</v>
      </c>
      <c r="O170" s="2">
        <v>1.89E-3</v>
      </c>
    </row>
    <row r="171" spans="2:15">
      <c r="B171" t="s">
        <v>32</v>
      </c>
      <c r="C171" t="s">
        <v>31</v>
      </c>
      <c r="D171" t="s">
        <v>535</v>
      </c>
      <c r="E171" t="s">
        <v>536</v>
      </c>
      <c r="F171" t="s">
        <v>12</v>
      </c>
      <c r="G171" t="s">
        <v>535</v>
      </c>
      <c r="H171" t="s">
        <v>537</v>
      </c>
      <c r="I171" t="s">
        <v>27</v>
      </c>
      <c r="J171">
        <v>121440</v>
      </c>
      <c r="K171">
        <v>313</v>
      </c>
      <c r="L171" s="2">
        <v>3.8199999999999998E-2</v>
      </c>
      <c r="M171">
        <v>0.09</v>
      </c>
      <c r="N171" s="2">
        <v>4.6390079999999996</v>
      </c>
      <c r="O171" s="2">
        <v>10.929600000000001</v>
      </c>
    </row>
    <row r="172" spans="2:15">
      <c r="B172" t="s">
        <v>32</v>
      </c>
      <c r="C172" t="s">
        <v>31</v>
      </c>
      <c r="D172" t="s">
        <v>257</v>
      </c>
      <c r="E172" t="s">
        <v>258</v>
      </c>
      <c r="F172" t="s">
        <v>10</v>
      </c>
      <c r="G172" t="s">
        <v>257</v>
      </c>
      <c r="H172" t="s">
        <v>259</v>
      </c>
      <c r="I172" t="s">
        <v>27</v>
      </c>
      <c r="J172">
        <v>0</v>
      </c>
      <c r="K172">
        <v>3</v>
      </c>
      <c r="L172" s="2">
        <v>3.5000000000000001E-3</v>
      </c>
      <c r="M172">
        <v>0.02</v>
      </c>
      <c r="N172" s="2">
        <v>1.0500000000000001E-2</v>
      </c>
      <c r="O172" s="2">
        <v>0.06</v>
      </c>
    </row>
    <row r="173" spans="2:15">
      <c r="B173" t="s">
        <v>32</v>
      </c>
      <c r="C173" t="s">
        <v>31</v>
      </c>
      <c r="D173" t="s">
        <v>260</v>
      </c>
      <c r="E173" t="s">
        <v>261</v>
      </c>
      <c r="F173" t="s">
        <v>10</v>
      </c>
      <c r="G173" t="s">
        <v>260</v>
      </c>
      <c r="H173" t="s">
        <v>262</v>
      </c>
      <c r="I173" t="s">
        <v>27</v>
      </c>
      <c r="J173">
        <v>0</v>
      </c>
      <c r="K173">
        <v>21</v>
      </c>
      <c r="L173" s="2">
        <v>3.5000000000000001E-3</v>
      </c>
      <c r="M173">
        <v>0.02</v>
      </c>
      <c r="N173" s="2">
        <v>7.3499999999999996E-2</v>
      </c>
      <c r="O173" s="2">
        <v>0.42</v>
      </c>
    </row>
    <row r="174" spans="2:15">
      <c r="B174" t="s">
        <v>32</v>
      </c>
      <c r="C174" t="s">
        <v>31</v>
      </c>
      <c r="D174" t="s">
        <v>263</v>
      </c>
      <c r="E174" t="s">
        <v>264</v>
      </c>
      <c r="F174" t="s">
        <v>10</v>
      </c>
      <c r="G174" t="s">
        <v>263</v>
      </c>
      <c r="H174" t="s">
        <v>265</v>
      </c>
      <c r="I174" t="s">
        <v>27</v>
      </c>
      <c r="J174">
        <v>0</v>
      </c>
      <c r="K174">
        <v>3</v>
      </c>
      <c r="L174" s="2">
        <v>3.5000000000000001E-3</v>
      </c>
      <c r="M174">
        <v>0.02</v>
      </c>
      <c r="N174" s="2">
        <v>1.0500000000000001E-2</v>
      </c>
      <c r="O174" s="2">
        <v>0.06</v>
      </c>
    </row>
    <row r="175" spans="2:15">
      <c r="B175" t="s">
        <v>32</v>
      </c>
      <c r="C175" t="s">
        <v>31</v>
      </c>
      <c r="D175" t="s">
        <v>266</v>
      </c>
      <c r="E175" t="s">
        <v>267</v>
      </c>
      <c r="F175" t="s">
        <v>10</v>
      </c>
      <c r="G175" t="s">
        <v>266</v>
      </c>
      <c r="H175" t="s">
        <v>268</v>
      </c>
      <c r="I175" t="s">
        <v>27</v>
      </c>
      <c r="J175">
        <v>0</v>
      </c>
      <c r="K175">
        <v>2</v>
      </c>
      <c r="L175" s="2">
        <v>3.5000000000000001E-3</v>
      </c>
      <c r="M175">
        <v>0.02</v>
      </c>
      <c r="N175" s="2">
        <v>7.0000000000000001E-3</v>
      </c>
      <c r="O175" s="2">
        <v>0.04</v>
      </c>
    </row>
    <row r="176" spans="2:15">
      <c r="B176" t="s">
        <v>32</v>
      </c>
      <c r="C176" t="s">
        <v>31</v>
      </c>
      <c r="D176" t="s">
        <v>269</v>
      </c>
      <c r="E176" t="s">
        <v>270</v>
      </c>
      <c r="F176" t="s">
        <v>10</v>
      </c>
      <c r="G176" t="s">
        <v>269</v>
      </c>
      <c r="H176" t="s">
        <v>271</v>
      </c>
      <c r="I176" t="s">
        <v>27</v>
      </c>
      <c r="J176">
        <v>0</v>
      </c>
      <c r="K176">
        <v>1</v>
      </c>
      <c r="L176" s="2">
        <v>3.5000000000000001E-3</v>
      </c>
      <c r="M176">
        <v>0.02</v>
      </c>
      <c r="N176" s="2">
        <v>3.5000000000000001E-3</v>
      </c>
      <c r="O176" s="2">
        <v>0.02</v>
      </c>
    </row>
    <row r="177" spans="2:15">
      <c r="B177" t="s">
        <v>32</v>
      </c>
      <c r="C177" t="s">
        <v>31</v>
      </c>
      <c r="D177" t="s">
        <v>538</v>
      </c>
      <c r="E177" t="s">
        <v>539</v>
      </c>
      <c r="F177" t="s">
        <v>10</v>
      </c>
      <c r="G177" t="s">
        <v>538</v>
      </c>
      <c r="H177" t="s">
        <v>540</v>
      </c>
      <c r="I177" t="s">
        <v>27</v>
      </c>
      <c r="J177">
        <v>0</v>
      </c>
      <c r="K177">
        <v>1</v>
      </c>
      <c r="L177" s="2">
        <v>3.5000000000000001E-3</v>
      </c>
      <c r="M177">
        <v>0.02</v>
      </c>
      <c r="N177" s="2">
        <v>3.5000000000000001E-3</v>
      </c>
      <c r="O177" s="2">
        <v>0.02</v>
      </c>
    </row>
    <row r="178" spans="2:15">
      <c r="B178" t="s">
        <v>32</v>
      </c>
      <c r="C178" t="s">
        <v>31</v>
      </c>
      <c r="D178" t="s">
        <v>541</v>
      </c>
      <c r="E178" t="s">
        <v>542</v>
      </c>
      <c r="F178" t="s">
        <v>12</v>
      </c>
      <c r="G178" t="s">
        <v>541</v>
      </c>
      <c r="H178" t="s">
        <v>543</v>
      </c>
      <c r="I178" t="s">
        <v>27</v>
      </c>
      <c r="J178">
        <v>438590</v>
      </c>
      <c r="K178">
        <v>1147</v>
      </c>
      <c r="L178" s="2">
        <v>3.8199999999999998E-2</v>
      </c>
      <c r="M178">
        <v>0.09</v>
      </c>
      <c r="N178" s="2">
        <v>16.754137999999998</v>
      </c>
      <c r="O178" s="2">
        <v>39.473099999999995</v>
      </c>
    </row>
    <row r="179" spans="2:15">
      <c r="B179" t="s">
        <v>32</v>
      </c>
      <c r="C179" t="s">
        <v>31</v>
      </c>
      <c r="D179" t="s">
        <v>544</v>
      </c>
      <c r="E179" t="s">
        <v>545</v>
      </c>
      <c r="F179" t="s">
        <v>12</v>
      </c>
      <c r="G179" t="s">
        <v>544</v>
      </c>
      <c r="H179" t="s">
        <v>546</v>
      </c>
      <c r="I179" t="s">
        <v>27</v>
      </c>
      <c r="J179">
        <v>7483879</v>
      </c>
      <c r="K179">
        <v>44976</v>
      </c>
      <c r="L179" s="2">
        <v>3.8199999999999998E-2</v>
      </c>
      <c r="M179">
        <v>0.09</v>
      </c>
      <c r="N179" s="2">
        <v>285.88417780000003</v>
      </c>
      <c r="O179" s="2">
        <v>673.54911000000004</v>
      </c>
    </row>
    <row r="180" spans="2:15">
      <c r="B180" t="s">
        <v>32</v>
      </c>
      <c r="C180" t="s">
        <v>31</v>
      </c>
      <c r="D180" t="s">
        <v>547</v>
      </c>
      <c r="E180" t="s">
        <v>548</v>
      </c>
      <c r="F180" t="s">
        <v>12</v>
      </c>
      <c r="G180" t="s">
        <v>547</v>
      </c>
      <c r="H180" t="s">
        <v>549</v>
      </c>
      <c r="I180" t="s">
        <v>27</v>
      </c>
      <c r="J180">
        <v>230473</v>
      </c>
      <c r="K180">
        <v>940</v>
      </c>
      <c r="L180" s="2">
        <v>3.8199999999999998E-2</v>
      </c>
      <c r="M180">
        <v>0.09</v>
      </c>
      <c r="N180" s="2">
        <v>8.804068599999999</v>
      </c>
      <c r="O180" s="2">
        <v>20.742570000000001</v>
      </c>
    </row>
    <row r="181" spans="2:15">
      <c r="B181" t="s">
        <v>32</v>
      </c>
      <c r="C181" t="s">
        <v>31</v>
      </c>
      <c r="D181" t="s">
        <v>550</v>
      </c>
      <c r="E181" t="s">
        <v>551</v>
      </c>
      <c r="F181" t="s">
        <v>12</v>
      </c>
      <c r="G181" t="s">
        <v>550</v>
      </c>
      <c r="H181" t="s">
        <v>552</v>
      </c>
      <c r="I181" t="s">
        <v>27</v>
      </c>
      <c r="J181">
        <v>467320</v>
      </c>
      <c r="K181">
        <v>2199</v>
      </c>
      <c r="L181" s="2">
        <v>3.8199999999999998E-2</v>
      </c>
      <c r="M181">
        <v>0.09</v>
      </c>
      <c r="N181" s="2">
        <v>17.851624000000001</v>
      </c>
      <c r="O181" s="2">
        <v>42.058799999999998</v>
      </c>
    </row>
    <row r="182" spans="2:15">
      <c r="B182" t="s">
        <v>32</v>
      </c>
      <c r="C182" t="s">
        <v>31</v>
      </c>
      <c r="D182" t="s">
        <v>553</v>
      </c>
      <c r="E182" t="s">
        <v>554</v>
      </c>
      <c r="F182" t="s">
        <v>12</v>
      </c>
      <c r="G182" t="s">
        <v>553</v>
      </c>
      <c r="H182" t="s">
        <v>555</v>
      </c>
      <c r="I182" t="s">
        <v>27</v>
      </c>
      <c r="J182">
        <v>18369969</v>
      </c>
      <c r="K182">
        <v>30603</v>
      </c>
      <c r="L182" s="2">
        <v>3.8199999999999998E-2</v>
      </c>
      <c r="M182">
        <v>0.09</v>
      </c>
      <c r="N182" s="2">
        <v>701.73281580000003</v>
      </c>
      <c r="O182" s="2">
        <v>1653.29721</v>
      </c>
    </row>
    <row r="183" spans="2:15">
      <c r="B183" t="s">
        <v>32</v>
      </c>
      <c r="C183" t="s">
        <v>31</v>
      </c>
      <c r="D183" t="s">
        <v>556</v>
      </c>
      <c r="E183" t="s">
        <v>557</v>
      </c>
      <c r="F183" t="s">
        <v>12</v>
      </c>
      <c r="G183" t="s">
        <v>556</v>
      </c>
      <c r="H183" t="s">
        <v>558</v>
      </c>
      <c r="I183" t="s">
        <v>27</v>
      </c>
      <c r="J183">
        <v>4920991</v>
      </c>
      <c r="K183">
        <v>8068</v>
      </c>
      <c r="L183" s="2">
        <v>3.8199999999999998E-2</v>
      </c>
      <c r="M183">
        <v>0.09</v>
      </c>
      <c r="N183" s="2">
        <v>187.98185619999998</v>
      </c>
      <c r="O183" s="2">
        <v>442.88918999999999</v>
      </c>
    </row>
    <row r="184" spans="2:15">
      <c r="B184" t="s">
        <v>32</v>
      </c>
      <c r="C184" t="s">
        <v>31</v>
      </c>
      <c r="D184" t="s">
        <v>559</v>
      </c>
      <c r="E184" t="s">
        <v>560</v>
      </c>
      <c r="F184" t="s">
        <v>12</v>
      </c>
      <c r="G184" t="s">
        <v>559</v>
      </c>
      <c r="H184" t="s">
        <v>561</v>
      </c>
      <c r="I184" t="s">
        <v>27</v>
      </c>
      <c r="J184">
        <v>5476621</v>
      </c>
      <c r="K184">
        <v>6495</v>
      </c>
      <c r="L184" s="2">
        <v>3.8199999999999998E-2</v>
      </c>
      <c r="M184">
        <v>0.09</v>
      </c>
      <c r="N184" s="2">
        <v>209.20692220000001</v>
      </c>
      <c r="O184" s="2">
        <v>492.89588999999995</v>
      </c>
    </row>
    <row r="185" spans="2:15">
      <c r="B185" t="s">
        <v>32</v>
      </c>
      <c r="C185" t="s">
        <v>31</v>
      </c>
      <c r="D185" t="s">
        <v>562</v>
      </c>
      <c r="E185" t="s">
        <v>563</v>
      </c>
      <c r="F185" t="s">
        <v>12</v>
      </c>
      <c r="G185" t="s">
        <v>562</v>
      </c>
      <c r="H185" t="s">
        <v>564</v>
      </c>
      <c r="I185" t="s">
        <v>27</v>
      </c>
      <c r="J185">
        <v>44042</v>
      </c>
      <c r="K185">
        <v>1547</v>
      </c>
      <c r="L185" s="2">
        <v>3.8199999999999998E-2</v>
      </c>
      <c r="M185">
        <v>0.09</v>
      </c>
      <c r="N185" s="2">
        <v>1.6824043999999998</v>
      </c>
      <c r="O185" s="2">
        <v>3.9637799999999999</v>
      </c>
    </row>
    <row r="186" spans="2:15">
      <c r="B186" t="s">
        <v>32</v>
      </c>
      <c r="C186" t="s">
        <v>31</v>
      </c>
      <c r="D186" t="s">
        <v>565</v>
      </c>
      <c r="E186" t="s">
        <v>566</v>
      </c>
      <c r="F186" t="s">
        <v>12</v>
      </c>
      <c r="G186" t="s">
        <v>565</v>
      </c>
      <c r="H186" t="s">
        <v>567</v>
      </c>
      <c r="I186" t="s">
        <v>27</v>
      </c>
      <c r="J186">
        <v>11019190</v>
      </c>
      <c r="K186">
        <v>33103</v>
      </c>
      <c r="L186" s="2">
        <v>3.8199999999999998E-2</v>
      </c>
      <c r="M186">
        <v>0.09</v>
      </c>
      <c r="N186" s="2">
        <v>420.93305799999996</v>
      </c>
      <c r="O186" s="2">
        <v>991.72709999999995</v>
      </c>
    </row>
    <row r="187" spans="2:15">
      <c r="B187" t="s">
        <v>32</v>
      </c>
      <c r="C187" t="s">
        <v>31</v>
      </c>
      <c r="D187" t="s">
        <v>272</v>
      </c>
      <c r="E187" t="s">
        <v>273</v>
      </c>
      <c r="F187" t="s">
        <v>10</v>
      </c>
      <c r="G187" t="s">
        <v>272</v>
      </c>
      <c r="H187" t="s">
        <v>274</v>
      </c>
      <c r="I187" t="s">
        <v>27</v>
      </c>
      <c r="J187">
        <v>1</v>
      </c>
      <c r="K187">
        <v>5</v>
      </c>
      <c r="L187" s="2">
        <v>3.5000000000000001E-3</v>
      </c>
      <c r="M187">
        <v>0.02</v>
      </c>
      <c r="N187" s="2">
        <v>1.7500000000000002E-2</v>
      </c>
      <c r="O187" s="2">
        <v>0.1</v>
      </c>
    </row>
    <row r="188" spans="2:15">
      <c r="B188" t="s">
        <v>32</v>
      </c>
      <c r="C188" t="s">
        <v>31</v>
      </c>
      <c r="D188" t="s">
        <v>275</v>
      </c>
      <c r="E188" t="s">
        <v>276</v>
      </c>
      <c r="F188" t="s">
        <v>10</v>
      </c>
      <c r="G188" t="s">
        <v>275</v>
      </c>
      <c r="H188" t="s">
        <v>277</v>
      </c>
      <c r="I188" t="s">
        <v>27</v>
      </c>
      <c r="J188">
        <v>0</v>
      </c>
      <c r="K188">
        <v>13</v>
      </c>
      <c r="L188" s="2">
        <v>3.5000000000000001E-3</v>
      </c>
      <c r="M188">
        <v>0.02</v>
      </c>
      <c r="N188" s="2">
        <v>4.5499999999999999E-2</v>
      </c>
      <c r="O188" s="2">
        <v>0.26</v>
      </c>
    </row>
    <row r="189" spans="2:15">
      <c r="B189" t="s">
        <v>32</v>
      </c>
      <c r="C189" t="s">
        <v>31</v>
      </c>
      <c r="D189" t="s">
        <v>568</v>
      </c>
      <c r="E189" t="s">
        <v>569</v>
      </c>
      <c r="F189" t="s">
        <v>12</v>
      </c>
      <c r="G189" t="s">
        <v>568</v>
      </c>
      <c r="H189" t="s">
        <v>570</v>
      </c>
      <c r="I189" t="s">
        <v>27</v>
      </c>
      <c r="J189">
        <v>3662307</v>
      </c>
      <c r="K189">
        <v>143175</v>
      </c>
      <c r="L189" s="2">
        <v>3.8199999999999998E-2</v>
      </c>
      <c r="M189">
        <v>0.09</v>
      </c>
      <c r="N189" s="2">
        <v>139.9001274</v>
      </c>
      <c r="O189" s="2">
        <v>329.60763000000003</v>
      </c>
    </row>
    <row r="190" spans="2:15">
      <c r="B190" t="s">
        <v>32</v>
      </c>
      <c r="C190" t="s">
        <v>31</v>
      </c>
      <c r="D190" t="s">
        <v>571</v>
      </c>
      <c r="E190" t="s">
        <v>572</v>
      </c>
      <c r="F190" t="s">
        <v>10</v>
      </c>
      <c r="G190" t="s">
        <v>571</v>
      </c>
      <c r="H190" t="s">
        <v>573</v>
      </c>
      <c r="I190" t="s">
        <v>27</v>
      </c>
      <c r="J190">
        <v>0</v>
      </c>
      <c r="K190">
        <v>1</v>
      </c>
      <c r="L190" s="2">
        <v>3.5000000000000001E-3</v>
      </c>
      <c r="M190">
        <v>0.02</v>
      </c>
      <c r="N190" s="2">
        <v>3.5000000000000001E-3</v>
      </c>
      <c r="O190" s="2">
        <v>0.02</v>
      </c>
    </row>
    <row r="191" spans="2:15">
      <c r="B191" t="s">
        <v>32</v>
      </c>
      <c r="C191" t="s">
        <v>31</v>
      </c>
      <c r="D191" t="s">
        <v>75</v>
      </c>
      <c r="E191" t="s">
        <v>76</v>
      </c>
      <c r="F191" t="s">
        <v>12</v>
      </c>
      <c r="G191" t="s">
        <v>75</v>
      </c>
      <c r="H191" t="s">
        <v>77</v>
      </c>
      <c r="I191" t="s">
        <v>27</v>
      </c>
      <c r="J191">
        <v>3605598</v>
      </c>
      <c r="K191">
        <v>20000</v>
      </c>
      <c r="L191" s="2">
        <v>3.8199999999999998E-2</v>
      </c>
      <c r="M191">
        <v>0.09</v>
      </c>
      <c r="N191" s="2">
        <v>137.7338436</v>
      </c>
      <c r="O191" s="2">
        <v>324.50382000000002</v>
      </c>
    </row>
    <row r="192" spans="2:15">
      <c r="B192" t="s">
        <v>32</v>
      </c>
      <c r="C192" t="s">
        <v>31</v>
      </c>
      <c r="D192" t="s">
        <v>574</v>
      </c>
      <c r="E192" t="s">
        <v>575</v>
      </c>
      <c r="F192" t="s">
        <v>10</v>
      </c>
      <c r="G192" t="s">
        <v>574</v>
      </c>
      <c r="H192" t="s">
        <v>576</v>
      </c>
      <c r="I192" t="s">
        <v>27</v>
      </c>
      <c r="J192">
        <v>0</v>
      </c>
      <c r="K192">
        <v>1</v>
      </c>
      <c r="L192" s="2">
        <v>3.5000000000000001E-3</v>
      </c>
      <c r="M192">
        <v>0.02</v>
      </c>
      <c r="N192" s="2">
        <v>3.5000000000000001E-3</v>
      </c>
      <c r="O192" s="2">
        <v>0.02</v>
      </c>
    </row>
    <row r="193" spans="2:15">
      <c r="B193" t="s">
        <v>32</v>
      </c>
      <c r="C193" t="s">
        <v>31</v>
      </c>
      <c r="D193" t="s">
        <v>577</v>
      </c>
      <c r="E193" t="s">
        <v>578</v>
      </c>
      <c r="F193" t="s">
        <v>10</v>
      </c>
      <c r="G193" t="s">
        <v>577</v>
      </c>
      <c r="H193" t="s">
        <v>579</v>
      </c>
      <c r="I193" t="s">
        <v>27</v>
      </c>
      <c r="J193">
        <v>769</v>
      </c>
      <c r="K193">
        <v>96466</v>
      </c>
      <c r="L193" s="2">
        <v>3.5000000000000001E-3</v>
      </c>
      <c r="M193">
        <v>0.02</v>
      </c>
      <c r="N193" s="2">
        <v>337.63100000000003</v>
      </c>
      <c r="O193" s="2">
        <v>1929.32</v>
      </c>
    </row>
    <row r="194" spans="2:15">
      <c r="B194" t="s">
        <v>32</v>
      </c>
      <c r="C194" t="s">
        <v>31</v>
      </c>
      <c r="D194" t="s">
        <v>580</v>
      </c>
      <c r="E194" t="s">
        <v>581</v>
      </c>
      <c r="F194" t="s">
        <v>10</v>
      </c>
      <c r="G194" t="s">
        <v>580</v>
      </c>
      <c r="H194" t="s">
        <v>582</v>
      </c>
      <c r="I194" t="s">
        <v>27</v>
      </c>
      <c r="J194">
        <v>0</v>
      </c>
      <c r="K194">
        <v>2</v>
      </c>
      <c r="L194" s="2">
        <v>3.5000000000000001E-3</v>
      </c>
      <c r="M194">
        <v>0.02</v>
      </c>
      <c r="N194" s="2">
        <v>7.0000000000000001E-3</v>
      </c>
      <c r="O194" s="2">
        <v>0.04</v>
      </c>
    </row>
    <row r="195" spans="2:15">
      <c r="B195" t="s">
        <v>32</v>
      </c>
      <c r="C195" t="s">
        <v>31</v>
      </c>
      <c r="D195" t="s">
        <v>78</v>
      </c>
      <c r="E195" t="s">
        <v>79</v>
      </c>
      <c r="F195" t="s">
        <v>12</v>
      </c>
      <c r="G195" t="s">
        <v>78</v>
      </c>
      <c r="H195" t="s">
        <v>80</v>
      </c>
      <c r="I195" t="s">
        <v>27</v>
      </c>
      <c r="J195">
        <v>2818937</v>
      </c>
      <c r="K195">
        <v>51408</v>
      </c>
      <c r="L195" s="2">
        <v>3.8199999999999998E-2</v>
      </c>
      <c r="M195">
        <v>0.09</v>
      </c>
      <c r="N195" s="2">
        <v>107.6833934</v>
      </c>
      <c r="O195" s="2">
        <v>253.70433</v>
      </c>
    </row>
    <row r="196" spans="2:15">
      <c r="B196" t="s">
        <v>32</v>
      </c>
      <c r="C196" t="s">
        <v>31</v>
      </c>
      <c r="D196" t="s">
        <v>81</v>
      </c>
      <c r="E196" t="s">
        <v>82</v>
      </c>
      <c r="F196" t="s">
        <v>12</v>
      </c>
      <c r="G196" t="s">
        <v>81</v>
      </c>
      <c r="H196" t="s">
        <v>83</v>
      </c>
      <c r="I196" t="s">
        <v>27</v>
      </c>
      <c r="J196">
        <v>218040</v>
      </c>
      <c r="K196">
        <v>1672</v>
      </c>
      <c r="L196" s="2">
        <v>3.8199999999999998E-2</v>
      </c>
      <c r="M196">
        <v>0.09</v>
      </c>
      <c r="N196" s="2">
        <v>8.329127999999999</v>
      </c>
      <c r="O196" s="2">
        <v>19.6236</v>
      </c>
    </row>
    <row r="197" spans="2:15">
      <c r="B197" t="s">
        <v>32</v>
      </c>
      <c r="C197" t="s">
        <v>31</v>
      </c>
      <c r="D197" t="s">
        <v>583</v>
      </c>
      <c r="E197" t="s">
        <v>584</v>
      </c>
      <c r="F197" t="s">
        <v>10</v>
      </c>
      <c r="G197" t="s">
        <v>583</v>
      </c>
      <c r="H197" t="s">
        <v>585</v>
      </c>
      <c r="I197" t="s">
        <v>27</v>
      </c>
      <c r="J197">
        <v>0</v>
      </c>
      <c r="K197">
        <v>1</v>
      </c>
      <c r="L197" s="2">
        <v>3.5000000000000001E-3</v>
      </c>
      <c r="M197">
        <v>0.02</v>
      </c>
      <c r="N197" s="2">
        <v>3.5000000000000001E-3</v>
      </c>
      <c r="O197" s="2">
        <v>0.02</v>
      </c>
    </row>
    <row r="198" spans="2:15">
      <c r="B198" t="s">
        <v>32</v>
      </c>
      <c r="C198" t="s">
        <v>31</v>
      </c>
      <c r="D198" t="s">
        <v>84</v>
      </c>
      <c r="E198" t="s">
        <v>85</v>
      </c>
      <c r="F198" t="s">
        <v>12</v>
      </c>
      <c r="G198" t="s">
        <v>84</v>
      </c>
      <c r="H198" t="s">
        <v>86</v>
      </c>
      <c r="I198" t="s">
        <v>27</v>
      </c>
      <c r="J198">
        <v>5168685</v>
      </c>
      <c r="K198">
        <v>35582</v>
      </c>
      <c r="L198" s="2">
        <v>3.8199999999999998E-2</v>
      </c>
      <c r="M198">
        <v>0.09</v>
      </c>
      <c r="N198" s="2">
        <v>197.44376699999998</v>
      </c>
      <c r="O198" s="2">
        <v>465.18164999999999</v>
      </c>
    </row>
    <row r="199" spans="2:15">
      <c r="B199" t="s">
        <v>32</v>
      </c>
      <c r="C199" t="s">
        <v>31</v>
      </c>
      <c r="D199" t="s">
        <v>87</v>
      </c>
      <c r="E199" t="s">
        <v>88</v>
      </c>
      <c r="F199" t="s">
        <v>10</v>
      </c>
      <c r="G199" t="s">
        <v>87</v>
      </c>
      <c r="H199" t="s">
        <v>89</v>
      </c>
      <c r="I199" t="s">
        <v>27</v>
      </c>
      <c r="J199">
        <v>0</v>
      </c>
      <c r="K199">
        <v>81</v>
      </c>
      <c r="L199" s="2">
        <v>3.5000000000000001E-3</v>
      </c>
      <c r="M199">
        <v>0.02</v>
      </c>
      <c r="N199" s="2">
        <v>0.28350000000000003</v>
      </c>
      <c r="O199" s="2">
        <v>1.62</v>
      </c>
    </row>
    <row r="200" spans="2:15">
      <c r="B200" t="s">
        <v>32</v>
      </c>
      <c r="C200" t="s">
        <v>31</v>
      </c>
      <c r="D200" t="s">
        <v>90</v>
      </c>
      <c r="E200" t="s">
        <v>91</v>
      </c>
      <c r="F200" t="s">
        <v>10</v>
      </c>
      <c r="G200" t="s">
        <v>90</v>
      </c>
      <c r="H200" t="s">
        <v>92</v>
      </c>
      <c r="I200" t="s">
        <v>27</v>
      </c>
      <c r="J200">
        <v>1878</v>
      </c>
      <c r="K200">
        <v>34665</v>
      </c>
      <c r="L200" s="2">
        <v>3.5000000000000001E-3</v>
      </c>
      <c r="M200">
        <v>0.02</v>
      </c>
      <c r="N200" s="2">
        <v>121.3275</v>
      </c>
      <c r="O200" s="2">
        <v>693.30000000000007</v>
      </c>
    </row>
    <row r="201" spans="2:15">
      <c r="B201" t="s">
        <v>32</v>
      </c>
      <c r="C201" t="s">
        <v>31</v>
      </c>
      <c r="D201" t="s">
        <v>93</v>
      </c>
      <c r="E201" t="s">
        <v>94</v>
      </c>
      <c r="F201" t="s">
        <v>10</v>
      </c>
      <c r="G201" t="s">
        <v>93</v>
      </c>
      <c r="H201" t="s">
        <v>95</v>
      </c>
      <c r="I201" t="s">
        <v>27</v>
      </c>
      <c r="J201">
        <v>239</v>
      </c>
      <c r="K201">
        <v>2699</v>
      </c>
      <c r="L201" s="2">
        <v>3.5000000000000001E-3</v>
      </c>
      <c r="M201">
        <v>0.02</v>
      </c>
      <c r="N201" s="2">
        <v>9.4465000000000003</v>
      </c>
      <c r="O201" s="2">
        <v>53.980000000000004</v>
      </c>
    </row>
    <row r="202" spans="2:15">
      <c r="B202" t="s">
        <v>32</v>
      </c>
      <c r="C202" t="s">
        <v>31</v>
      </c>
      <c r="D202" t="s">
        <v>278</v>
      </c>
      <c r="E202" t="s">
        <v>279</v>
      </c>
      <c r="F202" t="s">
        <v>10</v>
      </c>
      <c r="G202" t="s">
        <v>280</v>
      </c>
      <c r="H202" t="s">
        <v>281</v>
      </c>
      <c r="I202" t="s">
        <v>27</v>
      </c>
      <c r="J202">
        <v>1891</v>
      </c>
      <c r="K202">
        <v>33866</v>
      </c>
      <c r="L202" s="2">
        <v>3.5000000000000001E-3</v>
      </c>
      <c r="M202">
        <v>0.02</v>
      </c>
      <c r="N202" s="2">
        <v>118.53100000000001</v>
      </c>
      <c r="O202" s="2">
        <v>677.32</v>
      </c>
    </row>
    <row r="203" spans="2:15">
      <c r="B203" t="s">
        <v>32</v>
      </c>
      <c r="C203" t="s">
        <v>31</v>
      </c>
      <c r="D203" t="s">
        <v>96</v>
      </c>
      <c r="E203" t="s">
        <v>97</v>
      </c>
      <c r="F203" t="s">
        <v>10</v>
      </c>
      <c r="G203" t="s">
        <v>96</v>
      </c>
      <c r="H203" t="s">
        <v>98</v>
      </c>
      <c r="I203" t="s">
        <v>27</v>
      </c>
      <c r="J203">
        <v>0</v>
      </c>
      <c r="K203">
        <v>2</v>
      </c>
      <c r="L203" s="2">
        <v>3.5000000000000001E-3</v>
      </c>
      <c r="M203">
        <v>0.02</v>
      </c>
      <c r="N203" s="2">
        <v>7.0000000000000001E-3</v>
      </c>
      <c r="O203" s="2">
        <v>0.04</v>
      </c>
    </row>
    <row r="204" spans="2:15">
      <c r="B204" t="s">
        <v>32</v>
      </c>
      <c r="C204" t="s">
        <v>31</v>
      </c>
      <c r="D204" t="s">
        <v>586</v>
      </c>
      <c r="E204" t="s">
        <v>587</v>
      </c>
      <c r="F204" t="s">
        <v>12</v>
      </c>
      <c r="G204" t="s">
        <v>586</v>
      </c>
      <c r="H204" t="s">
        <v>588</v>
      </c>
      <c r="I204" t="s">
        <v>27</v>
      </c>
      <c r="J204">
        <v>2794963</v>
      </c>
      <c r="K204">
        <v>19233</v>
      </c>
      <c r="L204" s="2">
        <v>3.8199999999999998E-2</v>
      </c>
      <c r="M204">
        <v>0.09</v>
      </c>
      <c r="N204" s="2">
        <v>106.7675866</v>
      </c>
      <c r="O204" s="2">
        <v>251.54666999999998</v>
      </c>
    </row>
    <row r="205" spans="2:15">
      <c r="B205" t="s">
        <v>32</v>
      </c>
      <c r="C205" t="s">
        <v>31</v>
      </c>
      <c r="D205" t="s">
        <v>99</v>
      </c>
      <c r="E205" t="s">
        <v>100</v>
      </c>
      <c r="F205" t="s">
        <v>10</v>
      </c>
      <c r="G205" t="s">
        <v>99</v>
      </c>
      <c r="H205" t="s">
        <v>101</v>
      </c>
      <c r="I205" t="s">
        <v>27</v>
      </c>
      <c r="J205">
        <v>917</v>
      </c>
      <c r="K205">
        <v>13901</v>
      </c>
      <c r="L205" s="2">
        <v>3.5000000000000001E-3</v>
      </c>
      <c r="M205">
        <v>0.02</v>
      </c>
      <c r="N205" s="2">
        <v>48.653500000000001</v>
      </c>
      <c r="O205" s="2">
        <v>278.02</v>
      </c>
    </row>
    <row r="206" spans="2:15">
      <c r="B206" t="s">
        <v>32</v>
      </c>
      <c r="C206" t="s">
        <v>31</v>
      </c>
      <c r="D206" t="s">
        <v>282</v>
      </c>
      <c r="E206" t="s">
        <v>283</v>
      </c>
      <c r="F206" t="s">
        <v>12</v>
      </c>
      <c r="G206" t="s">
        <v>282</v>
      </c>
      <c r="H206" t="s">
        <v>284</v>
      </c>
      <c r="I206" t="s">
        <v>27</v>
      </c>
      <c r="J206">
        <v>20</v>
      </c>
      <c r="K206">
        <v>2</v>
      </c>
      <c r="L206" s="2">
        <v>3.8199999999999998E-2</v>
      </c>
      <c r="M206">
        <v>0.09</v>
      </c>
      <c r="N206" s="2">
        <v>7.6400000000000003E-4</v>
      </c>
      <c r="O206" s="2">
        <v>1.7999999999999997E-3</v>
      </c>
    </row>
    <row r="207" spans="2:15">
      <c r="B207" t="s">
        <v>32</v>
      </c>
      <c r="C207" t="s">
        <v>102</v>
      </c>
      <c r="D207" t="s">
        <v>589</v>
      </c>
      <c r="E207" t="s">
        <v>590</v>
      </c>
      <c r="F207" t="s">
        <v>10</v>
      </c>
      <c r="G207" t="s">
        <v>591</v>
      </c>
      <c r="H207" t="s">
        <v>592</v>
      </c>
      <c r="I207" t="s">
        <v>27</v>
      </c>
      <c r="J207">
        <v>0</v>
      </c>
      <c r="K207">
        <v>1</v>
      </c>
      <c r="L207" s="2">
        <v>3.5000000000000001E-3</v>
      </c>
      <c r="M207">
        <v>0.02</v>
      </c>
      <c r="N207" s="2">
        <v>3.5000000000000001E-3</v>
      </c>
      <c r="O207" s="2">
        <v>0.02</v>
      </c>
    </row>
    <row r="208" spans="2:15">
      <c r="B208" t="s">
        <v>32</v>
      </c>
      <c r="C208" t="s">
        <v>102</v>
      </c>
      <c r="D208" t="s">
        <v>593</v>
      </c>
      <c r="E208" t="s">
        <v>594</v>
      </c>
      <c r="F208" t="s">
        <v>10</v>
      </c>
      <c r="G208" t="s">
        <v>595</v>
      </c>
      <c r="H208" t="s">
        <v>596</v>
      </c>
      <c r="I208" t="s">
        <v>27</v>
      </c>
      <c r="J208">
        <v>0</v>
      </c>
      <c r="K208">
        <v>1</v>
      </c>
      <c r="L208" s="2">
        <v>3.5000000000000001E-3</v>
      </c>
      <c r="M208">
        <v>0.02</v>
      </c>
      <c r="N208" s="2">
        <v>3.5000000000000001E-3</v>
      </c>
      <c r="O208" s="2">
        <v>0.02</v>
      </c>
    </row>
    <row r="209" spans="2:15">
      <c r="B209" t="s">
        <v>32</v>
      </c>
      <c r="C209" t="s">
        <v>102</v>
      </c>
      <c r="D209" t="s">
        <v>597</v>
      </c>
      <c r="E209" t="s">
        <v>598</v>
      </c>
      <c r="F209" t="s">
        <v>10</v>
      </c>
      <c r="G209" t="s">
        <v>599</v>
      </c>
      <c r="H209" t="s">
        <v>600</v>
      </c>
      <c r="I209" t="s">
        <v>27</v>
      </c>
      <c r="J209">
        <v>0</v>
      </c>
      <c r="K209">
        <v>1</v>
      </c>
      <c r="L209" s="2">
        <v>3.5000000000000001E-3</v>
      </c>
      <c r="M209">
        <v>0.02</v>
      </c>
      <c r="N209" s="2">
        <v>3.5000000000000001E-3</v>
      </c>
      <c r="O209" s="2">
        <v>0.02</v>
      </c>
    </row>
    <row r="210" spans="2:15">
      <c r="B210" t="s">
        <v>32</v>
      </c>
      <c r="C210" t="s">
        <v>102</v>
      </c>
      <c r="D210" t="s">
        <v>103</v>
      </c>
      <c r="E210" t="s">
        <v>104</v>
      </c>
      <c r="F210" t="s">
        <v>12</v>
      </c>
      <c r="G210" t="s">
        <v>60</v>
      </c>
      <c r="H210" t="s">
        <v>61</v>
      </c>
      <c r="I210" t="s">
        <v>26</v>
      </c>
      <c r="J210">
        <v>1</v>
      </c>
      <c r="K210">
        <v>0</v>
      </c>
      <c r="L210" s="2">
        <v>3.8199999999999998E-2</v>
      </c>
      <c r="M210">
        <v>0.09</v>
      </c>
      <c r="N210" s="2">
        <v>3.82E-5</v>
      </c>
      <c r="O210" s="2">
        <v>8.9999999999999992E-5</v>
      </c>
    </row>
    <row r="211" spans="2:15">
      <c r="B211" t="s">
        <v>32</v>
      </c>
      <c r="C211" t="s">
        <v>102</v>
      </c>
      <c r="D211" t="s">
        <v>103</v>
      </c>
      <c r="E211" t="s">
        <v>104</v>
      </c>
      <c r="F211" t="s">
        <v>12</v>
      </c>
      <c r="G211" t="s">
        <v>103</v>
      </c>
      <c r="H211" t="s">
        <v>105</v>
      </c>
      <c r="I211" t="s">
        <v>27</v>
      </c>
      <c r="J211">
        <v>74681</v>
      </c>
      <c r="K211">
        <v>40</v>
      </c>
      <c r="L211" s="2">
        <v>3.8199999999999998E-2</v>
      </c>
      <c r="M211">
        <v>0.09</v>
      </c>
      <c r="N211" s="2">
        <v>2.8528141999999996</v>
      </c>
      <c r="O211" s="2">
        <v>6.7212899999999998</v>
      </c>
    </row>
    <row r="212" spans="2:15">
      <c r="B212" t="s">
        <v>32</v>
      </c>
      <c r="C212" t="s">
        <v>102</v>
      </c>
      <c r="D212" t="s">
        <v>591</v>
      </c>
      <c r="E212" t="s">
        <v>601</v>
      </c>
      <c r="F212" t="s">
        <v>12</v>
      </c>
      <c r="G212" t="s">
        <v>591</v>
      </c>
      <c r="H212" t="s">
        <v>602</v>
      </c>
      <c r="I212" t="s">
        <v>26</v>
      </c>
      <c r="J212">
        <v>1143</v>
      </c>
      <c r="K212">
        <v>2</v>
      </c>
      <c r="L212" s="2">
        <v>3.8199999999999998E-2</v>
      </c>
      <c r="M212">
        <v>0.09</v>
      </c>
      <c r="N212" s="2">
        <v>4.3662599999999996E-2</v>
      </c>
      <c r="O212" s="2">
        <v>0.10286999999999999</v>
      </c>
    </row>
    <row r="213" spans="2:15">
      <c r="B213" t="s">
        <v>32</v>
      </c>
      <c r="C213" t="s">
        <v>102</v>
      </c>
      <c r="D213" t="s">
        <v>106</v>
      </c>
      <c r="E213" t="s">
        <v>107</v>
      </c>
      <c r="F213" t="s">
        <v>12</v>
      </c>
      <c r="G213" t="s">
        <v>106</v>
      </c>
      <c r="H213" t="s">
        <v>108</v>
      </c>
      <c r="I213" t="s">
        <v>27</v>
      </c>
      <c r="J213">
        <v>35747</v>
      </c>
      <c r="K213">
        <v>10</v>
      </c>
      <c r="L213" s="2">
        <v>3.8199999999999998E-2</v>
      </c>
      <c r="M213">
        <v>0.09</v>
      </c>
      <c r="N213" s="2">
        <v>1.3655354</v>
      </c>
      <c r="O213" s="2">
        <v>3.2172299999999998</v>
      </c>
    </row>
    <row r="214" spans="2:15">
      <c r="B214" t="s">
        <v>32</v>
      </c>
      <c r="C214" t="s">
        <v>102</v>
      </c>
      <c r="D214" t="s">
        <v>595</v>
      </c>
      <c r="E214" t="s">
        <v>603</v>
      </c>
      <c r="F214" t="s">
        <v>12</v>
      </c>
      <c r="G214" t="s">
        <v>595</v>
      </c>
      <c r="H214" t="s">
        <v>604</v>
      </c>
      <c r="I214" t="s">
        <v>26</v>
      </c>
      <c r="J214">
        <v>1698</v>
      </c>
      <c r="K214">
        <v>4</v>
      </c>
      <c r="L214" s="2">
        <v>3.8199999999999998E-2</v>
      </c>
      <c r="M214">
        <v>0.09</v>
      </c>
      <c r="N214" s="2">
        <v>6.4863599999999993E-2</v>
      </c>
      <c r="O214" s="2">
        <v>0.15281999999999998</v>
      </c>
    </row>
    <row r="215" spans="2:15">
      <c r="B215" t="s">
        <v>32</v>
      </c>
      <c r="C215" t="s">
        <v>102</v>
      </c>
      <c r="D215" t="s">
        <v>109</v>
      </c>
      <c r="E215" t="s">
        <v>110</v>
      </c>
      <c r="F215" t="s">
        <v>12</v>
      </c>
      <c r="G215" t="s">
        <v>109</v>
      </c>
      <c r="H215" t="s">
        <v>111</v>
      </c>
      <c r="I215" t="s">
        <v>27</v>
      </c>
      <c r="J215">
        <v>4187791</v>
      </c>
      <c r="K215">
        <v>12476</v>
      </c>
      <c r="L215" s="2">
        <v>3.8199999999999998E-2</v>
      </c>
      <c r="M215">
        <v>0.09</v>
      </c>
      <c r="N215" s="2">
        <v>159.97361619999998</v>
      </c>
      <c r="O215" s="2">
        <v>376.90118999999999</v>
      </c>
    </row>
    <row r="216" spans="2:15">
      <c r="B216" t="s">
        <v>32</v>
      </c>
      <c r="C216" t="s">
        <v>102</v>
      </c>
      <c r="D216" t="s">
        <v>599</v>
      </c>
      <c r="E216" t="s">
        <v>605</v>
      </c>
      <c r="F216" t="s">
        <v>12</v>
      </c>
      <c r="G216" t="s">
        <v>599</v>
      </c>
      <c r="H216" t="s">
        <v>606</v>
      </c>
      <c r="I216" t="s">
        <v>26</v>
      </c>
      <c r="J216">
        <v>333095</v>
      </c>
      <c r="K216">
        <v>723</v>
      </c>
      <c r="L216" s="2">
        <v>3.8199999999999998E-2</v>
      </c>
      <c r="M216">
        <v>0.09</v>
      </c>
      <c r="N216" s="2">
        <v>12.724228999999999</v>
      </c>
      <c r="O216" s="2">
        <v>29.978549999999998</v>
      </c>
    </row>
    <row r="217" spans="2:15">
      <c r="B217" t="s">
        <v>32</v>
      </c>
      <c r="C217" t="s">
        <v>59</v>
      </c>
      <c r="D217" t="s">
        <v>607</v>
      </c>
      <c r="E217" t="s">
        <v>608</v>
      </c>
      <c r="F217" t="s">
        <v>10</v>
      </c>
      <c r="G217" t="s">
        <v>607</v>
      </c>
      <c r="H217" t="s">
        <v>609</v>
      </c>
      <c r="I217" t="s">
        <v>27</v>
      </c>
      <c r="J217">
        <v>0</v>
      </c>
      <c r="K217">
        <v>1</v>
      </c>
      <c r="L217" s="2">
        <v>3.5000000000000001E-3</v>
      </c>
      <c r="M217">
        <v>0.02</v>
      </c>
      <c r="N217" s="2">
        <v>3.5000000000000001E-3</v>
      </c>
      <c r="O217" s="2">
        <v>0.02</v>
      </c>
    </row>
    <row r="218" spans="2:15">
      <c r="B218" t="s">
        <v>32</v>
      </c>
      <c r="C218" t="s">
        <v>59</v>
      </c>
      <c r="D218" t="s">
        <v>610</v>
      </c>
      <c r="E218" t="s">
        <v>611</v>
      </c>
      <c r="F218" t="s">
        <v>12</v>
      </c>
      <c r="G218" t="s">
        <v>610</v>
      </c>
      <c r="H218" t="s">
        <v>612</v>
      </c>
      <c r="I218" t="s">
        <v>27</v>
      </c>
      <c r="J218">
        <v>188498</v>
      </c>
      <c r="K218">
        <v>48</v>
      </c>
      <c r="L218" s="2">
        <v>3.8199999999999998E-2</v>
      </c>
      <c r="M218">
        <v>0.09</v>
      </c>
      <c r="N218" s="2">
        <v>7.2006236000000001</v>
      </c>
      <c r="O218" s="2">
        <v>16.96482</v>
      </c>
    </row>
    <row r="219" spans="2:15">
      <c r="B219" t="s">
        <v>32</v>
      </c>
      <c r="C219" t="s">
        <v>59</v>
      </c>
      <c r="D219" t="s">
        <v>613</v>
      </c>
      <c r="E219" t="s">
        <v>614</v>
      </c>
      <c r="F219" t="s">
        <v>12</v>
      </c>
      <c r="G219" t="s">
        <v>613</v>
      </c>
      <c r="H219" t="s">
        <v>615</v>
      </c>
      <c r="I219" t="s">
        <v>27</v>
      </c>
      <c r="J219">
        <v>1496871</v>
      </c>
      <c r="K219">
        <v>948</v>
      </c>
      <c r="L219" s="2">
        <v>3.8199999999999998E-2</v>
      </c>
      <c r="M219">
        <v>0.09</v>
      </c>
      <c r="N219" s="2">
        <v>57.180472199999997</v>
      </c>
      <c r="O219" s="2">
        <v>134.71838999999997</v>
      </c>
    </row>
    <row r="220" spans="2:15">
      <c r="B220" t="s">
        <v>32</v>
      </c>
      <c r="C220" t="s">
        <v>59</v>
      </c>
      <c r="D220" t="s">
        <v>616</v>
      </c>
      <c r="E220" t="s">
        <v>617</v>
      </c>
      <c r="F220" t="s">
        <v>11</v>
      </c>
      <c r="G220" t="s">
        <v>60</v>
      </c>
      <c r="H220" t="s">
        <v>61</v>
      </c>
      <c r="I220" t="s">
        <v>26</v>
      </c>
      <c r="J220">
        <v>1</v>
      </c>
      <c r="K220">
        <v>1</v>
      </c>
      <c r="L220" s="2">
        <v>3.8199999999999998E-2</v>
      </c>
      <c r="M220">
        <v>0.09</v>
      </c>
      <c r="N220" s="2">
        <v>3.82E-5</v>
      </c>
      <c r="O220" s="2">
        <v>8.9999999999999992E-5</v>
      </c>
    </row>
    <row r="221" spans="2:15">
      <c r="B221" t="s">
        <v>32</v>
      </c>
      <c r="C221" t="s">
        <v>59</v>
      </c>
      <c r="D221" t="s">
        <v>618</v>
      </c>
      <c r="E221" t="s">
        <v>619</v>
      </c>
      <c r="F221" t="s">
        <v>12</v>
      </c>
      <c r="G221" t="s">
        <v>618</v>
      </c>
      <c r="H221" t="s">
        <v>620</v>
      </c>
      <c r="I221" t="s">
        <v>27</v>
      </c>
      <c r="J221">
        <v>307148</v>
      </c>
      <c r="K221">
        <v>833</v>
      </c>
      <c r="L221" s="2">
        <v>3.8199999999999998E-2</v>
      </c>
      <c r="M221">
        <v>0.09</v>
      </c>
      <c r="N221" s="2">
        <v>11.7330536</v>
      </c>
      <c r="O221" s="2">
        <v>27.643319999999999</v>
      </c>
    </row>
    <row r="222" spans="2:15">
      <c r="B222" t="s">
        <v>32</v>
      </c>
      <c r="C222" t="s">
        <v>59</v>
      </c>
      <c r="D222" t="s">
        <v>285</v>
      </c>
      <c r="E222" t="s">
        <v>286</v>
      </c>
      <c r="F222" t="s">
        <v>10</v>
      </c>
      <c r="G222" t="s">
        <v>285</v>
      </c>
      <c r="H222" t="s">
        <v>287</v>
      </c>
      <c r="I222" t="s">
        <v>27</v>
      </c>
      <c r="J222">
        <v>0</v>
      </c>
      <c r="K222">
        <v>152</v>
      </c>
      <c r="L222" s="2">
        <v>3.5000000000000001E-3</v>
      </c>
      <c r="M222">
        <v>0.02</v>
      </c>
      <c r="N222" s="2">
        <v>0.53200000000000003</v>
      </c>
      <c r="O222" s="2">
        <v>3.04</v>
      </c>
    </row>
    <row r="223" spans="2:15">
      <c r="B223" t="s">
        <v>32</v>
      </c>
      <c r="C223" t="s">
        <v>38</v>
      </c>
      <c r="D223" t="s">
        <v>39</v>
      </c>
      <c r="E223" t="s">
        <v>40</v>
      </c>
      <c r="F223" t="s">
        <v>12</v>
      </c>
      <c r="G223" t="s">
        <v>39</v>
      </c>
      <c r="H223" t="s">
        <v>41</v>
      </c>
      <c r="I223" t="s">
        <v>26</v>
      </c>
      <c r="J223">
        <v>3</v>
      </c>
      <c r="K223">
        <v>0</v>
      </c>
      <c r="L223" s="2">
        <v>3.8199999999999998E-2</v>
      </c>
      <c r="M223">
        <v>0.09</v>
      </c>
      <c r="N223" s="2">
        <v>1.1459999999999999E-4</v>
      </c>
      <c r="O223" s="2">
        <v>2.7E-4</v>
      </c>
    </row>
    <row r="224" spans="2:15">
      <c r="B224" t="s">
        <v>32</v>
      </c>
      <c r="C224" t="s">
        <v>38</v>
      </c>
      <c r="D224" t="s">
        <v>288</v>
      </c>
      <c r="E224" t="s">
        <v>289</v>
      </c>
      <c r="F224" t="s">
        <v>12</v>
      </c>
      <c r="G224" t="s">
        <v>288</v>
      </c>
      <c r="H224" t="s">
        <v>290</v>
      </c>
      <c r="I224" t="s">
        <v>26</v>
      </c>
      <c r="J224">
        <v>109040</v>
      </c>
      <c r="K224">
        <v>79</v>
      </c>
      <c r="L224" s="2">
        <v>3.8199999999999998E-2</v>
      </c>
      <c r="M224">
        <v>0.09</v>
      </c>
      <c r="N224" s="2">
        <v>4.1653279999999997</v>
      </c>
      <c r="O224" s="2">
        <v>9.813600000000001</v>
      </c>
    </row>
    <row r="225" spans="2:15">
      <c r="B225" t="s">
        <v>32</v>
      </c>
      <c r="C225" t="s">
        <v>38</v>
      </c>
      <c r="D225" t="s">
        <v>42</v>
      </c>
      <c r="E225" t="s">
        <v>43</v>
      </c>
      <c r="F225" t="s">
        <v>12</v>
      </c>
      <c r="G225" t="s">
        <v>42</v>
      </c>
      <c r="H225" t="s">
        <v>44</v>
      </c>
      <c r="I225" t="s">
        <v>26</v>
      </c>
      <c r="J225">
        <v>17</v>
      </c>
      <c r="K225">
        <v>0</v>
      </c>
      <c r="L225" s="2">
        <v>3.8199999999999998E-2</v>
      </c>
      <c r="M225">
        <v>0.09</v>
      </c>
      <c r="N225" s="2">
        <v>6.4939999999999996E-4</v>
      </c>
      <c r="O225" s="2">
        <v>1.5300000000000001E-3</v>
      </c>
    </row>
    <row r="226" spans="2:15">
      <c r="B226" t="s">
        <v>32</v>
      </c>
      <c r="C226" t="s">
        <v>38</v>
      </c>
      <c r="D226" t="s">
        <v>291</v>
      </c>
      <c r="E226" t="s">
        <v>292</v>
      </c>
      <c r="F226" t="s">
        <v>12</v>
      </c>
      <c r="G226" t="s">
        <v>291</v>
      </c>
      <c r="H226" t="s">
        <v>293</v>
      </c>
      <c r="I226" t="s">
        <v>26</v>
      </c>
      <c r="J226">
        <v>484321</v>
      </c>
      <c r="K226">
        <v>736</v>
      </c>
      <c r="L226" s="2">
        <v>3.8199999999999998E-2</v>
      </c>
      <c r="M226">
        <v>0.09</v>
      </c>
      <c r="N226" s="2">
        <v>18.5010622</v>
      </c>
      <c r="O226" s="2">
        <v>43.588889999999999</v>
      </c>
    </row>
    <row r="227" spans="2:15">
      <c r="B227" t="s">
        <v>32</v>
      </c>
      <c r="C227" t="s">
        <v>294</v>
      </c>
      <c r="D227" t="s">
        <v>621</v>
      </c>
      <c r="E227" t="s">
        <v>622</v>
      </c>
      <c r="F227" t="s">
        <v>12</v>
      </c>
      <c r="G227" t="s">
        <v>621</v>
      </c>
      <c r="H227" t="s">
        <v>623</v>
      </c>
      <c r="I227" t="s">
        <v>26</v>
      </c>
      <c r="J227">
        <v>6362</v>
      </c>
      <c r="K227">
        <v>12</v>
      </c>
      <c r="L227" s="2">
        <v>3.8199999999999998E-2</v>
      </c>
      <c r="M227">
        <v>0.09</v>
      </c>
      <c r="N227" s="2">
        <v>0.24302839999999998</v>
      </c>
      <c r="O227" s="2">
        <v>0.57257999999999998</v>
      </c>
    </row>
    <row r="228" spans="2:15">
      <c r="B228" t="s">
        <v>32</v>
      </c>
      <c r="C228" t="s">
        <v>294</v>
      </c>
      <c r="D228" t="s">
        <v>624</v>
      </c>
      <c r="E228" t="s">
        <v>625</v>
      </c>
      <c r="F228" t="s">
        <v>12</v>
      </c>
      <c r="G228" t="s">
        <v>624</v>
      </c>
      <c r="H228" t="s">
        <v>626</v>
      </c>
      <c r="I228" t="s">
        <v>26</v>
      </c>
      <c r="J228">
        <v>1</v>
      </c>
      <c r="K228">
        <v>0</v>
      </c>
      <c r="L228" s="2">
        <v>3.8199999999999998E-2</v>
      </c>
      <c r="M228">
        <v>0.09</v>
      </c>
      <c r="N228" s="2">
        <v>3.82E-5</v>
      </c>
      <c r="O228" s="2">
        <v>8.9999999999999992E-5</v>
      </c>
    </row>
    <row r="229" spans="2:15">
      <c r="B229" t="s">
        <v>32</v>
      </c>
      <c r="C229" t="s">
        <v>294</v>
      </c>
      <c r="D229" t="s">
        <v>627</v>
      </c>
      <c r="E229" t="s">
        <v>628</v>
      </c>
      <c r="F229" t="s">
        <v>12</v>
      </c>
      <c r="G229" t="s">
        <v>627</v>
      </c>
      <c r="H229" t="s">
        <v>629</v>
      </c>
      <c r="I229" t="s">
        <v>26</v>
      </c>
      <c r="J229">
        <v>49025</v>
      </c>
      <c r="K229">
        <v>69</v>
      </c>
      <c r="L229" s="2">
        <v>3.8199999999999998E-2</v>
      </c>
      <c r="M229">
        <v>0.09</v>
      </c>
      <c r="N229" s="2">
        <v>1.8727549999999999</v>
      </c>
      <c r="O229" s="2">
        <v>4.4122500000000002</v>
      </c>
    </row>
    <row r="230" spans="2:15">
      <c r="B230" t="s">
        <v>32</v>
      </c>
      <c r="C230" t="s">
        <v>294</v>
      </c>
      <c r="D230" t="s">
        <v>630</v>
      </c>
      <c r="E230" t="s">
        <v>631</v>
      </c>
      <c r="F230" t="s">
        <v>12</v>
      </c>
      <c r="G230" t="s">
        <v>630</v>
      </c>
      <c r="H230" t="s">
        <v>632</v>
      </c>
      <c r="I230" t="s">
        <v>26</v>
      </c>
      <c r="J230">
        <v>326820</v>
      </c>
      <c r="K230">
        <v>478</v>
      </c>
      <c r="L230" s="2">
        <v>3.8199999999999998E-2</v>
      </c>
      <c r="M230">
        <v>0.09</v>
      </c>
      <c r="N230" s="2">
        <v>12.484523999999999</v>
      </c>
      <c r="O230" s="2">
        <v>29.413799999999998</v>
      </c>
    </row>
    <row r="231" spans="2:15">
      <c r="B231" t="s">
        <v>32</v>
      </c>
      <c r="C231" t="s">
        <v>294</v>
      </c>
      <c r="D231" t="s">
        <v>633</v>
      </c>
      <c r="E231" t="s">
        <v>634</v>
      </c>
      <c r="F231" t="s">
        <v>12</v>
      </c>
      <c r="G231" t="s">
        <v>633</v>
      </c>
      <c r="H231" t="s">
        <v>635</v>
      </c>
      <c r="I231" t="s">
        <v>26</v>
      </c>
      <c r="J231">
        <v>178687</v>
      </c>
      <c r="K231">
        <v>331</v>
      </c>
      <c r="L231" s="2">
        <v>3.8199999999999998E-2</v>
      </c>
      <c r="M231">
        <v>0.09</v>
      </c>
      <c r="N231" s="2">
        <v>6.8258434000000001</v>
      </c>
      <c r="O231" s="2">
        <v>16.08183</v>
      </c>
    </row>
    <row r="232" spans="2:15">
      <c r="B232" t="s">
        <v>32</v>
      </c>
      <c r="C232" t="s">
        <v>294</v>
      </c>
      <c r="D232" t="s">
        <v>636</v>
      </c>
      <c r="E232" t="s">
        <v>637</v>
      </c>
      <c r="F232" t="s">
        <v>12</v>
      </c>
      <c r="G232" t="s">
        <v>636</v>
      </c>
      <c r="H232" t="s">
        <v>638</v>
      </c>
      <c r="I232" t="s">
        <v>26</v>
      </c>
      <c r="J232">
        <v>1</v>
      </c>
      <c r="K232">
        <v>0</v>
      </c>
      <c r="L232" s="2">
        <v>3.8199999999999998E-2</v>
      </c>
      <c r="M232">
        <v>0.09</v>
      </c>
      <c r="N232" s="2">
        <v>3.82E-5</v>
      </c>
      <c r="O232" s="2">
        <v>8.9999999999999992E-5</v>
      </c>
    </row>
    <row r="233" spans="2:15">
      <c r="B233" t="s">
        <v>32</v>
      </c>
      <c r="C233" t="s">
        <v>294</v>
      </c>
      <c r="D233" t="s">
        <v>639</v>
      </c>
      <c r="E233" t="s">
        <v>640</v>
      </c>
      <c r="F233" t="s">
        <v>12</v>
      </c>
      <c r="G233" t="s">
        <v>639</v>
      </c>
      <c r="H233" t="s">
        <v>641</v>
      </c>
      <c r="I233" t="s">
        <v>26</v>
      </c>
      <c r="J233">
        <v>45211</v>
      </c>
      <c r="K233">
        <v>44</v>
      </c>
      <c r="L233" s="2">
        <v>3.8199999999999998E-2</v>
      </c>
      <c r="M233">
        <v>0.09</v>
      </c>
      <c r="N233" s="2">
        <v>1.7270601999999999</v>
      </c>
      <c r="O233" s="2">
        <v>4.0689899999999994</v>
      </c>
    </row>
    <row r="234" spans="2:15">
      <c r="B234" t="s">
        <v>32</v>
      </c>
      <c r="C234" t="s">
        <v>294</v>
      </c>
      <c r="D234" t="s">
        <v>642</v>
      </c>
      <c r="E234" t="s">
        <v>643</v>
      </c>
      <c r="F234" t="s">
        <v>12</v>
      </c>
      <c r="G234" t="s">
        <v>642</v>
      </c>
      <c r="H234" t="s">
        <v>644</v>
      </c>
      <c r="I234" t="s">
        <v>26</v>
      </c>
      <c r="J234">
        <v>1</v>
      </c>
      <c r="K234">
        <v>0</v>
      </c>
      <c r="L234" s="2">
        <v>3.8199999999999998E-2</v>
      </c>
      <c r="M234">
        <v>0.09</v>
      </c>
      <c r="N234" s="2">
        <v>3.82E-5</v>
      </c>
      <c r="O234" s="2">
        <v>8.9999999999999992E-5</v>
      </c>
    </row>
    <row r="235" spans="2:15">
      <c r="B235" t="s">
        <v>32</v>
      </c>
      <c r="C235" t="s">
        <v>294</v>
      </c>
      <c r="D235" t="s">
        <v>645</v>
      </c>
      <c r="E235" t="s">
        <v>646</v>
      </c>
      <c r="F235" t="s">
        <v>12</v>
      </c>
      <c r="G235" t="s">
        <v>645</v>
      </c>
      <c r="H235" t="s">
        <v>647</v>
      </c>
      <c r="I235" t="s">
        <v>26</v>
      </c>
      <c r="J235">
        <v>1</v>
      </c>
      <c r="K235">
        <v>0</v>
      </c>
      <c r="L235" s="2">
        <v>3.8199999999999998E-2</v>
      </c>
      <c r="M235">
        <v>0.09</v>
      </c>
      <c r="N235" s="2">
        <v>3.82E-5</v>
      </c>
      <c r="O235" s="2">
        <v>8.9999999999999992E-5</v>
      </c>
    </row>
    <row r="236" spans="2:15">
      <c r="B236" t="s">
        <v>32</v>
      </c>
      <c r="C236" t="s">
        <v>294</v>
      </c>
      <c r="D236" t="s">
        <v>648</v>
      </c>
      <c r="E236" t="s">
        <v>649</v>
      </c>
      <c r="F236" t="s">
        <v>10</v>
      </c>
      <c r="G236" t="s">
        <v>648</v>
      </c>
      <c r="H236" t="s">
        <v>650</v>
      </c>
      <c r="I236" t="s">
        <v>27</v>
      </c>
      <c r="J236">
        <v>0</v>
      </c>
      <c r="K236">
        <v>3</v>
      </c>
      <c r="L236" s="2">
        <v>3.5000000000000001E-3</v>
      </c>
      <c r="M236">
        <v>0.02</v>
      </c>
      <c r="N236" s="2">
        <v>1.0500000000000001E-2</v>
      </c>
      <c r="O236" s="2">
        <v>0.06</v>
      </c>
    </row>
    <row r="237" spans="2:15">
      <c r="B237" t="s">
        <v>32</v>
      </c>
      <c r="C237" t="s">
        <v>294</v>
      </c>
      <c r="D237" t="s">
        <v>651</v>
      </c>
      <c r="E237" t="s">
        <v>652</v>
      </c>
      <c r="F237" t="s">
        <v>10</v>
      </c>
      <c r="G237" t="s">
        <v>651</v>
      </c>
      <c r="H237" t="s">
        <v>653</v>
      </c>
      <c r="I237" t="s">
        <v>27</v>
      </c>
      <c r="J237">
        <v>0</v>
      </c>
      <c r="K237">
        <v>1</v>
      </c>
      <c r="L237" s="2">
        <v>3.5000000000000001E-3</v>
      </c>
      <c r="M237">
        <v>0.02</v>
      </c>
      <c r="N237" s="2">
        <v>3.5000000000000001E-3</v>
      </c>
      <c r="O237" s="2">
        <v>0.02</v>
      </c>
    </row>
    <row r="238" spans="2:15">
      <c r="B238" t="s">
        <v>32</v>
      </c>
      <c r="C238" t="s">
        <v>294</v>
      </c>
      <c r="D238" t="s">
        <v>295</v>
      </c>
      <c r="E238" t="s">
        <v>296</v>
      </c>
      <c r="F238" t="s">
        <v>10</v>
      </c>
      <c r="G238" t="s">
        <v>295</v>
      </c>
      <c r="H238" t="s">
        <v>297</v>
      </c>
      <c r="I238" t="s">
        <v>27</v>
      </c>
      <c r="J238">
        <v>0</v>
      </c>
      <c r="K238">
        <v>2</v>
      </c>
      <c r="L238" s="2">
        <v>3.5000000000000001E-3</v>
      </c>
      <c r="M238">
        <v>0.02</v>
      </c>
      <c r="N238" s="2">
        <v>7.0000000000000001E-3</v>
      </c>
      <c r="O238" s="2">
        <v>0.04</v>
      </c>
    </row>
    <row r="239" spans="2:15">
      <c r="B239" t="s">
        <v>32</v>
      </c>
      <c r="C239" t="s">
        <v>294</v>
      </c>
      <c r="D239" t="s">
        <v>654</v>
      </c>
      <c r="E239" t="s">
        <v>655</v>
      </c>
      <c r="F239" t="s">
        <v>10</v>
      </c>
      <c r="G239" t="s">
        <v>654</v>
      </c>
      <c r="H239" t="s">
        <v>656</v>
      </c>
      <c r="I239" t="s">
        <v>27</v>
      </c>
      <c r="J239">
        <v>0</v>
      </c>
      <c r="K239">
        <v>1</v>
      </c>
      <c r="L239" s="2">
        <v>3.5000000000000001E-3</v>
      </c>
      <c r="M239">
        <v>0.02</v>
      </c>
      <c r="N239" s="2">
        <v>3.5000000000000001E-3</v>
      </c>
      <c r="O239" s="2">
        <v>0.02</v>
      </c>
    </row>
    <row r="240" spans="2:15">
      <c r="B240" t="s">
        <v>32</v>
      </c>
      <c r="C240" t="s">
        <v>294</v>
      </c>
      <c r="D240" t="s">
        <v>657</v>
      </c>
      <c r="E240" t="s">
        <v>658</v>
      </c>
      <c r="F240" t="s">
        <v>10</v>
      </c>
      <c r="G240" t="s">
        <v>657</v>
      </c>
      <c r="H240" t="s">
        <v>659</v>
      </c>
      <c r="I240" t="s">
        <v>27</v>
      </c>
      <c r="J240">
        <v>0</v>
      </c>
      <c r="K240">
        <v>2</v>
      </c>
      <c r="L240" s="2">
        <v>3.5000000000000001E-3</v>
      </c>
      <c r="M240">
        <v>0.02</v>
      </c>
      <c r="N240" s="2">
        <v>7.0000000000000001E-3</v>
      </c>
      <c r="O240" s="2">
        <v>0.04</v>
      </c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N1231" s="3"/>
      <c r="O1231" s="3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</sheetData>
  <autoFilter ref="A19:O1230" xr:uid="{77595A25-A759-40B4-AE0D-A27FCE2AE26E}"/>
  <conditionalFormatting sqref="D19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13</xdr:row>
                    <xdr:rowOff>123825</xdr:rowOff>
                  </from>
                  <to>
                    <xdr:col>2</xdr:col>
                    <xdr:colOff>2286000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13</xdr:row>
                    <xdr:rowOff>114300</xdr:rowOff>
                  </from>
                  <to>
                    <xdr:col>3</xdr:col>
                    <xdr:colOff>2295525</xdr:colOff>
                    <xdr:row>14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Douglas Cordeiro Alencar da Silva - Almap BBDO</cp:lastModifiedBy>
  <dcterms:created xsi:type="dcterms:W3CDTF">2015-03-03T21:53:58Z</dcterms:created>
  <dcterms:modified xsi:type="dcterms:W3CDTF">2019-08-13T19:12:59Z</dcterms:modified>
</cp:coreProperties>
</file>