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e-midia\midia$\Operacoes de Midia\AdOps\Havaianas\"/>
    </mc:Choice>
  </mc:AlternateContent>
  <xr:revisionPtr revIDLastSave="0" documentId="13_ncr:1_{54093F0F-DA14-44D2-9DC8-F9EA332A70AD}" xr6:coauthVersionLast="41" xr6:coauthVersionMax="41" xr10:uidLastSave="{00000000-0000-0000-0000-000000000000}"/>
  <bookViews>
    <workbookView xWindow="-120" yWindow="-120" windowWidth="20730" windowHeight="11160" xr2:uid="{00000000-000D-0000-FFFF-FFFF00000000}"/>
  </bookViews>
  <sheets>
    <sheet name="Resumo" sheetId="8" r:id="rId1"/>
  </sheets>
  <definedNames>
    <definedName name="_xlnm._FilterDatabase" localSheetId="0" hidden="1">Resumo!$A$19:$O$1228</definedName>
    <definedName name="adtype">#REF!</definedName>
    <definedName name="adtype_filtrada">Resumo!$F$20:$F$1048576</definedName>
    <definedName name="_xlnm.Extract" localSheetId="0">Resumo!$B$19:$O$19</definedName>
    <definedName name="bd_ad">#REF!</definedName>
    <definedName name="bd_adid">#REF!</definedName>
    <definedName name="bd_adtype">#REF!</definedName>
    <definedName name="bd_campaign">#REF!</definedName>
    <definedName name="bd_clicks">#REF!</definedName>
    <definedName name="bd_creativetype">#REF!</definedName>
    <definedName name="bd_impression">#REF!</definedName>
    <definedName name="bd_placement">#REF!</definedName>
    <definedName name="bd_placementID">#REF!</definedName>
    <definedName name="bd_site">#REF!</definedName>
    <definedName name="Busca">Resumo!$B$14:$C$15</definedName>
    <definedName name="campanha_nome">Resumo!$B$15</definedName>
    <definedName name="clicks">#REF!</definedName>
    <definedName name="clicks_filtrada">Resumo!$K$20:$K$1048576</definedName>
    <definedName name="_xlnm.Criteria" localSheetId="0">Resumo!$B$14:$C$15</definedName>
    <definedName name="dados">#REF!</definedName>
    <definedName name="filtro">Resumo!$B$19:$O$19</definedName>
    <definedName name="impressions">#REF!</definedName>
    <definedName name="impressoes_filtrada">Resumo!$J$20:$J$1048576</definedName>
    <definedName name="tabela">#REF!</definedName>
    <definedName name="total_adops">#REF!</definedName>
    <definedName name="total_adops_filtrada">Resumo!$O$20:$O$1048576</definedName>
    <definedName name="total_ferramenta">#REF!</definedName>
    <definedName name="total_ferramenta_filtrada">Resumo!$N$20:$N$1048576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8" l="1"/>
  <c r="D4" i="8"/>
  <c r="D5" i="8"/>
  <c r="D7" i="8"/>
  <c r="D8" i="8"/>
  <c r="D9" i="8"/>
  <c r="E7" i="8" l="1"/>
  <c r="E9" i="8"/>
  <c r="E4" i="8"/>
  <c r="E6" i="8"/>
  <c r="E5" i="8"/>
  <c r="E8" i="8"/>
  <c r="E10" i="8" l="1"/>
  <c r="G5" i="8" s="1"/>
</calcChain>
</file>

<file path=xl/sharedStrings.xml><?xml version="1.0" encoding="utf-8"?>
<sst xmlns="http://schemas.openxmlformats.org/spreadsheetml/2006/main" count="1279" uniqueCount="515">
  <si>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</si>
  <si>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</si>
  <si>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</si>
  <si>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</si>
  <si>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</si>
  <si>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</si>
  <si>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</si>
  <si>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</si>
  <si>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</si>
  <si>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</si>
  <si>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</si>
  <si>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</si>
  <si>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</si>
  <si>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</si>
  <si>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</si>
  <si>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</si>
  <si>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</si>
  <si>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Tipo</t>
  </si>
  <si>
    <t>Quantidade</t>
  </si>
  <si>
    <t>Receita</t>
  </si>
  <si>
    <t>Total</t>
  </si>
  <si>
    <t>Rich Media 2.2mb</t>
  </si>
  <si>
    <t>Valor</t>
  </si>
  <si>
    <t>a.</t>
  </si>
  <si>
    <t>DCO</t>
  </si>
  <si>
    <t>Rich Media display banner</t>
  </si>
  <si>
    <t>Display</t>
  </si>
  <si>
    <t>Tracking</t>
  </si>
  <si>
    <t>Total R$</t>
  </si>
  <si>
    <t>PG ALMAP</t>
  </si>
  <si>
    <t>PG CM</t>
  </si>
  <si>
    <t>facebook.com.br</t>
  </si>
  <si>
    <t>alp_marca</t>
  </si>
  <si>
    <t>Elhombre_Puig</t>
  </si>
  <si>
    <t>243290121</t>
  </si>
  <si>
    <t>439773376</t>
  </si>
  <si>
    <t>papodehomem.com.br</t>
  </si>
  <si>
    <t>Instagram</t>
  </si>
  <si>
    <t>Oath BR</t>
  </si>
  <si>
    <t>Steal The Look</t>
  </si>
  <si>
    <t>MTV Brasil</t>
  </si>
  <si>
    <t>alp_marca_alcance_jovem_facebook_social_dark-post_social_got_all_cpm_1080x1080_111121</t>
  </si>
  <si>
    <t>jovemnerd.com.br</t>
  </si>
  <si>
    <t>Pipocando</t>
  </si>
  <si>
    <t>alp_marca_alcance_feminino_facebook_social_pagepost_social_slim-hits_all_cpm_1200x628_111196</t>
  </si>
  <si>
    <t>248134076</t>
  </si>
  <si>
    <t>444678955</t>
  </si>
  <si>
    <t>alp_marca_engajamentos_feminino_facebook_social_dark-post_social_rasteiras_fashion_cpm_500x500_111175</t>
  </si>
  <si>
    <t>246346793</t>
  </si>
  <si>
    <t>443048506</t>
  </si>
  <si>
    <t>alp_marca_engajamentos_feminino_facebook_social_dark-post_social_rasteiras_funcional_cpm_500x500_111173</t>
  </si>
  <si>
    <t>246698184</t>
  </si>
  <si>
    <t>442925904</t>
  </si>
  <si>
    <t>alp_marca_engajamentos_feminino_facebook_social_dark-post_social_rasteiras_style_cpm_500x500_111176</t>
  </si>
  <si>
    <t>246588286</t>
  </si>
  <si>
    <t>442981506</t>
  </si>
  <si>
    <t>alp_marca_engajamentos_feminino_facebook_social_video-social_social_slim-hits_all_cpm_acima-de-30s_111208</t>
  </si>
  <si>
    <t>248134070</t>
  </si>
  <si>
    <t>444678949</t>
  </si>
  <si>
    <t>alp_marca_engajamentos_masculino_facebook_social_dark-post_social_harry-potter_licenciados_cpm_500x500_111187</t>
  </si>
  <si>
    <t>246959855</t>
  </si>
  <si>
    <t>443465076</t>
  </si>
  <si>
    <t>alp_marca_engajamentos_masculino_facebook_social_dark-post_social_havaianas-top-max_automoveis_cpm_500x500_111189</t>
  </si>
  <si>
    <t>246959849</t>
  </si>
  <si>
    <t>443465070</t>
  </si>
  <si>
    <t>alp_marca_engajamentos_masculino_facebook_social_dark-post_social_hype_sports_cpm_500x500_111188</t>
  </si>
  <si>
    <t>246959852</t>
  </si>
  <si>
    <t>443465073</t>
  </si>
  <si>
    <t>globoesporte.globo.com</t>
  </si>
  <si>
    <t>alp_marca_alcance_masculino_el-hombre_display_diaria-bg_home_havaianas-urban_all_cpm_1900x1020_111217</t>
  </si>
  <si>
    <t>248744191</t>
  </si>
  <si>
    <t>444928407</t>
  </si>
  <si>
    <t>alp_marca_alcance_masculino_el-hombre_display_superheader-mobile_home_havaianas-urban_all_cpm_320x100_111218</t>
  </si>
  <si>
    <t>248914512</t>
  </si>
  <si>
    <t>alp_marca_alcance_jovem_pipocando_conteudo-veiculo_video-ytb_social_toy-story_all_fixo_no-size_111232</t>
  </si>
  <si>
    <t>249203219</t>
  </si>
  <si>
    <t>445681967</t>
  </si>
  <si>
    <t>alp_marca_engajamentos_feminino_steal-the-look_conteudo-veiculo_publieditorial_ros_rasteiras-you_all_cpm_no-size_111278</t>
  </si>
  <si>
    <t>249792011</t>
  </si>
  <si>
    <t>446267440</t>
  </si>
  <si>
    <t>alp_marca_engajamentos_feminino_steal-the-look_conteudo-veiculo_publieditorial_ros_rasteiras-you_all_cpm_no-size_111281</t>
  </si>
  <si>
    <t>249792020</t>
  </si>
  <si>
    <t>446267449</t>
  </si>
  <si>
    <t>alp_marca_engajamentos_feminino_steal-the-look_conteudo-veiculo_publieditorial_ros_rasteiras-you_all_cpm_no-size_111285</t>
  </si>
  <si>
    <t>249792032</t>
  </si>
  <si>
    <t>446267461</t>
  </si>
  <si>
    <t>alp_marca_engajamentos_feminino_steal-the-look_conteudo-veiculo_publieditorial_ros_rasteiras-you_all_cpm_no-size_111287</t>
  </si>
  <si>
    <t>249792038</t>
  </si>
  <si>
    <t>446267467</t>
  </si>
  <si>
    <t>Sua musica</t>
  </si>
  <si>
    <t>alp_marca_alcance_todos_sua-musica_display_diaria-bg_home_sao-joao_all_cpm_1900x1020_111276</t>
  </si>
  <si>
    <t>249903469</t>
  </si>
  <si>
    <t>446129080</t>
  </si>
  <si>
    <t>alp_marca_alcance_todos_sua-musica_display_interstitial-mobile_ros_sao-joao_all_cpm_320x480_111221</t>
  </si>
  <si>
    <t>248521784</t>
  </si>
  <si>
    <t>444923805</t>
  </si>
  <si>
    <t>adorocinema.com</t>
  </si>
  <si>
    <t>eco21.com.br</t>
  </si>
  <si>
    <t>alp_marca_alcance_feminino_facebook_social_pagepost_social_rasteiras_all_cpm_1080x1080_111228</t>
  </si>
  <si>
    <t>249100214</t>
  </si>
  <si>
    <t>445480692</t>
  </si>
  <si>
    <t>alp_marca_alcance_feminino_facebook_social_video-social_social_artistas-barbara_all_cpm_de-11s-ate-29s_111225</t>
  </si>
  <si>
    <t>249213027</t>
  </si>
  <si>
    <t>445223955</t>
  </si>
  <si>
    <t>alp_marca_alcance_jovem_facebook_social_pagepost_social_toy-story_all_cpm_1080x1080_111245</t>
  </si>
  <si>
    <t>249266750</t>
  </si>
  <si>
    <t>445737839</t>
  </si>
  <si>
    <t>alp_marca_alcance_todos_facebook_social_video-social_social_havaianas-ipe_all_cpm_de-11s-ate-29s_111212</t>
  </si>
  <si>
    <t>248672104</t>
  </si>
  <si>
    <t>444990895</t>
  </si>
  <si>
    <t>alp_marca_engajamentos_masculino_facebook_social_dark-post_social_havaianas-urban_moda_cpm_1080x1080_111248-joao_all_cpm_de-5s-ate-10s_111247</t>
  </si>
  <si>
    <t>249586960</t>
  </si>
  <si>
    <t>alp_marca_engajamentos_masculino_facebook_social_dark-post_social_havaianas-urban_moda_cpm_1080x1080_111248</t>
  </si>
  <si>
    <t>445854028</t>
  </si>
  <si>
    <t>alp_marca_engajamentos_jovem_jovem-nerd_conteudo-veiculo_video-social_youtube_stranger-things_all_fixo_acima-de-30s_111311</t>
  </si>
  <si>
    <t>250442014</t>
  </si>
  <si>
    <t>446561231</t>
  </si>
  <si>
    <t>alp_marca_alcance_masculino_papo-de-homem_display_billboard_ros_havaianas-urban_all_cpm_970x250_111207</t>
  </si>
  <si>
    <t>248234589</t>
  </si>
  <si>
    <t>444466786</t>
  </si>
  <si>
    <t>alp_marca_alcance_masculino_papo-de-homem_display_retangulo_ros_havaianas-urban_all_cpm_300x250_111207</t>
  </si>
  <si>
    <t>248233251</t>
  </si>
  <si>
    <t>444464740</t>
  </si>
  <si>
    <t>universa-uol_puig</t>
  </si>
  <si>
    <t>Editora Globo</t>
  </si>
  <si>
    <t>alp_marca_alcance_feminino_editora-globo_display_retangulo_ros_rasteiras_fashion_cpm_300x250_111341</t>
  </si>
  <si>
    <t>251923660</t>
  </si>
  <si>
    <t>448013603</t>
  </si>
  <si>
    <t>alp_marca_alcance_feminino_oath-verizon_display_billboard_ros_rasteiras_fashion_cpm_970x250_111341</t>
  </si>
  <si>
    <t>251230706</t>
  </si>
  <si>
    <t>447627221</t>
  </si>
  <si>
    <t>alp_marca_alcance_feminino_oath-verizon_display_retangulo_ros_rasteiras_fashion_cpm_300x250_111341</t>
  </si>
  <si>
    <t>251526127</t>
  </si>
  <si>
    <t>447709948</t>
  </si>
  <si>
    <t>alp_marca_alcance_feminino_oath-verizon_display_retangulo_ros_rasteiras_funcional_cpm_300x250_111340</t>
  </si>
  <si>
    <t>251621979</t>
  </si>
  <si>
    <t>447710785</t>
  </si>
  <si>
    <t>alp_marca_alcance_feminino_oath-verizon_display_superbanner_ros_rasteiras_fashion_cpm_728x90_111341</t>
  </si>
  <si>
    <t>251527402</t>
  </si>
  <si>
    <t>447711490</t>
  </si>
  <si>
    <t>alp_marca_alcance_masculino_oath-verizon_video_video_ros_havaianas-urban-rubinho_all_cpm_de-11s-ate-29s_111333</t>
  </si>
  <si>
    <t>251320243</t>
  </si>
  <si>
    <t>447398574</t>
  </si>
  <si>
    <t>alp_marca_engajamentos_feminino_steal-the-look_conteudo-veiculo_publieditorial_ros_rasteiras-you_all_cpm_no-size_111354</t>
  </si>
  <si>
    <t>252202933</t>
  </si>
  <si>
    <t>448198305</t>
  </si>
  <si>
    <t>alp_marca_engajamentos_feminino_steal-the-look_conteudo-veiculo_publieditorial_ros_rasteiras-you_all_cpm_no-size_111355</t>
  </si>
  <si>
    <t>251870939</t>
  </si>
  <si>
    <t>448251389</t>
  </si>
  <si>
    <t>alp_marca_alcance_jovem_facebook_social_dark-post_social_got_all_cpm_1080x1080_111136</t>
  </si>
  <si>
    <t>244294036</t>
  </si>
  <si>
    <t>441044553</t>
  </si>
  <si>
    <t>alp_marca_alcance_jovem_facebook_social_dark-post_social_la-casa-de-papel_all_cpm_1080x1080_111352</t>
  </si>
  <si>
    <t>251858638</t>
  </si>
  <si>
    <t>447930218</t>
  </si>
  <si>
    <t>alp_marca_alcance_jovem_facebook_social_dark-post_social_la-casa-de-papel_all_cpm_1080x1080_111353</t>
  </si>
  <si>
    <t>251856574</t>
  </si>
  <si>
    <t>448027624</t>
  </si>
  <si>
    <t>alp_marca_alcance_jovem_facebook_social_video-social_social_buff-moster_all_cpm_de-11s-ate-29s_111351</t>
  </si>
  <si>
    <t>251458466</t>
  </si>
  <si>
    <t>447788730</t>
  </si>
  <si>
    <t>alp_marca_alcance_jovem_facebook_social_video-social_social_rei-leao_all_cpm_de-5s-ate-10s_111342</t>
  </si>
  <si>
    <t>251703600</t>
  </si>
  <si>
    <t>447785983</t>
  </si>
  <si>
    <t>alp_marca_alcance_masculino_facebook_social_video-social_social_havaianas-urban-rubinho_all_cpm_de-11s-ate-29s_111332</t>
  </si>
  <si>
    <t>251020964</t>
  </si>
  <si>
    <t>447523264</t>
  </si>
  <si>
    <t>alp_marca_alcance_masculino_facebook_social_video-social_social_havaianas-urban-rubinho_all_cpm_de-11s-ate-29s_111342</t>
  </si>
  <si>
    <t>251626715</t>
  </si>
  <si>
    <t>448019633</t>
  </si>
  <si>
    <t>alp_marca_alcance_masculino_facebook_social_video-social_social_havaianas-urban-rubinho_all_cpm_de-11s-ate-29s_111343</t>
  </si>
  <si>
    <t>251953726</t>
  </si>
  <si>
    <t>448018391</t>
  </si>
  <si>
    <t>alp_marca_alcance_masculino_facebook_social_video-social_social_havaianas-urban-rubinho_all_cpm_de-11s-ate-29s_111349</t>
  </si>
  <si>
    <t>251458439</t>
  </si>
  <si>
    <t>447939268</t>
  </si>
  <si>
    <t>alp_marca_alcance_masculino_facebook_social_video-social_social_havaianas-urban-rubinho_all_cpm_de-11s-ate-29s_111350</t>
  </si>
  <si>
    <t>251457926</t>
  </si>
  <si>
    <t>447940573</t>
  </si>
  <si>
    <t>alp_marca_engajamentos_feminino_facebook_social_dark-post_social_rasteiras_funcional_cpm_1080x1080_111334</t>
  </si>
  <si>
    <t>251079740</t>
  </si>
  <si>
    <t>447455193</t>
  </si>
  <si>
    <t>alp_marca_alcance_feminino_universa-uol_display_billboard_ros_rasteiras_fashion_cpm_970x250_111341</t>
  </si>
  <si>
    <t>252033517</t>
  </si>
  <si>
    <t>448038642</t>
  </si>
  <si>
    <t>alp_marca_alcance_feminino_universa-uol_display_retangulo_ros_rasteiras_fashion_cpm_300x250_111341</t>
  </si>
  <si>
    <t>252034849</t>
  </si>
  <si>
    <t>448038630</t>
  </si>
  <si>
    <t>BR UOL.</t>
  </si>
  <si>
    <t>alp_marca_alcance_feminino_editora-globo_display_billboard_ros_rasteiras_funcional_cpm_970x250_111340</t>
  </si>
  <si>
    <t>251944198</t>
  </si>
  <si>
    <t>448098286</t>
  </si>
  <si>
    <t>444930120</t>
  </si>
  <si>
    <t>alp_marca_engajamentos_jovem_instagram_social_stories_social_rei-leao-nah-cardoso_all_cpm_de-11s-ate-29s_111367</t>
  </si>
  <si>
    <t>253119451</t>
  </si>
  <si>
    <t>449126217</t>
  </si>
  <si>
    <t>alp_marca_alcance_masculino_oath-verizon_display_retangulo-expansivel_ros_havaianas-urban-rubinho_all_cpm_300x250_111376</t>
  </si>
  <si>
    <t>253037135</t>
  </si>
  <si>
    <t>449494873</t>
  </si>
  <si>
    <t>alp_marca_alcance_masculino_oath-verizon_display_video-canvas_ros_havaianas-urban-rubinho_all_cpm_no-size_111375</t>
  </si>
  <si>
    <t>253037627</t>
  </si>
  <si>
    <t>449391336</t>
  </si>
  <si>
    <t>alp_marca_alcance_todos_eco-21_social_banner_social_havaianas-ipe_all_cpm_840x90_111385</t>
  </si>
  <si>
    <t>253917313</t>
  </si>
  <si>
    <t>449875482</t>
  </si>
  <si>
    <t>alp_marca_alcance_feminino_facebook_social_pagepost_social_artistas-barbara_all_cpm_1080x1080_111350</t>
  </si>
  <si>
    <t>252977848</t>
  </si>
  <si>
    <t>448984472</t>
  </si>
  <si>
    <t>alp_marca_alcance_feminino_facebook_social_pagepost_social_havaianas-origine-elastic-cru-preto_all_cpm_1080x1080_111386</t>
  </si>
  <si>
    <t>253711742</t>
  </si>
  <si>
    <t>450148066</t>
  </si>
  <si>
    <t>alp_marca_alcance_feminino_facebook_social_pagepost_social_lancamento-core_all_cpm_1080x1080_111380</t>
  </si>
  <si>
    <t>253453276</t>
  </si>
  <si>
    <t>449494268</t>
  </si>
  <si>
    <t>alp_marca_alcance_feminino_facebook_social_pagepost_social_lancamento-core_all_cpm_1080x1080_111383</t>
  </si>
  <si>
    <t>253849482</t>
  </si>
  <si>
    <t>449838277</t>
  </si>
  <si>
    <t>alp_marca_alcance_feminino_facebook_social_pagepost_social_lancamento-core_all_cpm_1080x1080_111384</t>
  </si>
  <si>
    <t>253760116</t>
  </si>
  <si>
    <t>449838280</t>
  </si>
  <si>
    <t>alp_marca_alcance_feminino_facebook_social_pagepost_social_rasteiras-you_all_cpm_1080x1080_111349</t>
  </si>
  <si>
    <t>252979732</t>
  </si>
  <si>
    <t>448984454</t>
  </si>
  <si>
    <t>alp_marca_alcance_masculino_uol_display_billboard_ros_havaianas-surf_sports_cpm_970x250_111394</t>
  </si>
  <si>
    <t>255584355</t>
  </si>
  <si>
    <t>451374660</t>
  </si>
  <si>
    <t>alp_marca_alcance_masculino_uol_display_billboard_ros_havaianas-urban_moda_cpm_970x250_111393</t>
  </si>
  <si>
    <t>255584385</t>
  </si>
  <si>
    <t>451374690</t>
  </si>
  <si>
    <t>alp_marca_alcance_masculino_uol_display_billboard_ros_la-casa-de-papel_licenciados_cpm_970x250_111392</t>
  </si>
  <si>
    <t>255584370</t>
  </si>
  <si>
    <t>451374675</t>
  </si>
  <si>
    <t>alp_marca_alcance_masculino_uol_display_half-page_ros_havaianas-surf_sports_cpm_300x600_111394</t>
  </si>
  <si>
    <t>255584349</t>
  </si>
  <si>
    <t>451374654</t>
  </si>
  <si>
    <t>alp_marca_alcance_masculino_uol_display_half-page_ros_havaianas-urban_moda_cpm_300x600_111393</t>
  </si>
  <si>
    <t>255584379</t>
  </si>
  <si>
    <t>451374684</t>
  </si>
  <si>
    <t>alp_marca_alcance_masculino_uol_display_half-page_ros_la-casa-de-papel_licenciados_cpm_300x600_111392</t>
  </si>
  <si>
    <t>255584364</t>
  </si>
  <si>
    <t>451374669</t>
  </si>
  <si>
    <t>alp_marca_alcance_masculino_uol_display_retangulo_ros_havaianas-surf_sports_cpm_300x250_111394</t>
  </si>
  <si>
    <t>255584358</t>
  </si>
  <si>
    <t>451374663</t>
  </si>
  <si>
    <t>alp_marca_alcance_masculino_uol_display_retangulo_ros_havaianas-urban_moda_cpm_300x250_111393</t>
  </si>
  <si>
    <t>255584388</t>
  </si>
  <si>
    <t>451374693</t>
  </si>
  <si>
    <t>alp_marca_alcance_masculino_uol_display_retangulo_ros_la-casa-de-papel_licenciados_cpm_300x250_111392</t>
  </si>
  <si>
    <t>255584373</t>
  </si>
  <si>
    <t>451374678</t>
  </si>
  <si>
    <t>alp_marca_alcance_masculino_uol_display_superbanner_ros_havaianas-surf_sports_cpm_728x90_111394</t>
  </si>
  <si>
    <t>255584346</t>
  </si>
  <si>
    <t>451374651</t>
  </si>
  <si>
    <t>alp_marca_alcance_masculino_uol_display_superbanner_ros_havaianas-urban_moda_cpm_728x90_111393</t>
  </si>
  <si>
    <t>255584376</t>
  </si>
  <si>
    <t>451374681</t>
  </si>
  <si>
    <t>alp_marca_alcance_masculino_uol_display_superbanner_ros_la-casa-de-papel_licenciados_cpm_728x90_111392</t>
  </si>
  <si>
    <t>255584361</t>
  </si>
  <si>
    <t>451374666</t>
  </si>
  <si>
    <t>alp_marca_alcance_masculino_el-hombre_conteudo-veiculo_publieditorial_lifestyle_rotacional_all_cpc_no-size_111118</t>
  </si>
  <si>
    <t>241629483</t>
  </si>
  <si>
    <t>438245550</t>
  </si>
  <si>
    <t>alp_marca_alcance_masculino_el-hombre_display_diaria-bg_home_havaianas-urban_moda_cpm_1900x1020_111393_no</t>
  </si>
  <si>
    <t>255160060</t>
  </si>
  <si>
    <t>451197799</t>
  </si>
  <si>
    <t>alp_marca_alcance_masculino_el-hombre_display_superheader-mobile_home_havaianas-urban_moda_cpm_320x100_111393_no</t>
  </si>
  <si>
    <t>255160066</t>
  </si>
  <si>
    <t>451197805</t>
  </si>
  <si>
    <t>GQ (Brazil)</t>
  </si>
  <si>
    <t>alp_marca_alcance_masculino_gq_display_billboard_ros_havaianas-urban_moda_cpm_970x250_111393_no</t>
  </si>
  <si>
    <t>255307713</t>
  </si>
  <si>
    <t>451164566</t>
  </si>
  <si>
    <t>alp_marca_alcance_masculino_gq_display_retangulo_ros_havaianas-urban_moda_cpm_300x250_111393_no</t>
  </si>
  <si>
    <t>255183400</t>
  </si>
  <si>
    <t>451220416</t>
  </si>
  <si>
    <t>alp_marca_engajamentos_masculino_gq_social_stories_social_havaianas-urban_moda_cpm_de-5s-ate-10s_111395_dark-post</t>
  </si>
  <si>
    <t>254998022</t>
  </si>
  <si>
    <t>451358905</t>
  </si>
  <si>
    <t>alp_marca_alcance_masculino_instagram_social_stories_social_havaianas-urban-rubinho_all_cpm_de-5s-ate-10s_111330</t>
  </si>
  <si>
    <t>251320150</t>
  </si>
  <si>
    <t>447520354</t>
  </si>
  <si>
    <t>alp_marca_engajamentos_feminino_instagram_social_pagepost_social_paisage_all_cpm_1080x1080_111406_organico-pt</t>
  </si>
  <si>
    <t>255953535</t>
  </si>
  <si>
    <t>451819348</t>
  </si>
  <si>
    <t>alp_marca_engajamentos_feminino_instagram_social_pagepost_social_top-verano_all_cpm_1080x1080_111408_organico-pt</t>
  </si>
  <si>
    <t>255953577</t>
  </si>
  <si>
    <t>451819390</t>
  </si>
  <si>
    <t>alp_marca_engajamentos_masculino_instagram_social_pagepost_social_gq-color-block_all_cpm_1080x1080_111405_organico-pt</t>
  </si>
  <si>
    <t>255951189</t>
  </si>
  <si>
    <t>451819402</t>
  </si>
  <si>
    <t>alp_marca_engajamentos_masculino_instagram_social_pagepost_social_gq-urban-craft_all_cpm_1080x1080_111404_organico-pt</t>
  </si>
  <si>
    <t>255953526</t>
  </si>
  <si>
    <t>451819342</t>
  </si>
  <si>
    <t>alp_marca_engajamentos_masculino_instagram_social_pagepost_social_havaianas-aloha_all_cpm_1080x1080_111418_organico-pt</t>
  </si>
  <si>
    <t>256479737</t>
  </si>
  <si>
    <t>452651051</t>
  </si>
  <si>
    <t>alp_marca_engajamentos_masculino_instagram_social_pagepost_social_top-infinity_all_cpm_1080x1080_111417_organico-pt</t>
  </si>
  <si>
    <t>256480694</t>
  </si>
  <si>
    <t>452597418</t>
  </si>
  <si>
    <t>alp_marca_engajamentos_masculino_instagram_social_pagepost_social_top-infinity_all_cpm_1080x1080_111419_organico-pt</t>
  </si>
  <si>
    <t>256479788</t>
  </si>
  <si>
    <t>452649914</t>
  </si>
  <si>
    <t>alp_marca_engajamentos_masculino_instagram_social_pagepost_social_urban-basic_all_cpm_1080x1080_111403_organico-pt</t>
  </si>
  <si>
    <t>255953529</t>
  </si>
  <si>
    <t>451716423</t>
  </si>
  <si>
    <t>alp_marca_engajamentos_jovem_mtv_display_logo_ros_logo-ema_all_cpm_no-size_111416</t>
  </si>
  <si>
    <t>256746043</t>
  </si>
  <si>
    <t>452572824</t>
  </si>
  <si>
    <t>alp_marca_alcance_feminino_oath-verizon_display_billboard_ros_rasteiras-rainbow-vermelho_funcional_cpm_970x250_111399_no</t>
  </si>
  <si>
    <t>255945996</t>
  </si>
  <si>
    <t>451823152</t>
  </si>
  <si>
    <t>alp_marca_alcance_feminino_oath-verizon_display_billboard_ros_rasteiras-riviera-vermelho_funcional_cpm_970x250_111401_no</t>
  </si>
  <si>
    <t>255945966</t>
  </si>
  <si>
    <t>451823122</t>
  </si>
  <si>
    <t>alp_marca_alcance_feminino_oath-verizon_display_billboard_ros_rasteiras_fashion_cpm_970x250_111391_no</t>
  </si>
  <si>
    <t>255295758</t>
  </si>
  <si>
    <t>451150655</t>
  </si>
  <si>
    <t>alp_marca_alcance_feminino_oath-verizon_display_billboard_ros_rasteiras_funcional_cpm_970x250_111390_no</t>
  </si>
  <si>
    <t>255179614</t>
  </si>
  <si>
    <t>451217416</t>
  </si>
  <si>
    <t>alp_marca_alcance_feminino_oath-verizon_display_half-page_ros_rasteiras-print-roxo_fashion_cpm_300x600_111397_no</t>
  </si>
  <si>
    <t>255946032</t>
  </si>
  <si>
    <t>451823188</t>
  </si>
  <si>
    <t>alp_marca_alcance_feminino_oath-verizon_display_half-page_ros_rasteiras-print-vermelho_funcional_cpm_300x600_111400_no</t>
  </si>
  <si>
    <t>255945987</t>
  </si>
  <si>
    <t>451823143</t>
  </si>
  <si>
    <t>alp_marca_alcance_feminino_oath-verizon_display_half-page_ros_rasteiras-rainbow-vermelho_funcional_cpm_300x600_111399_no</t>
  </si>
  <si>
    <t>255946002</t>
  </si>
  <si>
    <t>451823158</t>
  </si>
  <si>
    <t>alp_marca_alcance_feminino_oath-verizon_display_half-page_ros_rasteiras-riviera-roxo_fashion_cpm_300x600_111398_no</t>
  </si>
  <si>
    <t>255946017</t>
  </si>
  <si>
    <t>451823173</t>
  </si>
  <si>
    <t>alp_marca_alcance_feminino_oath-verizon_display_retangulo_ros_rasteiras-print-roxo_fashion_cpm_300x250_111397_no</t>
  </si>
  <si>
    <t>255946029</t>
  </si>
  <si>
    <t>451823185</t>
  </si>
  <si>
    <t>alp_marca_alcance_feminino_oath-verizon_display_retangulo_ros_rasteiras-rainbow-roxo_fashion_cpm_300x250_111396_no</t>
  </si>
  <si>
    <t>255946044</t>
  </si>
  <si>
    <t>451823200</t>
  </si>
  <si>
    <t>alp_marca_alcance_feminino_oath-verizon_display_retangulo_ros_rasteiras-rainbow-vermelho_funcional_cpm_300x250_111399_no</t>
  </si>
  <si>
    <t>255945999</t>
  </si>
  <si>
    <t>451823155</t>
  </si>
  <si>
    <t>alp_marca_alcance_feminino_oath-verizon_display_retangulo_ros_rasteiras-riviera-roxo_fashion_cpm_300x250_111398_no</t>
  </si>
  <si>
    <t>255946014</t>
  </si>
  <si>
    <t>451823170</t>
  </si>
  <si>
    <t>alp_marca_alcance_feminino_oath-verizon_display_retangulo_ros_rasteiras-riviera-vermelho_funcional_cpm_300x250_111401_no</t>
  </si>
  <si>
    <t>255945969</t>
  </si>
  <si>
    <t>451823125</t>
  </si>
  <si>
    <t>alp_marca_alcance_feminino_oath-verizon_display_retangulo_ros_rasteiras_fashion_cpm_300x250_111391_no</t>
  </si>
  <si>
    <t>254831621</t>
  </si>
  <si>
    <t>451150649</t>
  </si>
  <si>
    <t>alp_marca_alcance_feminino_oath-verizon_display_retangulo_ros_rasteiras_funcional_cpm_300x250_111390_no</t>
  </si>
  <si>
    <t>254844014</t>
  </si>
  <si>
    <t>451217413</t>
  </si>
  <si>
    <t>alp_marca_alcance_feminino_oath-verizon_display_superbanner_ros_rasteiras-print-roxo_fashion_cpm_728x90_111397_no</t>
  </si>
  <si>
    <t>255946038</t>
  </si>
  <si>
    <t>451823194</t>
  </si>
  <si>
    <t>alp_marca_alcance_feminino_oath-verizon_display_superbanner_ros_rasteiras-print-vermelho_funcional_cpm_728x90_111400_no</t>
  </si>
  <si>
    <t>255945993</t>
  </si>
  <si>
    <t>451823149</t>
  </si>
  <si>
    <t>alp_marca_alcance_feminino_oath-verizon_display_superbanner_ros_rasteiras-rainbow-vermelho_funcional_cpm_728x90_111399_no</t>
  </si>
  <si>
    <t>255946008</t>
  </si>
  <si>
    <t>451823164</t>
  </si>
  <si>
    <t>alp_marca_alcance_feminino_oath-verizon_display_superbanner_ros_rasteiras_funcional_cpm_728x90_111390_no</t>
  </si>
  <si>
    <t>254843891</t>
  </si>
  <si>
    <t>451107786</t>
  </si>
  <si>
    <t>alp_marca_alcance_feminino_oath-verizon_display_superheader-mobile_ros_rasteiras-print-roxo_fashion_cpm_320x100_111397_no</t>
  </si>
  <si>
    <t>255946035</t>
  </si>
  <si>
    <t>451823191</t>
  </si>
  <si>
    <t>alp_marca_alcance_feminino_oath-verizon_display_superheader-mobile_ros_rasteiras-print-vermelho_funcional_cpm_320x100_111400_no</t>
  </si>
  <si>
    <t>255945990</t>
  </si>
  <si>
    <t>451823146</t>
  </si>
  <si>
    <t>alp_marca_alcance_feminino_oath-verizon_display_superheader-mobile_ros_rasteiras-rainbow-roxo_fashion_cpm_320x100_111396_no</t>
  </si>
  <si>
    <t>255946050</t>
  </si>
  <si>
    <t>451823206</t>
  </si>
  <si>
    <t>alp_marca_alcance_feminino_oath-verizon_display_superheader-mobile_ros_rasteiras-riviera-roxo_fashion_cpm_320x100_111398_no</t>
  </si>
  <si>
    <t>255946020</t>
  </si>
  <si>
    <t>451823176</t>
  </si>
  <si>
    <t>alp_marca_alcance_feminino_oath-verizon_display_superheader-mobile_ros_rasteiras-riviera-vermelho_funcional_cpm_320x100_111401_no</t>
  </si>
  <si>
    <t>255945975</t>
  </si>
  <si>
    <t>451823131</t>
  </si>
  <si>
    <t>alp_marca_alcance_feminino_oath-verizon_display_superheader-mobile_ros_rasteiras_fashion_cpm_320x100_111391_no</t>
  </si>
  <si>
    <t>254831618</t>
  </si>
  <si>
    <t>451104663</t>
  </si>
  <si>
    <t>alp_marca_alcance_feminino_oath-verizon_display_superheader-mobile_ros_rasteiras_funcional_cpm_320x100_111390_no</t>
  </si>
  <si>
    <t>254843897</t>
  </si>
  <si>
    <t>451161041</t>
  </si>
  <si>
    <t>alp_marca_alcance_jovem_adoro-cinema_display_half-page-expand_ros_rei-leao_all_fixo_de-5s-ate-10s_111347</t>
  </si>
  <si>
    <t>251609371</t>
  </si>
  <si>
    <t>447776953</t>
  </si>
  <si>
    <t>alp_marca_alcance_feminino_facebook_social_video-social_social_artistas-barbara_all_cpm_1080x1080_111388</t>
  </si>
  <si>
    <t>254523327</t>
  </si>
  <si>
    <t>450380424</t>
  </si>
  <si>
    <t>alp_marca_alcance_masculino_facebook_social_carrossel_social_qualquer-joao_envolvimento-pagina_cpm_1080x1080_111210</t>
  </si>
  <si>
    <t>248427460</t>
  </si>
  <si>
    <t>444788608</t>
  </si>
  <si>
    <t>alp_marca_alcance_masculino_facebook_social_video-social_social_artistas-barbara_all_cpm_1080x1080_111389</t>
  </si>
  <si>
    <t>254419504</t>
  </si>
  <si>
    <t>450478441</t>
  </si>
  <si>
    <t>alp_marca_engajamentos_feminino_facebook_social_dark-post_social_rasteiras-print-roxo_funcional_cpm_1080x1080_111397_dark-post</t>
  </si>
  <si>
    <t>255683603</t>
  </si>
  <si>
    <t>451995979</t>
  </si>
  <si>
    <t>alp_marca_engajamentos_feminino_facebook_social_dark-post_social_rasteiras-print-vermelho_fashion_cpm_1080x1080_111400_dark-post</t>
  </si>
  <si>
    <t>255683612</t>
  </si>
  <si>
    <t>451995988</t>
  </si>
  <si>
    <t>alp_marca_engajamentos_feminino_facebook_social_dark-post_social_rasteiras-rainbow-roxo_funcional_cpm_1080x1080_111396_dark-post</t>
  </si>
  <si>
    <t>255683615</t>
  </si>
  <si>
    <t>451995991</t>
  </si>
  <si>
    <t>alp_marca_engajamentos_feminino_facebook_social_dark-post_social_rasteiras-rainbow-vermelho_fashion_cpm_1080x1080_111399_dark-post</t>
  </si>
  <si>
    <t>255683588</t>
  </si>
  <si>
    <t>451995964</t>
  </si>
  <si>
    <t>alp_marca_engajamentos_feminino_facebook_social_dark-post_social_rasteiras-riviera-roxo_funcional_cpm_1080x1080_111398_dark-post</t>
  </si>
  <si>
    <t>255683594</t>
  </si>
  <si>
    <t>451995970</t>
  </si>
  <si>
    <t>alp_marca_engajamentos_feminino_facebook_social_dark-post_social_rasteiras-riviera-vermelho_fashion_cpm_1080x1080_111401_dark-post</t>
  </si>
  <si>
    <t>255683600</t>
  </si>
  <si>
    <t>451995976</t>
  </si>
  <si>
    <t>alp_marca_engajamentos_feminino_facebook_social_dark-post_social_rasteiras_fashion_cpm_1080x1080_111391_dark-post</t>
  </si>
  <si>
    <t>255160033</t>
  </si>
  <si>
    <t>451197772</t>
  </si>
  <si>
    <t>alp_marca_engajamentos_feminino_facebook_social_dark-post_social_rasteiras_funcional_cpm_1080x1080_111390_dark-post</t>
  </si>
  <si>
    <t>255160039</t>
  </si>
  <si>
    <t>451197778</t>
  </si>
  <si>
    <t>alp_marca_engajamentos_feminino_facebook_social_stories_social_rasteiras-print-roxo_funcional_cpm_de-5s-ate-10s_111397_dark-post</t>
  </si>
  <si>
    <t>255683609</t>
  </si>
  <si>
    <t>451995985</t>
  </si>
  <si>
    <t>alp_marca_engajamentos_feminino_facebook_social_stories_social_rasteiras-print-vermelho_fashion_cpm_de-5s-ate-10s_111400_dark-post</t>
  </si>
  <si>
    <t>255683618</t>
  </si>
  <si>
    <t>451995994</t>
  </si>
  <si>
    <t>alp_marca_engajamentos_feminino_facebook_social_stories_social_rasteiras-rainbow-roxo_funcional_cpm_de-5s-ate-10s_111396_dark-post</t>
  </si>
  <si>
    <t>255683621</t>
  </si>
  <si>
    <t>451995997</t>
  </si>
  <si>
    <t>alp_marca_engajamentos_feminino_facebook_social_stories_social_rasteiras-rainbow-vermelho_fashion_cpm_de-5s-ate-10s_111399_dark-post</t>
  </si>
  <si>
    <t>255683591</t>
  </si>
  <si>
    <t>451995967</t>
  </si>
  <si>
    <t>alp_marca_engajamentos_feminino_facebook_social_stories_social_rasteiras-riviera-roxo_funcional_cpm_de-5s-ate-10s_111398_dark-post</t>
  </si>
  <si>
    <t>255683597</t>
  </si>
  <si>
    <t>451995973</t>
  </si>
  <si>
    <t>alp_marca_engajamentos_feminino_facebook_social_stories_social_rasteiras-riviera-vermelho_fashion_cpm_de-5s-ate-10s_111401_dark-post</t>
  </si>
  <si>
    <t>255683606</t>
  </si>
  <si>
    <t>451995982</t>
  </si>
  <si>
    <t>alp_marca_engajamentos_feminino_facebook_social_stories_social_rasteiras_fashion_cpm_de-5s-ate-10s_111391_dark-post</t>
  </si>
  <si>
    <t>255160036</t>
  </si>
  <si>
    <t>451197775</t>
  </si>
  <si>
    <t>alp_marca_engajamentos_feminino_facebook_social_stories_social_rasteiras_funcional_cpm_de-5s-ate-10s_111390_dark-post</t>
  </si>
  <si>
    <t>255160042</t>
  </si>
  <si>
    <t>451197781</t>
  </si>
  <si>
    <t>alp_marca_engajamentos_feminino_facebook_social_stories_social_warm-up-concept-sp_all_cpm_de-5s-ate-10s_111413_dark-post</t>
  </si>
  <si>
    <t>256443935</t>
  </si>
  <si>
    <t>452678653</t>
  </si>
  <si>
    <t>alp_marca_engajamentos_masculino_facebook_social_dark-post_social_havaianas-surf_sports_cpm_1080x1080_111394_dark-post</t>
  </si>
  <si>
    <t>255160048</t>
  </si>
  <si>
    <t>451197787</t>
  </si>
  <si>
    <t>alp_marca_engajamentos_masculino_facebook_social_dark-post_social_havaianas-urban_moda_cpm_1080x1080_111393_dark-post</t>
  </si>
  <si>
    <t>255160045</t>
  </si>
  <si>
    <t>451197784</t>
  </si>
  <si>
    <t>alp_marca_engajamentos_masculino_facebook_social_dark-post_social_la-casa-de-papel_licenciados_cpm_1080x1080_111392_dark-post</t>
  </si>
  <si>
    <t>255160057</t>
  </si>
  <si>
    <t>451197796</t>
  </si>
  <si>
    <t>alp_marca_engajamentos_masculino_facebook_social_stories_social_havaianas-surf_sports_cpm_de-5s-ate-10s_111394_dark-post</t>
  </si>
  <si>
    <t>255160054</t>
  </si>
  <si>
    <t>451197793</t>
  </si>
  <si>
    <t>alp_marca_engajamentos_masculino_facebook_social_stories_social_havaianas-urban_moda_cpm_de-5s-ate-10s_111393_dark-post</t>
  </si>
  <si>
    <t>255160051</t>
  </si>
  <si>
    <t>451197790</t>
  </si>
  <si>
    <t>alp_marca_engajamentos_masculino_facebook_social_stories_social_la-casa-de-papel_licenciados_cpm_de-5s-ate-10s_111392_dark-post</t>
  </si>
  <si>
    <t>255160063</t>
  </si>
  <si>
    <t>451197802</t>
  </si>
  <si>
    <t>alp_marca_alcance_masculino_globo-esporte_display_billboard_ros_havaianas-surf_sports_cpm_970x250_111394_no</t>
  </si>
  <si>
    <t>255182692</t>
  </si>
  <si>
    <t>451164908</t>
  </si>
  <si>
    <t>alp_marca_alcance_masculino_globo-esporte_display_maxiboard_ros_havaianas-surf_sports_cpm_970x150_111394_no</t>
  </si>
  <si>
    <t>255308259</t>
  </si>
  <si>
    <t>451112427</t>
  </si>
  <si>
    <t>alp_marca_alcance_masculino_globo-esporte_display_retangulo_ros_havaianas-surf_sports_cpm_300x250_111394_no</t>
  </si>
  <si>
    <t>255183484</t>
  </si>
  <si>
    <t>451111368</t>
  </si>
  <si>
    <t>alp_marca_alcance_masculino_papo-de-homem_display_billboard_ros_havaianas-urban_moda_cpm_970x250_111393_no</t>
  </si>
  <si>
    <t>254847386</t>
  </si>
  <si>
    <t>451163837</t>
  </si>
  <si>
    <t>alp_marca_alcance_masculino_papo-de-homem_display_retangulo_ros_havaianas-urban_moda_cpm_300x250_111393_no</t>
  </si>
  <si>
    <t>254847347</t>
  </si>
  <si>
    <t>451220314</t>
  </si>
  <si>
    <t>alp_marca_alcance_feminino_editora-globo_display_retangulo_ros_rasteiras_funcional_cpm_300x250_111340</t>
  </si>
  <si>
    <t>251617343</t>
  </si>
  <si>
    <t>448013573</t>
  </si>
  <si>
    <t>alp_marca_alcance_feminino_editora-globo_display_superbanner_ros_rasteiras_fashion_cpm_728x90_111341</t>
  </si>
  <si>
    <t>252022254</t>
  </si>
  <si>
    <t>448014857</t>
  </si>
  <si>
    <t>alp_marca_alcance_feminino_editora-globo_display_superbanner_ros_rasteiras_funcional_cpm_728x90_111340</t>
  </si>
  <si>
    <t>251942962</t>
  </si>
  <si>
    <t>448013588</t>
  </si>
  <si>
    <t>alp_marca_alcance_masculino_gq_display_half-page_ros_havaianas-urban_moda_cpm_300x600_111393_no</t>
  </si>
  <si>
    <t>255182593</t>
  </si>
  <si>
    <t>451164812</t>
  </si>
  <si>
    <t>alp_marca_alcance_masculino_gq_display_superbanner_ros_havaianas-urban_moda_cpm_728x90_111393_no</t>
  </si>
  <si>
    <t>255306915</t>
  </si>
  <si>
    <t>451164272</t>
  </si>
  <si>
    <t>1x1 Default Web Ad</t>
  </si>
  <si>
    <t>438503523</t>
  </si>
  <si>
    <t>alp_marca_alcance_jovem_facebook_social_dark-post_social_got_all_cpm_1080x1080_111123</t>
  </si>
  <si>
    <t>243290370</t>
  </si>
  <si>
    <t>439674651</t>
  </si>
  <si>
    <t>alp_marca_alcance_jovem_facebook_social_video-social_social_stranger-things_all_cpm_acima-de-30s_111288</t>
  </si>
  <si>
    <t>249800777</t>
  </si>
  <si>
    <t>446208887</t>
  </si>
  <si>
    <t>alp_marca_alcance_masculino_facebook_social_carrossel_social_qualquer-joao_all_cpm_1080x1080_111210</t>
  </si>
  <si>
    <t>248427463</t>
  </si>
  <si>
    <t>444788611</t>
  </si>
  <si>
    <t>alp_marca_alcance_jovem_jovem-nerd_display_intervencao_ros_got_all_diaria_1280x700_111160</t>
  </si>
  <si>
    <t>246075390</t>
  </si>
  <si>
    <t>442506469</t>
  </si>
  <si>
    <t>alp_marca_alcance_feminino_universa-uol_display_superbanner_ros_rasteiras_fashion_cpm_728x90_111341</t>
  </si>
  <si>
    <t>252035758</t>
  </si>
  <si>
    <t>448092575</t>
  </si>
  <si>
    <t>alp_mar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</si>
</sst>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R$&quot;\ * #,##0.00_-;\-&quot;R$&quot;\ * #,##0.00_-;_-&quot;R$&quot;\ * &quot;-&quot;??_-;_-@_-"/>
    <numFmt numFmtId="165" formatCode="&quot;R$&quot;\ #,##0.00"/>
  </numFmts>
  <fonts count="26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4" fontId="3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5" applyNumberFormat="0" applyAlignment="0" applyProtection="0"/>
    <xf numFmtId="0" fontId="12" fillId="6" borderId="6" applyNumberFormat="0" applyAlignment="0" applyProtection="0"/>
    <xf numFmtId="0" fontId="13" fillId="6" borderId="5" applyNumberFormat="0" applyAlignment="0" applyProtection="0"/>
    <xf numFmtId="0" fontId="14" fillId="0" borderId="7" applyNumberFormat="0" applyFill="0" applyAlignment="0" applyProtection="0"/>
    <xf numFmtId="0" fontId="15" fillId="7" borderId="8" applyNumberFormat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10" applyNumberFormat="0" applyFill="0" applyAlignment="0" applyProtection="0"/>
    <xf numFmtId="0" fontId="19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9" fillId="24" borderId="0" applyNumberFormat="0" applyBorder="0" applyAlignment="0" applyProtection="0"/>
    <xf numFmtId="0" fontId="19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9" fillId="28" borderId="0" applyNumberFormat="0" applyBorder="0" applyAlignment="0" applyProtection="0"/>
    <xf numFmtId="0" fontId="19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9" fillId="32" borderId="0" applyNumberFormat="0" applyBorder="0" applyAlignment="0" applyProtection="0"/>
    <xf numFmtId="0" fontId="1" fillId="0" borderId="0"/>
    <xf numFmtId="0" fontId="1" fillId="8" borderId="9" applyNumberFormat="0" applyFont="0" applyAlignment="0" applyProtection="0"/>
  </cellStyleXfs>
  <cellXfs count="15">
    <xf numFmtId="0" fontId="0" fillId="0" borderId="0" xfId="0"/>
    <xf numFmtId="0" fontId="0" fillId="0" borderId="1" xfId="0" applyBorder="1"/>
    <xf numFmtId="2" fontId="0" fillId="0" borderId="0" xfId="0" applyNumberFormat="1"/>
    <xf numFmtId="164" fontId="0" fillId="0" borderId="0" xfId="1" applyFont="1"/>
    <xf numFmtId="0" fontId="0" fillId="33" borderId="0" xfId="0" applyFill="1"/>
    <xf numFmtId="0" fontId="21" fillId="33" borderId="1" xfId="0" applyFont="1" applyFill="1" applyBorder="1" applyAlignment="1">
      <alignment wrapText="1"/>
    </xf>
    <xf numFmtId="0" fontId="21" fillId="33" borderId="11" xfId="0" applyFont="1" applyFill="1" applyBorder="1" applyAlignment="1">
      <alignment wrapText="1"/>
    </xf>
    <xf numFmtId="0" fontId="23" fillId="33" borderId="0" xfId="0" applyFont="1" applyFill="1"/>
    <xf numFmtId="0" fontId="20" fillId="0" borderId="1" xfId="0" applyFont="1" applyBorder="1"/>
    <xf numFmtId="165" fontId="0" fillId="0" borderId="1" xfId="0" applyNumberFormat="1" applyBorder="1"/>
    <xf numFmtId="164" fontId="23" fillId="33" borderId="0" xfId="1" applyFont="1" applyFill="1"/>
    <xf numFmtId="0" fontId="22" fillId="33" borderId="0" xfId="0" applyFont="1" applyFill="1"/>
    <xf numFmtId="0" fontId="25" fillId="35" borderId="12" xfId="0" applyFont="1" applyFill="1" applyBorder="1"/>
    <xf numFmtId="0" fontId="23" fillId="34" borderId="13" xfId="0" applyFont="1" applyFill="1" applyBorder="1"/>
    <xf numFmtId="0" fontId="23" fillId="33" borderId="0" xfId="0" applyFont="1" applyFill="1" applyAlignment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13</xdr:row>
          <xdr:rowOff>123825</xdr:rowOff>
        </xdr:from>
        <xdr:to>
          <xdr:col>2</xdr:col>
          <xdr:colOff>2286000</xdr:colOff>
          <xdr:row>14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13</xdr:row>
          <xdr:rowOff>114300</xdr:rowOff>
        </xdr:from>
        <xdr:to>
          <xdr:col>3</xdr:col>
          <xdr:colOff>2295525</xdr:colOff>
          <xdr:row>14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2159"/>
  <sheetViews>
    <sheetView showGridLines="0" tabSelected="1" topLeftCell="D1" workbookViewId="0">
      <selection activeCell="J5" sqref="J5"/>
    </sheetView>
  </sheetViews>
  <sheetFormatPr defaultRowHeight="15"/>
  <cols>
    <col min="1" max="1" width="2.85546875" customWidth="1"/>
    <col min="2" max="2" width="24.42578125" customWidth="1"/>
    <col min="3" max="3" width="29" customWidth="1"/>
    <col min="4" max="4" width="37.28515625" customWidth="1"/>
    <col min="5" max="5" width="18.7109375" customWidth="1"/>
    <col min="7" max="7" width="17.5703125" customWidth="1"/>
    <col min="8" max="8" width="17.140625" customWidth="1"/>
    <col min="9" max="9" width="16.28515625" customWidth="1"/>
    <col min="12" max="12" width="15.5703125" customWidth="1"/>
    <col min="13" max="13" width="10.85546875" customWidth="1"/>
    <col min="15" max="15" width="14.28515625" bestFit="1" customWidth="1"/>
  </cols>
  <sheetData>
    <row r="3" spans="1:8">
      <c r="B3" s="7" t="s">
        <v>17</v>
      </c>
      <c r="C3" s="7" t="s">
        <v>22</v>
      </c>
      <c r="D3" s="7" t="s">
        <v>18</v>
      </c>
      <c r="E3" s="7" t="s">
        <v>19</v>
      </c>
      <c r="G3" s="14" t="s">
        <v>28</v>
      </c>
      <c r="H3" s="14"/>
    </row>
    <row r="4" spans="1:8">
      <c r="B4" s="8" t="s">
        <v>12</v>
      </c>
      <c r="C4" s="1">
        <v>0.09</v>
      </c>
      <c r="D4" s="1">
        <f>SUMIF(adtype_filtrada,$B4,impressoes_filtrada)</f>
        <v>21784525</v>
      </c>
      <c r="E4" s="9">
        <f>C4*D4/1000</f>
        <v>1960.60725</v>
      </c>
      <c r="G4" s="13" t="s">
        <v>29</v>
      </c>
      <c r="H4" s="13" t="s">
        <v>30</v>
      </c>
    </row>
    <row r="5" spans="1:8">
      <c r="B5" s="8" t="s">
        <v>11</v>
      </c>
      <c r="C5" s="1">
        <v>0.09</v>
      </c>
      <c r="D5" s="1">
        <f>SUMIF(adtype_filtrada,$B5,impressoes_filtrada)</f>
        <v>0</v>
      </c>
      <c r="E5" s="9">
        <f>C5*D5/1000</f>
        <v>0</v>
      </c>
      <c r="G5" s="9">
        <f>E10</f>
        <v>2288.16725</v>
      </c>
      <c r="H5" s="9">
        <v>889.51</v>
      </c>
    </row>
    <row r="6" spans="1:8">
      <c r="B6" s="8" t="s">
        <v>10</v>
      </c>
      <c r="C6" s="1">
        <v>0.02</v>
      </c>
      <c r="D6" s="1">
        <f>SUMIF(adtype_filtrada,$B6,clicks_filtrada)</f>
        <v>16378</v>
      </c>
      <c r="E6" s="9">
        <f>C6*D6</f>
        <v>327.56</v>
      </c>
    </row>
    <row r="7" spans="1:8">
      <c r="B7" s="8" t="s">
        <v>25</v>
      </c>
      <c r="C7" s="1">
        <v>0.6</v>
      </c>
      <c r="D7" s="1">
        <f>SUMIF(adtype_filtrada,$B7,impressoes_filtrada)</f>
        <v>0</v>
      </c>
      <c r="E7" s="9">
        <f>C7*D7/1000</f>
        <v>0</v>
      </c>
    </row>
    <row r="8" spans="1:8">
      <c r="B8" s="8" t="s">
        <v>24</v>
      </c>
      <c r="C8" s="1">
        <v>7.0000000000000007E-2</v>
      </c>
      <c r="D8" s="1">
        <f>SUMIF(adtype_filtrada,$B8,impressoes_filtrada)</f>
        <v>0</v>
      </c>
      <c r="E8" s="9">
        <f>C8*D8/1000</f>
        <v>0</v>
      </c>
    </row>
    <row r="9" spans="1:8">
      <c r="B9" s="8" t="s">
        <v>21</v>
      </c>
      <c r="C9" s="1">
        <v>0.35</v>
      </c>
      <c r="D9" s="1">
        <f>SUMIF(adtype_filtrada,$B9,impressoes_filtrada)</f>
        <v>0</v>
      </c>
      <c r="E9" s="9">
        <f>C9*D9/1000</f>
        <v>0</v>
      </c>
    </row>
    <row r="10" spans="1:8">
      <c r="B10" s="7" t="s">
        <v>20</v>
      </c>
      <c r="C10" s="7"/>
      <c r="D10" s="7"/>
      <c r="E10" s="10">
        <f>SUM(E4:E9)</f>
        <v>2288.16725</v>
      </c>
    </row>
    <row r="14" spans="1:8">
      <c r="A14" s="4"/>
      <c r="B14" s="5" t="s">
        <v>0</v>
      </c>
      <c r="C14" s="5"/>
      <c r="D14" s="5"/>
    </row>
    <row r="15" spans="1:8">
      <c r="A15" s="4"/>
      <c r="B15" s="12" t="s">
        <v>514</v>
      </c>
      <c r="C15" s="5"/>
      <c r="D15" s="5"/>
    </row>
    <row r="16" spans="1:8" ht="6.75" customHeight="1">
      <c r="A16" s="4"/>
      <c r="B16" s="5"/>
      <c r="C16" s="5"/>
      <c r="D16" s="5"/>
    </row>
    <row r="19" spans="1:15" ht="45">
      <c r="A19" s="11" t="s">
        <v>23</v>
      </c>
      <c r="B19" s="5" t="s">
        <v>0</v>
      </c>
      <c r="C19" s="5" t="s">
        <v>1</v>
      </c>
      <c r="D19" s="5" t="s">
        <v>2</v>
      </c>
      <c r="E19" s="5" t="s">
        <v>3</v>
      </c>
      <c r="F19" s="5" t="s">
        <v>4</v>
      </c>
      <c r="G19" s="5" t="s">
        <v>5</v>
      </c>
      <c r="H19" s="5" t="s">
        <v>6</v>
      </c>
      <c r="I19" s="5" t="s">
        <v>7</v>
      </c>
      <c r="J19" s="5" t="s">
        <v>8</v>
      </c>
      <c r="K19" s="5" t="s">
        <v>9</v>
      </c>
      <c r="L19" s="6" t="s">
        <v>13</v>
      </c>
      <c r="M19" s="6" t="s">
        <v>14</v>
      </c>
      <c r="N19" s="6" t="s">
        <v>15</v>
      </c>
      <c r="O19" s="6" t="s">
        <v>16</v>
      </c>
    </row>
    <row r="20" spans="1:15">
      <c r="B20" t="s">
        <v>32</v>
      </c>
      <c r="C20" t="s">
        <v>188</v>
      </c>
      <c r="D20" t="s">
        <v>223</v>
      </c>
      <c r="E20" t="s">
        <v>224</v>
      </c>
      <c r="F20" t="s">
        <v>12</v>
      </c>
      <c r="G20" t="s">
        <v>223</v>
      </c>
      <c r="H20" t="s">
        <v>225</v>
      </c>
      <c r="I20" t="s">
        <v>26</v>
      </c>
      <c r="J20">
        <v>15889</v>
      </c>
      <c r="K20">
        <v>10</v>
      </c>
      <c r="L20" s="2">
        <v>3.8199999999999998E-2</v>
      </c>
      <c r="M20">
        <v>0.09</v>
      </c>
      <c r="N20" s="2">
        <v>0.60695979999999994</v>
      </c>
      <c r="O20" s="2">
        <v>1.43001</v>
      </c>
    </row>
    <row r="21" spans="1:15">
      <c r="B21" t="s">
        <v>32</v>
      </c>
      <c r="C21" t="s">
        <v>188</v>
      </c>
      <c r="D21" t="s">
        <v>226</v>
      </c>
      <c r="E21" t="s">
        <v>227</v>
      </c>
      <c r="F21" t="s">
        <v>12</v>
      </c>
      <c r="G21" t="s">
        <v>226</v>
      </c>
      <c r="H21" t="s">
        <v>228</v>
      </c>
      <c r="I21" t="s">
        <v>26</v>
      </c>
      <c r="J21">
        <v>13598</v>
      </c>
      <c r="K21">
        <v>24</v>
      </c>
      <c r="L21" s="2">
        <v>3.8199999999999998E-2</v>
      </c>
      <c r="M21">
        <v>0.09</v>
      </c>
      <c r="N21" s="2">
        <v>0.51944359999999989</v>
      </c>
      <c r="O21" s="2">
        <v>1.2238199999999999</v>
      </c>
    </row>
    <row r="22" spans="1:15">
      <c r="B22" t="s">
        <v>32</v>
      </c>
      <c r="C22" t="s">
        <v>188</v>
      </c>
      <c r="D22" t="s">
        <v>229</v>
      </c>
      <c r="E22" t="s">
        <v>230</v>
      </c>
      <c r="F22" t="s">
        <v>12</v>
      </c>
      <c r="G22" t="s">
        <v>229</v>
      </c>
      <c r="H22" t="s">
        <v>231</v>
      </c>
      <c r="I22" t="s">
        <v>26</v>
      </c>
      <c r="J22">
        <v>15632</v>
      </c>
      <c r="K22">
        <v>14</v>
      </c>
      <c r="L22" s="2">
        <v>3.8199999999999998E-2</v>
      </c>
      <c r="M22">
        <v>0.09</v>
      </c>
      <c r="N22" s="2">
        <v>0.59714239999999996</v>
      </c>
      <c r="O22" s="2">
        <v>1.4068799999999999</v>
      </c>
    </row>
    <row r="23" spans="1:15">
      <c r="B23" t="s">
        <v>32</v>
      </c>
      <c r="C23" t="s">
        <v>188</v>
      </c>
      <c r="D23" t="s">
        <v>232</v>
      </c>
      <c r="E23" t="s">
        <v>233</v>
      </c>
      <c r="F23" t="s">
        <v>12</v>
      </c>
      <c r="G23" t="s">
        <v>232</v>
      </c>
      <c r="H23" t="s">
        <v>234</v>
      </c>
      <c r="I23" t="s">
        <v>26</v>
      </c>
      <c r="J23">
        <v>88511</v>
      </c>
      <c r="K23">
        <v>53</v>
      </c>
      <c r="L23" s="2">
        <v>3.8199999999999998E-2</v>
      </c>
      <c r="M23">
        <v>0.09</v>
      </c>
      <c r="N23" s="2">
        <v>3.3811201999999998</v>
      </c>
      <c r="O23" s="2">
        <v>7.9659899999999997</v>
      </c>
    </row>
    <row r="24" spans="1:15">
      <c r="B24" t="s">
        <v>32</v>
      </c>
      <c r="C24" t="s">
        <v>188</v>
      </c>
      <c r="D24" t="s">
        <v>235</v>
      </c>
      <c r="E24" t="s">
        <v>236</v>
      </c>
      <c r="F24" t="s">
        <v>12</v>
      </c>
      <c r="G24" t="s">
        <v>235</v>
      </c>
      <c r="H24" t="s">
        <v>237</v>
      </c>
      <c r="I24" t="s">
        <v>26</v>
      </c>
      <c r="J24">
        <v>96403</v>
      </c>
      <c r="K24">
        <v>321</v>
      </c>
      <c r="L24" s="2">
        <v>3.8199999999999998E-2</v>
      </c>
      <c r="M24">
        <v>0.09</v>
      </c>
      <c r="N24" s="2">
        <v>3.6825945999999998</v>
      </c>
      <c r="O24" s="2">
        <v>8.6762700000000006</v>
      </c>
    </row>
    <row r="25" spans="1:15">
      <c r="B25" t="s">
        <v>32</v>
      </c>
      <c r="C25" t="s">
        <v>188</v>
      </c>
      <c r="D25" t="s">
        <v>238</v>
      </c>
      <c r="E25" t="s">
        <v>239</v>
      </c>
      <c r="F25" t="s">
        <v>12</v>
      </c>
      <c r="G25" t="s">
        <v>238</v>
      </c>
      <c r="H25" t="s">
        <v>240</v>
      </c>
      <c r="I25" t="s">
        <v>26</v>
      </c>
      <c r="J25">
        <v>126325</v>
      </c>
      <c r="K25">
        <v>115</v>
      </c>
      <c r="L25" s="2">
        <v>3.8199999999999998E-2</v>
      </c>
      <c r="M25">
        <v>0.09</v>
      </c>
      <c r="N25" s="2">
        <v>4.825615</v>
      </c>
      <c r="O25" s="2">
        <v>11.369249999999999</v>
      </c>
    </row>
    <row r="26" spans="1:15">
      <c r="B26" t="s">
        <v>32</v>
      </c>
      <c r="C26" t="s">
        <v>188</v>
      </c>
      <c r="D26" t="s">
        <v>241</v>
      </c>
      <c r="E26" t="s">
        <v>242</v>
      </c>
      <c r="F26" t="s">
        <v>12</v>
      </c>
      <c r="G26" t="s">
        <v>241</v>
      </c>
      <c r="H26" t="s">
        <v>243</v>
      </c>
      <c r="I26" t="s">
        <v>26</v>
      </c>
      <c r="J26">
        <v>358611</v>
      </c>
      <c r="K26">
        <v>483</v>
      </c>
      <c r="L26" s="2">
        <v>3.8199999999999998E-2</v>
      </c>
      <c r="M26">
        <v>0.09</v>
      </c>
      <c r="N26" s="2">
        <v>13.698940199999999</v>
      </c>
      <c r="O26" s="2">
        <v>32.274989999999995</v>
      </c>
    </row>
    <row r="27" spans="1:15">
      <c r="B27" t="s">
        <v>32</v>
      </c>
      <c r="C27" t="s">
        <v>188</v>
      </c>
      <c r="D27" t="s">
        <v>244</v>
      </c>
      <c r="E27" t="s">
        <v>245</v>
      </c>
      <c r="F27" t="s">
        <v>12</v>
      </c>
      <c r="G27" t="s">
        <v>244</v>
      </c>
      <c r="H27" t="s">
        <v>246</v>
      </c>
      <c r="I27" t="s">
        <v>26</v>
      </c>
      <c r="J27">
        <v>247896</v>
      </c>
      <c r="K27">
        <v>479</v>
      </c>
      <c r="L27" s="2">
        <v>3.8199999999999998E-2</v>
      </c>
      <c r="M27">
        <v>0.09</v>
      </c>
      <c r="N27" s="2">
        <v>9.4696271999999997</v>
      </c>
      <c r="O27" s="2">
        <v>22.310639999999999</v>
      </c>
    </row>
    <row r="28" spans="1:15">
      <c r="B28" t="s">
        <v>32</v>
      </c>
      <c r="C28" t="s">
        <v>188</v>
      </c>
      <c r="D28" t="s">
        <v>247</v>
      </c>
      <c r="E28" t="s">
        <v>248</v>
      </c>
      <c r="F28" t="s">
        <v>12</v>
      </c>
      <c r="G28" t="s">
        <v>247</v>
      </c>
      <c r="H28" t="s">
        <v>249</v>
      </c>
      <c r="I28" t="s">
        <v>26</v>
      </c>
      <c r="J28">
        <v>306707</v>
      </c>
      <c r="K28">
        <v>503</v>
      </c>
      <c r="L28" s="2">
        <v>3.8199999999999998E-2</v>
      </c>
      <c r="M28">
        <v>0.09</v>
      </c>
      <c r="N28" s="2">
        <v>11.7162074</v>
      </c>
      <c r="O28" s="2">
        <v>27.603629999999999</v>
      </c>
    </row>
    <row r="29" spans="1:15">
      <c r="B29" t="s">
        <v>32</v>
      </c>
      <c r="C29" t="s">
        <v>188</v>
      </c>
      <c r="D29" t="s">
        <v>250</v>
      </c>
      <c r="E29" t="s">
        <v>251</v>
      </c>
      <c r="F29" t="s">
        <v>12</v>
      </c>
      <c r="G29" t="s">
        <v>250</v>
      </c>
      <c r="H29" t="s">
        <v>252</v>
      </c>
      <c r="I29" t="s">
        <v>26</v>
      </c>
      <c r="J29">
        <v>40133</v>
      </c>
      <c r="K29">
        <v>11</v>
      </c>
      <c r="L29" s="2">
        <v>3.8199999999999998E-2</v>
      </c>
      <c r="M29">
        <v>0.09</v>
      </c>
      <c r="N29" s="2">
        <v>1.5330805999999999</v>
      </c>
      <c r="O29" s="2">
        <v>3.6119699999999999</v>
      </c>
    </row>
    <row r="30" spans="1:15">
      <c r="B30" t="s">
        <v>32</v>
      </c>
      <c r="C30" t="s">
        <v>188</v>
      </c>
      <c r="D30" t="s">
        <v>253</v>
      </c>
      <c r="E30" t="s">
        <v>254</v>
      </c>
      <c r="F30" t="s">
        <v>12</v>
      </c>
      <c r="G30" t="s">
        <v>253</v>
      </c>
      <c r="H30" t="s">
        <v>255</v>
      </c>
      <c r="I30" t="s">
        <v>26</v>
      </c>
      <c r="J30">
        <v>29241</v>
      </c>
      <c r="K30">
        <v>24</v>
      </c>
      <c r="L30" s="2">
        <v>3.8199999999999998E-2</v>
      </c>
      <c r="M30">
        <v>0.09</v>
      </c>
      <c r="N30" s="2">
        <v>1.1170062000000001</v>
      </c>
      <c r="O30" s="2">
        <v>2.6316899999999999</v>
      </c>
    </row>
    <row r="31" spans="1:15">
      <c r="B31" t="s">
        <v>32</v>
      </c>
      <c r="C31" t="s">
        <v>188</v>
      </c>
      <c r="D31" t="s">
        <v>256</v>
      </c>
      <c r="E31" t="s">
        <v>257</v>
      </c>
      <c r="F31" t="s">
        <v>12</v>
      </c>
      <c r="G31" t="s">
        <v>256</v>
      </c>
      <c r="H31" t="s">
        <v>258</v>
      </c>
      <c r="I31" t="s">
        <v>26</v>
      </c>
      <c r="J31">
        <v>54671</v>
      </c>
      <c r="K31">
        <v>38</v>
      </c>
      <c r="L31" s="2">
        <v>3.8199999999999998E-2</v>
      </c>
      <c r="M31">
        <v>0.09</v>
      </c>
      <c r="N31" s="2">
        <v>2.0884321999999997</v>
      </c>
      <c r="O31" s="2">
        <v>4.9203899999999994</v>
      </c>
    </row>
    <row r="32" spans="1:15">
      <c r="B32" t="s">
        <v>32</v>
      </c>
      <c r="C32" t="s">
        <v>124</v>
      </c>
      <c r="D32" t="s">
        <v>189</v>
      </c>
      <c r="E32" t="s">
        <v>190</v>
      </c>
      <c r="F32" t="s">
        <v>12</v>
      </c>
      <c r="G32" t="s">
        <v>189</v>
      </c>
      <c r="H32" t="s">
        <v>191</v>
      </c>
      <c r="I32" t="s">
        <v>27</v>
      </c>
      <c r="J32">
        <v>1</v>
      </c>
      <c r="K32">
        <v>0</v>
      </c>
      <c r="L32" s="2">
        <v>3.8199999999999998E-2</v>
      </c>
      <c r="M32">
        <v>0.09</v>
      </c>
      <c r="N32" s="2">
        <v>3.82E-5</v>
      </c>
      <c r="O32" s="2">
        <v>8.9999999999999992E-5</v>
      </c>
    </row>
    <row r="33" spans="2:15">
      <c r="B33" t="s">
        <v>32</v>
      </c>
      <c r="C33" t="s">
        <v>124</v>
      </c>
      <c r="D33" t="s">
        <v>125</v>
      </c>
      <c r="E33" t="s">
        <v>126</v>
      </c>
      <c r="F33" t="s">
        <v>12</v>
      </c>
      <c r="G33" t="s">
        <v>125</v>
      </c>
      <c r="H33" t="s">
        <v>127</v>
      </c>
      <c r="I33" t="s">
        <v>27</v>
      </c>
      <c r="J33">
        <v>1</v>
      </c>
      <c r="K33">
        <v>0</v>
      </c>
      <c r="L33" s="2">
        <v>3.8199999999999998E-2</v>
      </c>
      <c r="M33">
        <v>0.09</v>
      </c>
      <c r="N33" s="2">
        <v>3.82E-5</v>
      </c>
      <c r="O33" s="2">
        <v>8.9999999999999992E-5</v>
      </c>
    </row>
    <row r="34" spans="2:15">
      <c r="B34" t="s">
        <v>32</v>
      </c>
      <c r="C34" t="s">
        <v>124</v>
      </c>
      <c r="D34" t="s">
        <v>482</v>
      </c>
      <c r="E34" t="s">
        <v>483</v>
      </c>
      <c r="F34" t="s">
        <v>12</v>
      </c>
      <c r="G34" t="s">
        <v>482</v>
      </c>
      <c r="H34" t="s">
        <v>484</v>
      </c>
      <c r="I34" t="s">
        <v>27</v>
      </c>
      <c r="J34">
        <v>11</v>
      </c>
      <c r="K34">
        <v>0</v>
      </c>
      <c r="L34" s="2">
        <v>3.8199999999999998E-2</v>
      </c>
      <c r="M34">
        <v>0.09</v>
      </c>
      <c r="N34" s="2">
        <v>4.2019999999999997E-4</v>
      </c>
      <c r="O34" s="2">
        <v>9.8999999999999999E-4</v>
      </c>
    </row>
    <row r="35" spans="2:15">
      <c r="B35" t="s">
        <v>32</v>
      </c>
      <c r="C35" t="s">
        <v>124</v>
      </c>
      <c r="D35" t="s">
        <v>485</v>
      </c>
      <c r="E35" t="s">
        <v>486</v>
      </c>
      <c r="F35" t="s">
        <v>12</v>
      </c>
      <c r="G35" t="s">
        <v>485</v>
      </c>
      <c r="H35" t="s">
        <v>487</v>
      </c>
      <c r="I35" t="s">
        <v>27</v>
      </c>
      <c r="J35">
        <v>1</v>
      </c>
      <c r="K35">
        <v>0</v>
      </c>
      <c r="L35" s="2">
        <v>3.8199999999999998E-2</v>
      </c>
      <c r="M35">
        <v>0.09</v>
      </c>
      <c r="N35" s="2">
        <v>3.82E-5</v>
      </c>
      <c r="O35" s="2">
        <v>8.9999999999999992E-5</v>
      </c>
    </row>
    <row r="36" spans="2:15">
      <c r="B36" t="s">
        <v>32</v>
      </c>
      <c r="C36" t="s">
        <v>124</v>
      </c>
      <c r="D36" t="s">
        <v>488</v>
      </c>
      <c r="E36" t="s">
        <v>489</v>
      </c>
      <c r="F36" t="s">
        <v>12</v>
      </c>
      <c r="G36" t="s">
        <v>488</v>
      </c>
      <c r="H36" t="s">
        <v>490</v>
      </c>
      <c r="I36" t="s">
        <v>27</v>
      </c>
      <c r="J36">
        <v>1</v>
      </c>
      <c r="K36">
        <v>0</v>
      </c>
      <c r="L36" s="2">
        <v>3.8199999999999998E-2</v>
      </c>
      <c r="M36">
        <v>0.09</v>
      </c>
      <c r="N36" s="2">
        <v>3.82E-5</v>
      </c>
      <c r="O36" s="2">
        <v>8.9999999999999992E-5</v>
      </c>
    </row>
    <row r="37" spans="2:15">
      <c r="B37" t="s">
        <v>32</v>
      </c>
      <c r="C37" t="s">
        <v>33</v>
      </c>
      <c r="D37" t="s">
        <v>259</v>
      </c>
      <c r="E37" t="s">
        <v>260</v>
      </c>
      <c r="F37" t="s">
        <v>10</v>
      </c>
      <c r="G37" t="s">
        <v>259</v>
      </c>
      <c r="H37" t="s">
        <v>261</v>
      </c>
      <c r="I37" t="s">
        <v>27</v>
      </c>
      <c r="J37">
        <v>0</v>
      </c>
      <c r="K37">
        <v>2</v>
      </c>
      <c r="L37" s="2">
        <v>3.5000000000000001E-3</v>
      </c>
      <c r="M37">
        <v>0.02</v>
      </c>
      <c r="N37" s="2">
        <v>7.0000000000000001E-3</v>
      </c>
      <c r="O37" s="2">
        <v>0.04</v>
      </c>
    </row>
    <row r="38" spans="2:15">
      <c r="B38" t="s">
        <v>32</v>
      </c>
      <c r="C38" t="s">
        <v>33</v>
      </c>
      <c r="D38" t="s">
        <v>69</v>
      </c>
      <c r="E38" t="s">
        <v>70</v>
      </c>
      <c r="F38" t="s">
        <v>12</v>
      </c>
      <c r="G38" t="s">
        <v>69</v>
      </c>
      <c r="H38" t="s">
        <v>71</v>
      </c>
      <c r="I38" t="s">
        <v>27</v>
      </c>
      <c r="J38">
        <v>7013</v>
      </c>
      <c r="K38">
        <v>280</v>
      </c>
      <c r="L38" s="2">
        <v>3.8199999999999998E-2</v>
      </c>
      <c r="M38">
        <v>0.09</v>
      </c>
      <c r="N38" s="2">
        <v>0.26789659999999998</v>
      </c>
      <c r="O38" s="2">
        <v>0.63117000000000001</v>
      </c>
    </row>
    <row r="39" spans="2:15">
      <c r="B39" t="s">
        <v>32</v>
      </c>
      <c r="C39" t="s">
        <v>33</v>
      </c>
      <c r="D39" t="s">
        <v>262</v>
      </c>
      <c r="E39" t="s">
        <v>263</v>
      </c>
      <c r="F39" t="s">
        <v>12</v>
      </c>
      <c r="G39" t="s">
        <v>262</v>
      </c>
      <c r="H39" t="s">
        <v>264</v>
      </c>
      <c r="I39" t="s">
        <v>27</v>
      </c>
      <c r="J39">
        <v>16397</v>
      </c>
      <c r="K39">
        <v>0</v>
      </c>
      <c r="L39" s="2">
        <v>3.8199999999999998E-2</v>
      </c>
      <c r="M39">
        <v>0.09</v>
      </c>
      <c r="N39" s="2">
        <v>0.62636539999999996</v>
      </c>
      <c r="O39" s="2">
        <v>1.47573</v>
      </c>
    </row>
    <row r="40" spans="2:15">
      <c r="B40" t="s">
        <v>32</v>
      </c>
      <c r="C40" t="s">
        <v>33</v>
      </c>
      <c r="D40" t="s">
        <v>72</v>
      </c>
      <c r="E40" t="s">
        <v>73</v>
      </c>
      <c r="F40" t="s">
        <v>12</v>
      </c>
      <c r="G40" t="s">
        <v>72</v>
      </c>
      <c r="H40" t="s">
        <v>192</v>
      </c>
      <c r="I40" t="s">
        <v>27</v>
      </c>
      <c r="J40">
        <v>41781</v>
      </c>
      <c r="K40">
        <v>727</v>
      </c>
      <c r="L40" s="2">
        <v>3.8199999999999998E-2</v>
      </c>
      <c r="M40">
        <v>0.09</v>
      </c>
      <c r="N40" s="2">
        <v>1.5960341999999998</v>
      </c>
      <c r="O40" s="2">
        <v>3.7602899999999999</v>
      </c>
    </row>
    <row r="41" spans="2:15">
      <c r="B41" t="s">
        <v>32</v>
      </c>
      <c r="C41" t="s">
        <v>33</v>
      </c>
      <c r="D41" t="s">
        <v>265</v>
      </c>
      <c r="E41" t="s">
        <v>266</v>
      </c>
      <c r="F41" t="s">
        <v>12</v>
      </c>
      <c r="G41" t="s">
        <v>265</v>
      </c>
      <c r="H41" t="s">
        <v>267</v>
      </c>
      <c r="I41" t="s">
        <v>27</v>
      </c>
      <c r="J41">
        <v>106107</v>
      </c>
      <c r="K41">
        <v>0</v>
      </c>
      <c r="L41" s="2">
        <v>3.8199999999999998E-2</v>
      </c>
      <c r="M41">
        <v>0.09</v>
      </c>
      <c r="N41" s="2">
        <v>4.0532873999999994</v>
      </c>
      <c r="O41" s="2">
        <v>9.5496299999999987</v>
      </c>
    </row>
    <row r="42" spans="2:15">
      <c r="B42" t="s">
        <v>32</v>
      </c>
      <c r="C42" t="s">
        <v>268</v>
      </c>
      <c r="D42" t="s">
        <v>269</v>
      </c>
      <c r="E42" t="s">
        <v>270</v>
      </c>
      <c r="F42" t="s">
        <v>12</v>
      </c>
      <c r="G42" t="s">
        <v>269</v>
      </c>
      <c r="H42" t="s">
        <v>271</v>
      </c>
      <c r="I42" t="s">
        <v>26</v>
      </c>
      <c r="J42">
        <v>146</v>
      </c>
      <c r="K42">
        <v>1</v>
      </c>
      <c r="L42" s="2">
        <v>3.8199999999999998E-2</v>
      </c>
      <c r="M42">
        <v>0.09</v>
      </c>
      <c r="N42" s="2">
        <v>5.5771999999999992E-3</v>
      </c>
      <c r="O42" s="2">
        <v>1.3139999999999999E-2</v>
      </c>
    </row>
    <row r="43" spans="2:15">
      <c r="B43" t="s">
        <v>32</v>
      </c>
      <c r="C43" t="s">
        <v>268</v>
      </c>
      <c r="D43" t="s">
        <v>491</v>
      </c>
      <c r="E43" t="s">
        <v>492</v>
      </c>
      <c r="F43" t="s">
        <v>12</v>
      </c>
      <c r="G43" t="s">
        <v>491</v>
      </c>
      <c r="H43" t="s">
        <v>493</v>
      </c>
      <c r="I43" t="s">
        <v>26</v>
      </c>
      <c r="J43">
        <v>159</v>
      </c>
      <c r="K43">
        <v>2</v>
      </c>
      <c r="L43" s="2">
        <v>3.8199999999999998E-2</v>
      </c>
      <c r="M43">
        <v>0.09</v>
      </c>
      <c r="N43" s="2">
        <v>6.073799999999999E-3</v>
      </c>
      <c r="O43" s="2">
        <v>1.4309999999999998E-2</v>
      </c>
    </row>
    <row r="44" spans="2:15">
      <c r="B44" t="s">
        <v>32</v>
      </c>
      <c r="C44" t="s">
        <v>268</v>
      </c>
      <c r="D44" t="s">
        <v>272</v>
      </c>
      <c r="E44" t="s">
        <v>273</v>
      </c>
      <c r="F44" t="s">
        <v>12</v>
      </c>
      <c r="G44" t="s">
        <v>272</v>
      </c>
      <c r="H44" t="s">
        <v>274</v>
      </c>
      <c r="I44" t="s">
        <v>26</v>
      </c>
      <c r="J44">
        <v>1024</v>
      </c>
      <c r="K44">
        <v>10</v>
      </c>
      <c r="L44" s="2">
        <v>3.8199999999999998E-2</v>
      </c>
      <c r="M44">
        <v>0.09</v>
      </c>
      <c r="N44" s="2">
        <v>3.91168E-2</v>
      </c>
      <c r="O44" s="2">
        <v>9.2159999999999992E-2</v>
      </c>
    </row>
    <row r="45" spans="2:15">
      <c r="B45" t="s">
        <v>32</v>
      </c>
      <c r="C45" t="s">
        <v>268</v>
      </c>
      <c r="D45" t="s">
        <v>494</v>
      </c>
      <c r="E45" t="s">
        <v>495</v>
      </c>
      <c r="F45" t="s">
        <v>12</v>
      </c>
      <c r="G45" t="s">
        <v>494</v>
      </c>
      <c r="H45" t="s">
        <v>496</v>
      </c>
      <c r="I45" t="s">
        <v>26</v>
      </c>
      <c r="J45">
        <v>63</v>
      </c>
      <c r="K45">
        <v>0</v>
      </c>
      <c r="L45" s="2">
        <v>3.8199999999999998E-2</v>
      </c>
      <c r="M45">
        <v>0.09</v>
      </c>
      <c r="N45" s="2">
        <v>2.4066000000000001E-3</v>
      </c>
      <c r="O45" s="2">
        <v>5.6699999999999997E-3</v>
      </c>
    </row>
    <row r="46" spans="2:15">
      <c r="B46" t="s">
        <v>32</v>
      </c>
      <c r="C46" t="s">
        <v>268</v>
      </c>
      <c r="D46" t="s">
        <v>275</v>
      </c>
      <c r="E46" t="s">
        <v>276</v>
      </c>
      <c r="F46" t="s">
        <v>10</v>
      </c>
      <c r="G46" t="s">
        <v>275</v>
      </c>
      <c r="H46" t="s">
        <v>277</v>
      </c>
      <c r="I46" t="s">
        <v>27</v>
      </c>
      <c r="J46">
        <v>0</v>
      </c>
      <c r="K46">
        <v>5</v>
      </c>
      <c r="L46" s="2">
        <v>3.5000000000000001E-3</v>
      </c>
      <c r="M46">
        <v>0.02</v>
      </c>
      <c r="N46" s="2">
        <v>6.3E-2</v>
      </c>
      <c r="O46" s="2">
        <v>0.36</v>
      </c>
    </row>
    <row r="47" spans="2:15">
      <c r="B47" t="s">
        <v>32</v>
      </c>
      <c r="C47" t="s">
        <v>37</v>
      </c>
      <c r="D47" t="s">
        <v>278</v>
      </c>
      <c r="E47" t="s">
        <v>279</v>
      </c>
      <c r="F47" t="s">
        <v>10</v>
      </c>
      <c r="G47" t="s">
        <v>278</v>
      </c>
      <c r="H47" t="s">
        <v>280</v>
      </c>
      <c r="I47" t="s">
        <v>27</v>
      </c>
      <c r="J47">
        <v>0</v>
      </c>
      <c r="K47">
        <v>1</v>
      </c>
      <c r="L47" s="2">
        <v>3.5000000000000001E-3</v>
      </c>
      <c r="M47">
        <v>0.02</v>
      </c>
      <c r="N47" s="2">
        <v>3.5000000000000001E-3</v>
      </c>
      <c r="O47" s="2">
        <v>0.02</v>
      </c>
    </row>
    <row r="48" spans="2:15">
      <c r="B48" t="s">
        <v>32</v>
      </c>
      <c r="C48" t="s">
        <v>37</v>
      </c>
      <c r="D48" t="s">
        <v>281</v>
      </c>
      <c r="E48" t="s">
        <v>282</v>
      </c>
      <c r="F48" t="s">
        <v>10</v>
      </c>
      <c r="G48" t="s">
        <v>281</v>
      </c>
      <c r="H48" t="s">
        <v>283</v>
      </c>
      <c r="I48" t="s">
        <v>27</v>
      </c>
      <c r="J48">
        <v>0</v>
      </c>
      <c r="K48">
        <v>5</v>
      </c>
      <c r="L48" s="2">
        <v>3.5000000000000001E-3</v>
      </c>
      <c r="M48">
        <v>0.02</v>
      </c>
      <c r="N48" s="2">
        <v>1.7500000000000002E-2</v>
      </c>
      <c r="O48" s="2">
        <v>0.1</v>
      </c>
    </row>
    <row r="49" spans="2:15">
      <c r="B49" t="s">
        <v>32</v>
      </c>
      <c r="C49" t="s">
        <v>37</v>
      </c>
      <c r="D49" t="s">
        <v>284</v>
      </c>
      <c r="E49" t="s">
        <v>285</v>
      </c>
      <c r="F49" t="s">
        <v>10</v>
      </c>
      <c r="G49" t="s">
        <v>284</v>
      </c>
      <c r="H49" t="s">
        <v>286</v>
      </c>
      <c r="I49" t="s">
        <v>27</v>
      </c>
      <c r="J49">
        <v>0</v>
      </c>
      <c r="K49">
        <v>3</v>
      </c>
      <c r="L49" s="2">
        <v>3.5000000000000001E-3</v>
      </c>
      <c r="M49">
        <v>0.02</v>
      </c>
      <c r="N49" s="2">
        <v>1.0500000000000001E-2</v>
      </c>
      <c r="O49" s="2">
        <v>0.06</v>
      </c>
    </row>
    <row r="50" spans="2:15">
      <c r="B50" t="s">
        <v>32</v>
      </c>
      <c r="C50" t="s">
        <v>37</v>
      </c>
      <c r="D50" t="s">
        <v>193</v>
      </c>
      <c r="E50" t="s">
        <v>194</v>
      </c>
      <c r="F50" t="s">
        <v>10</v>
      </c>
      <c r="G50" t="s">
        <v>193</v>
      </c>
      <c r="H50" t="s">
        <v>195</v>
      </c>
      <c r="I50" t="s">
        <v>27</v>
      </c>
      <c r="J50">
        <v>0</v>
      </c>
      <c r="K50">
        <v>1</v>
      </c>
      <c r="L50" s="2">
        <v>3.5000000000000001E-3</v>
      </c>
      <c r="M50">
        <v>0.02</v>
      </c>
      <c r="N50" s="2">
        <v>3.5000000000000001E-3</v>
      </c>
      <c r="O50" s="2">
        <v>0.02</v>
      </c>
    </row>
    <row r="51" spans="2:15">
      <c r="B51" t="s">
        <v>32</v>
      </c>
      <c r="C51" t="s">
        <v>37</v>
      </c>
      <c r="D51" t="s">
        <v>287</v>
      </c>
      <c r="E51" t="s">
        <v>288</v>
      </c>
      <c r="F51" t="s">
        <v>10</v>
      </c>
      <c r="G51" t="s">
        <v>287</v>
      </c>
      <c r="H51" t="s">
        <v>289</v>
      </c>
      <c r="I51" t="s">
        <v>27</v>
      </c>
      <c r="J51">
        <v>0</v>
      </c>
      <c r="K51">
        <v>6</v>
      </c>
      <c r="L51" s="2">
        <v>3.5000000000000001E-3</v>
      </c>
      <c r="M51">
        <v>0.02</v>
      </c>
      <c r="N51" s="2">
        <v>2.1000000000000001E-2</v>
      </c>
      <c r="O51" s="2">
        <v>0.12</v>
      </c>
    </row>
    <row r="52" spans="2:15">
      <c r="B52" t="s">
        <v>32</v>
      </c>
      <c r="C52" t="s">
        <v>37</v>
      </c>
      <c r="D52" t="s">
        <v>290</v>
      </c>
      <c r="E52" t="s">
        <v>291</v>
      </c>
      <c r="F52" t="s">
        <v>10</v>
      </c>
      <c r="G52" t="s">
        <v>290</v>
      </c>
      <c r="H52" t="s">
        <v>292</v>
      </c>
      <c r="I52" t="s">
        <v>27</v>
      </c>
      <c r="J52">
        <v>0</v>
      </c>
      <c r="K52">
        <v>2</v>
      </c>
      <c r="L52" s="2">
        <v>3.5000000000000001E-3</v>
      </c>
      <c r="M52">
        <v>0.02</v>
      </c>
      <c r="N52" s="2">
        <v>7.0000000000000001E-3</v>
      </c>
      <c r="O52" s="2">
        <v>0.04</v>
      </c>
    </row>
    <row r="53" spans="2:15">
      <c r="B53" t="s">
        <v>32</v>
      </c>
      <c r="C53" t="s">
        <v>37</v>
      </c>
      <c r="D53" t="s">
        <v>293</v>
      </c>
      <c r="E53" t="s">
        <v>294</v>
      </c>
      <c r="F53" t="s">
        <v>10</v>
      </c>
      <c r="G53" t="s">
        <v>293</v>
      </c>
      <c r="H53" t="s">
        <v>295</v>
      </c>
      <c r="I53" t="s">
        <v>27</v>
      </c>
      <c r="J53">
        <v>9</v>
      </c>
      <c r="K53">
        <v>13</v>
      </c>
      <c r="L53" s="2">
        <v>3.5000000000000001E-3</v>
      </c>
      <c r="M53">
        <v>0.02</v>
      </c>
      <c r="N53" s="2">
        <v>4.5499999999999999E-2</v>
      </c>
      <c r="O53" s="2">
        <v>0.26</v>
      </c>
    </row>
    <row r="54" spans="2:15">
      <c r="B54" t="s">
        <v>32</v>
      </c>
      <c r="C54" t="s">
        <v>37</v>
      </c>
      <c r="D54" t="s">
        <v>296</v>
      </c>
      <c r="E54" t="s">
        <v>297</v>
      </c>
      <c r="F54" t="s">
        <v>10</v>
      </c>
      <c r="G54" t="s">
        <v>296</v>
      </c>
      <c r="H54" t="s">
        <v>298</v>
      </c>
      <c r="I54" t="s">
        <v>27</v>
      </c>
      <c r="J54">
        <v>0</v>
      </c>
      <c r="K54">
        <v>5</v>
      </c>
      <c r="L54" s="2">
        <v>3.5000000000000001E-3</v>
      </c>
      <c r="M54">
        <v>0.02</v>
      </c>
      <c r="N54" s="2">
        <v>3.5000000000000003E-2</v>
      </c>
      <c r="O54" s="2">
        <v>0.2</v>
      </c>
    </row>
    <row r="55" spans="2:15">
      <c r="B55" t="s">
        <v>32</v>
      </c>
      <c r="C55" t="s">
        <v>37</v>
      </c>
      <c r="D55" t="s">
        <v>299</v>
      </c>
      <c r="E55" t="s">
        <v>300</v>
      </c>
      <c r="F55" t="s">
        <v>12</v>
      </c>
      <c r="G55" t="s">
        <v>299</v>
      </c>
      <c r="H55" t="s">
        <v>301</v>
      </c>
      <c r="I55" t="s">
        <v>27</v>
      </c>
      <c r="J55">
        <v>2736</v>
      </c>
      <c r="K55">
        <v>82</v>
      </c>
      <c r="L55" s="2">
        <v>3.8199999999999998E-2</v>
      </c>
      <c r="M55">
        <v>0.09</v>
      </c>
      <c r="N55" s="2">
        <v>0.10451519999999999</v>
      </c>
      <c r="O55" s="2">
        <v>0.24623999999999999</v>
      </c>
    </row>
    <row r="56" spans="2:15">
      <c r="B56" t="s">
        <v>32</v>
      </c>
      <c r="C56" t="s">
        <v>37</v>
      </c>
      <c r="D56" t="s">
        <v>302</v>
      </c>
      <c r="E56" t="s">
        <v>303</v>
      </c>
      <c r="F56" t="s">
        <v>10</v>
      </c>
      <c r="G56" t="s">
        <v>302</v>
      </c>
      <c r="H56" t="s">
        <v>304</v>
      </c>
      <c r="I56" t="s">
        <v>27</v>
      </c>
      <c r="J56">
        <v>1</v>
      </c>
      <c r="K56">
        <v>4</v>
      </c>
      <c r="L56" s="2">
        <v>3.5000000000000001E-3</v>
      </c>
      <c r="M56">
        <v>0.02</v>
      </c>
      <c r="N56" s="2">
        <v>1.4E-2</v>
      </c>
      <c r="O56" s="2">
        <v>0.08</v>
      </c>
    </row>
    <row r="57" spans="2:15">
      <c r="B57" t="s">
        <v>32</v>
      </c>
      <c r="C57" t="s">
        <v>40</v>
      </c>
      <c r="D57" t="s">
        <v>305</v>
      </c>
      <c r="E57" t="s">
        <v>306</v>
      </c>
      <c r="F57" t="s">
        <v>12</v>
      </c>
      <c r="G57" t="s">
        <v>305</v>
      </c>
      <c r="H57" t="s">
        <v>307</v>
      </c>
      <c r="I57" t="s">
        <v>27</v>
      </c>
      <c r="J57">
        <v>3620522</v>
      </c>
      <c r="K57">
        <v>2542</v>
      </c>
      <c r="L57" s="2">
        <v>3.8199999999999998E-2</v>
      </c>
      <c r="M57">
        <v>0.09</v>
      </c>
      <c r="N57" s="2">
        <v>138.30394039999999</v>
      </c>
      <c r="O57" s="2">
        <v>325.84697999999997</v>
      </c>
    </row>
    <row r="58" spans="2:15">
      <c r="B58" t="s">
        <v>32</v>
      </c>
      <c r="C58" t="s">
        <v>38</v>
      </c>
      <c r="D58" t="s">
        <v>308</v>
      </c>
      <c r="E58" t="s">
        <v>309</v>
      </c>
      <c r="F58" t="s">
        <v>12</v>
      </c>
      <c r="G58" t="s">
        <v>308</v>
      </c>
      <c r="H58" t="s">
        <v>310</v>
      </c>
      <c r="I58" t="s">
        <v>26</v>
      </c>
      <c r="J58">
        <v>2</v>
      </c>
      <c r="K58">
        <v>0</v>
      </c>
      <c r="L58" s="2">
        <v>3.8199999999999998E-2</v>
      </c>
      <c r="M58">
        <v>0.09</v>
      </c>
      <c r="N58" s="2">
        <v>7.64E-5</v>
      </c>
      <c r="O58" s="2">
        <v>1.7999999999999998E-4</v>
      </c>
    </row>
    <row r="59" spans="2:15">
      <c r="B59" t="s">
        <v>32</v>
      </c>
      <c r="C59" t="s">
        <v>38</v>
      </c>
      <c r="D59" t="s">
        <v>311</v>
      </c>
      <c r="E59" t="s">
        <v>312</v>
      </c>
      <c r="F59" t="s">
        <v>12</v>
      </c>
      <c r="G59" t="s">
        <v>311</v>
      </c>
      <c r="H59" t="s">
        <v>313</v>
      </c>
      <c r="I59" t="s">
        <v>26</v>
      </c>
      <c r="J59">
        <v>2</v>
      </c>
      <c r="K59">
        <v>0</v>
      </c>
      <c r="L59" s="2">
        <v>3.8199999999999998E-2</v>
      </c>
      <c r="M59">
        <v>0.09</v>
      </c>
      <c r="N59" s="2">
        <v>7.64E-5</v>
      </c>
      <c r="O59" s="2">
        <v>1.7999999999999998E-4</v>
      </c>
    </row>
    <row r="60" spans="2:15">
      <c r="B60" t="s">
        <v>32</v>
      </c>
      <c r="C60" t="s">
        <v>38</v>
      </c>
      <c r="D60" t="s">
        <v>128</v>
      </c>
      <c r="E60" t="s">
        <v>129</v>
      </c>
      <c r="F60" t="s">
        <v>12</v>
      </c>
      <c r="G60" t="s">
        <v>128</v>
      </c>
      <c r="H60" t="s">
        <v>130</v>
      </c>
      <c r="I60" t="s">
        <v>27</v>
      </c>
      <c r="J60">
        <v>6</v>
      </c>
      <c r="K60">
        <v>0</v>
      </c>
      <c r="L60" s="2">
        <v>3.8199999999999998E-2</v>
      </c>
      <c r="M60">
        <v>0.09</v>
      </c>
      <c r="N60" s="2">
        <v>2.2919999999999999E-4</v>
      </c>
      <c r="O60" s="2">
        <v>5.4000000000000001E-4</v>
      </c>
    </row>
    <row r="61" spans="2:15">
      <c r="B61" t="s">
        <v>32</v>
      </c>
      <c r="C61" t="s">
        <v>38</v>
      </c>
      <c r="D61" t="s">
        <v>314</v>
      </c>
      <c r="E61" t="s">
        <v>315</v>
      </c>
      <c r="F61" t="s">
        <v>12</v>
      </c>
      <c r="G61" t="s">
        <v>314</v>
      </c>
      <c r="H61" t="s">
        <v>316</v>
      </c>
      <c r="I61" t="s">
        <v>26</v>
      </c>
      <c r="J61">
        <v>2</v>
      </c>
      <c r="K61">
        <v>0</v>
      </c>
      <c r="L61" s="2">
        <v>3.8199999999999998E-2</v>
      </c>
      <c r="M61">
        <v>0.09</v>
      </c>
      <c r="N61" s="2">
        <v>7.64E-5</v>
      </c>
      <c r="O61" s="2">
        <v>1.7999999999999998E-4</v>
      </c>
    </row>
    <row r="62" spans="2:15">
      <c r="B62" t="s">
        <v>32</v>
      </c>
      <c r="C62" t="s">
        <v>38</v>
      </c>
      <c r="D62" t="s">
        <v>317</v>
      </c>
      <c r="E62" t="s">
        <v>318</v>
      </c>
      <c r="F62" t="s">
        <v>12</v>
      </c>
      <c r="G62" t="s">
        <v>317</v>
      </c>
      <c r="H62" t="s">
        <v>319</v>
      </c>
      <c r="I62" t="s">
        <v>26</v>
      </c>
      <c r="J62">
        <v>1</v>
      </c>
      <c r="K62">
        <v>0</v>
      </c>
      <c r="L62" s="2">
        <v>3.8199999999999998E-2</v>
      </c>
      <c r="M62">
        <v>0.09</v>
      </c>
      <c r="N62" s="2">
        <v>3.82E-5</v>
      </c>
      <c r="O62" s="2">
        <v>8.9999999999999992E-5</v>
      </c>
    </row>
    <row r="63" spans="2:15">
      <c r="B63" t="s">
        <v>32</v>
      </c>
      <c r="C63" t="s">
        <v>38</v>
      </c>
      <c r="D63" t="s">
        <v>320</v>
      </c>
      <c r="E63" t="s">
        <v>321</v>
      </c>
      <c r="F63" t="s">
        <v>12</v>
      </c>
      <c r="G63" t="s">
        <v>320</v>
      </c>
      <c r="H63" t="s">
        <v>322</v>
      </c>
      <c r="I63" t="s">
        <v>26</v>
      </c>
      <c r="J63">
        <v>2</v>
      </c>
      <c r="K63">
        <v>0</v>
      </c>
      <c r="L63" s="2">
        <v>3.8199999999999998E-2</v>
      </c>
      <c r="M63">
        <v>0.09</v>
      </c>
      <c r="N63" s="2">
        <v>7.64E-5</v>
      </c>
      <c r="O63" s="2">
        <v>1.7999999999999998E-4</v>
      </c>
    </row>
    <row r="64" spans="2:15">
      <c r="B64" t="s">
        <v>32</v>
      </c>
      <c r="C64" t="s">
        <v>38</v>
      </c>
      <c r="D64" t="s">
        <v>323</v>
      </c>
      <c r="E64" t="s">
        <v>324</v>
      </c>
      <c r="F64" t="s">
        <v>12</v>
      </c>
      <c r="G64" t="s">
        <v>323</v>
      </c>
      <c r="H64" t="s">
        <v>325</v>
      </c>
      <c r="I64" t="s">
        <v>26</v>
      </c>
      <c r="J64">
        <v>1</v>
      </c>
      <c r="K64">
        <v>0</v>
      </c>
      <c r="L64" s="2">
        <v>3.8199999999999998E-2</v>
      </c>
      <c r="M64">
        <v>0.09</v>
      </c>
      <c r="N64" s="2">
        <v>3.82E-5</v>
      </c>
      <c r="O64" s="2">
        <v>8.9999999999999992E-5</v>
      </c>
    </row>
    <row r="65" spans="2:15">
      <c r="B65" t="s">
        <v>32</v>
      </c>
      <c r="C65" t="s">
        <v>38</v>
      </c>
      <c r="D65" t="s">
        <v>326</v>
      </c>
      <c r="E65" t="s">
        <v>327</v>
      </c>
      <c r="F65" t="s">
        <v>12</v>
      </c>
      <c r="G65" t="s">
        <v>326</v>
      </c>
      <c r="H65" t="s">
        <v>328</v>
      </c>
      <c r="I65" t="s">
        <v>26</v>
      </c>
      <c r="J65">
        <v>2</v>
      </c>
      <c r="K65">
        <v>0</v>
      </c>
      <c r="L65" s="2">
        <v>3.8199999999999998E-2</v>
      </c>
      <c r="M65">
        <v>0.09</v>
      </c>
      <c r="N65" s="2">
        <v>7.64E-5</v>
      </c>
      <c r="O65" s="2">
        <v>1.7999999999999998E-4</v>
      </c>
    </row>
    <row r="66" spans="2:15">
      <c r="B66" t="s">
        <v>32</v>
      </c>
      <c r="C66" t="s">
        <v>38</v>
      </c>
      <c r="D66" t="s">
        <v>329</v>
      </c>
      <c r="E66" t="s">
        <v>330</v>
      </c>
      <c r="F66" t="s">
        <v>12</v>
      </c>
      <c r="G66" t="s">
        <v>329</v>
      </c>
      <c r="H66" t="s">
        <v>331</v>
      </c>
      <c r="I66" t="s">
        <v>26</v>
      </c>
      <c r="J66">
        <v>1</v>
      </c>
      <c r="K66">
        <v>0</v>
      </c>
      <c r="L66" s="2">
        <v>3.8199999999999998E-2</v>
      </c>
      <c r="M66">
        <v>0.09</v>
      </c>
      <c r="N66" s="2">
        <v>3.82E-5</v>
      </c>
      <c r="O66" s="2">
        <v>8.9999999999999992E-5</v>
      </c>
    </row>
    <row r="67" spans="2:15">
      <c r="B67" t="s">
        <v>32</v>
      </c>
      <c r="C67" t="s">
        <v>38</v>
      </c>
      <c r="D67" t="s">
        <v>332</v>
      </c>
      <c r="E67" t="s">
        <v>333</v>
      </c>
      <c r="F67" t="s">
        <v>12</v>
      </c>
      <c r="G67" t="s">
        <v>332</v>
      </c>
      <c r="H67" t="s">
        <v>334</v>
      </c>
      <c r="I67" t="s">
        <v>26</v>
      </c>
      <c r="J67">
        <v>3</v>
      </c>
      <c r="K67">
        <v>0</v>
      </c>
      <c r="L67" s="2">
        <v>3.8199999999999998E-2</v>
      </c>
      <c r="M67">
        <v>0.09</v>
      </c>
      <c r="N67" s="2">
        <v>1.1459999999999999E-4</v>
      </c>
      <c r="O67" s="2">
        <v>2.7E-4</v>
      </c>
    </row>
    <row r="68" spans="2:15">
      <c r="B68" t="s">
        <v>32</v>
      </c>
      <c r="C68" t="s">
        <v>38</v>
      </c>
      <c r="D68" t="s">
        <v>335</v>
      </c>
      <c r="E68" t="s">
        <v>336</v>
      </c>
      <c r="F68" t="s">
        <v>12</v>
      </c>
      <c r="G68" t="s">
        <v>335</v>
      </c>
      <c r="H68" t="s">
        <v>337</v>
      </c>
      <c r="I68" t="s">
        <v>26</v>
      </c>
      <c r="J68">
        <v>4</v>
      </c>
      <c r="K68">
        <v>0</v>
      </c>
      <c r="L68" s="2">
        <v>3.8199999999999998E-2</v>
      </c>
      <c r="M68">
        <v>0.09</v>
      </c>
      <c r="N68" s="2">
        <v>1.528E-4</v>
      </c>
      <c r="O68" s="2">
        <v>3.5999999999999997E-4</v>
      </c>
    </row>
    <row r="69" spans="2:15">
      <c r="B69" t="s">
        <v>32</v>
      </c>
      <c r="C69" t="s">
        <v>38</v>
      </c>
      <c r="D69" t="s">
        <v>338</v>
      </c>
      <c r="E69" t="s">
        <v>339</v>
      </c>
      <c r="F69" t="s">
        <v>12</v>
      </c>
      <c r="G69" t="s">
        <v>338</v>
      </c>
      <c r="H69" t="s">
        <v>340</v>
      </c>
      <c r="I69" t="s">
        <v>26</v>
      </c>
      <c r="J69">
        <v>1</v>
      </c>
      <c r="K69">
        <v>0</v>
      </c>
      <c r="L69" s="2">
        <v>3.8199999999999998E-2</v>
      </c>
      <c r="M69">
        <v>0.09</v>
      </c>
      <c r="N69" s="2">
        <v>3.82E-5</v>
      </c>
      <c r="O69" s="2">
        <v>8.9999999999999992E-5</v>
      </c>
    </row>
    <row r="70" spans="2:15">
      <c r="B70" t="s">
        <v>32</v>
      </c>
      <c r="C70" t="s">
        <v>38</v>
      </c>
      <c r="D70" t="s">
        <v>341</v>
      </c>
      <c r="E70" t="s">
        <v>342</v>
      </c>
      <c r="F70" t="s">
        <v>12</v>
      </c>
      <c r="G70" t="s">
        <v>341</v>
      </c>
      <c r="H70" t="s">
        <v>343</v>
      </c>
      <c r="I70" t="s">
        <v>26</v>
      </c>
      <c r="J70">
        <v>3</v>
      </c>
      <c r="K70">
        <v>0</v>
      </c>
      <c r="L70" s="2">
        <v>3.8199999999999998E-2</v>
      </c>
      <c r="M70">
        <v>0.09</v>
      </c>
      <c r="N70" s="2">
        <v>1.1459999999999999E-4</v>
      </c>
      <c r="O70" s="2">
        <v>2.7E-4</v>
      </c>
    </row>
    <row r="71" spans="2:15">
      <c r="B71" t="s">
        <v>32</v>
      </c>
      <c r="C71" t="s">
        <v>38</v>
      </c>
      <c r="D71" t="s">
        <v>344</v>
      </c>
      <c r="E71" t="s">
        <v>345</v>
      </c>
      <c r="F71" t="s">
        <v>12</v>
      </c>
      <c r="G71" t="s">
        <v>344</v>
      </c>
      <c r="H71" t="s">
        <v>346</v>
      </c>
      <c r="I71" t="s">
        <v>26</v>
      </c>
      <c r="J71">
        <v>1</v>
      </c>
      <c r="K71">
        <v>0</v>
      </c>
      <c r="L71" s="2">
        <v>3.8199999999999998E-2</v>
      </c>
      <c r="M71">
        <v>0.09</v>
      </c>
      <c r="N71" s="2">
        <v>3.82E-5</v>
      </c>
      <c r="O71" s="2">
        <v>8.9999999999999992E-5</v>
      </c>
    </row>
    <row r="72" spans="2:15">
      <c r="B72" t="s">
        <v>32</v>
      </c>
      <c r="C72" t="s">
        <v>38</v>
      </c>
      <c r="D72" t="s">
        <v>131</v>
      </c>
      <c r="E72" t="s">
        <v>132</v>
      </c>
      <c r="F72" t="s">
        <v>12</v>
      </c>
      <c r="G72" t="s">
        <v>497</v>
      </c>
      <c r="H72" t="s">
        <v>498</v>
      </c>
      <c r="I72" t="s">
        <v>26</v>
      </c>
      <c r="J72">
        <v>1</v>
      </c>
      <c r="K72">
        <v>0</v>
      </c>
      <c r="L72" s="2">
        <v>3.8199999999999998E-2</v>
      </c>
      <c r="M72">
        <v>0.09</v>
      </c>
      <c r="N72" s="2">
        <v>3.82E-5</v>
      </c>
      <c r="O72" s="2">
        <v>8.9999999999999992E-5</v>
      </c>
    </row>
    <row r="73" spans="2:15">
      <c r="B73" t="s">
        <v>32</v>
      </c>
      <c r="C73" t="s">
        <v>38</v>
      </c>
      <c r="D73" t="s">
        <v>131</v>
      </c>
      <c r="E73" t="s">
        <v>132</v>
      </c>
      <c r="F73" t="s">
        <v>12</v>
      </c>
      <c r="G73" t="s">
        <v>131</v>
      </c>
      <c r="H73" t="s">
        <v>133</v>
      </c>
      <c r="I73" t="s">
        <v>27</v>
      </c>
      <c r="J73">
        <v>1</v>
      </c>
      <c r="K73">
        <v>0</v>
      </c>
      <c r="L73" s="2">
        <v>3.8199999999999998E-2</v>
      </c>
      <c r="M73">
        <v>0.09</v>
      </c>
      <c r="N73" s="2">
        <v>3.82E-5</v>
      </c>
      <c r="O73" s="2">
        <v>8.9999999999999992E-5</v>
      </c>
    </row>
    <row r="74" spans="2:15">
      <c r="B74" t="s">
        <v>32</v>
      </c>
      <c r="C74" t="s">
        <v>38</v>
      </c>
      <c r="D74" t="s">
        <v>347</v>
      </c>
      <c r="E74" t="s">
        <v>348</v>
      </c>
      <c r="F74" t="s">
        <v>12</v>
      </c>
      <c r="G74" t="s">
        <v>347</v>
      </c>
      <c r="H74" t="s">
        <v>349</v>
      </c>
      <c r="I74" t="s">
        <v>26</v>
      </c>
      <c r="J74">
        <v>1</v>
      </c>
      <c r="K74">
        <v>0</v>
      </c>
      <c r="L74" s="2">
        <v>3.8199999999999998E-2</v>
      </c>
      <c r="M74">
        <v>0.09</v>
      </c>
      <c r="N74" s="2">
        <v>3.82E-5</v>
      </c>
      <c r="O74" s="2">
        <v>8.9999999999999992E-5</v>
      </c>
    </row>
    <row r="75" spans="2:15">
      <c r="B75" t="s">
        <v>32</v>
      </c>
      <c r="C75" t="s">
        <v>38</v>
      </c>
      <c r="D75" t="s">
        <v>134</v>
      </c>
      <c r="E75" t="s">
        <v>135</v>
      </c>
      <c r="F75" t="s">
        <v>12</v>
      </c>
      <c r="G75" t="s">
        <v>497</v>
      </c>
      <c r="H75" t="s">
        <v>498</v>
      </c>
      <c r="I75" t="s">
        <v>26</v>
      </c>
      <c r="J75">
        <v>1</v>
      </c>
      <c r="K75">
        <v>0</v>
      </c>
      <c r="L75" s="2">
        <v>3.8199999999999998E-2</v>
      </c>
      <c r="M75">
        <v>0.09</v>
      </c>
      <c r="N75" s="2">
        <v>3.82E-5</v>
      </c>
      <c r="O75" s="2">
        <v>8.9999999999999992E-5</v>
      </c>
    </row>
    <row r="76" spans="2:15">
      <c r="B76" t="s">
        <v>32</v>
      </c>
      <c r="C76" t="s">
        <v>38</v>
      </c>
      <c r="D76" t="s">
        <v>134</v>
      </c>
      <c r="E76" t="s">
        <v>135</v>
      </c>
      <c r="F76" t="s">
        <v>12</v>
      </c>
      <c r="G76" t="s">
        <v>134</v>
      </c>
      <c r="H76" t="s">
        <v>136</v>
      </c>
      <c r="I76" t="s">
        <v>27</v>
      </c>
      <c r="J76">
        <v>1</v>
      </c>
      <c r="K76">
        <v>0</v>
      </c>
      <c r="L76" s="2">
        <v>3.8199999999999998E-2</v>
      </c>
      <c r="M76">
        <v>0.09</v>
      </c>
      <c r="N76" s="2">
        <v>3.82E-5</v>
      </c>
      <c r="O76" s="2">
        <v>8.9999999999999992E-5</v>
      </c>
    </row>
    <row r="77" spans="2:15">
      <c r="B77" t="s">
        <v>32</v>
      </c>
      <c r="C77" t="s">
        <v>38</v>
      </c>
      <c r="D77" t="s">
        <v>350</v>
      </c>
      <c r="E77" t="s">
        <v>351</v>
      </c>
      <c r="F77" t="s">
        <v>12</v>
      </c>
      <c r="G77" t="s">
        <v>350</v>
      </c>
      <c r="H77" t="s">
        <v>352</v>
      </c>
      <c r="I77" t="s">
        <v>26</v>
      </c>
      <c r="J77">
        <v>1</v>
      </c>
      <c r="K77">
        <v>0</v>
      </c>
      <c r="L77" s="2">
        <v>3.8199999999999998E-2</v>
      </c>
      <c r="M77">
        <v>0.09</v>
      </c>
      <c r="N77" s="2">
        <v>3.82E-5</v>
      </c>
      <c r="O77" s="2">
        <v>8.9999999999999992E-5</v>
      </c>
    </row>
    <row r="78" spans="2:15">
      <c r="B78" t="s">
        <v>32</v>
      </c>
      <c r="C78" t="s">
        <v>38</v>
      </c>
      <c r="D78" t="s">
        <v>353</v>
      </c>
      <c r="E78" t="s">
        <v>354</v>
      </c>
      <c r="F78" t="s">
        <v>12</v>
      </c>
      <c r="G78" t="s">
        <v>353</v>
      </c>
      <c r="H78" t="s">
        <v>355</v>
      </c>
      <c r="I78" t="s">
        <v>26</v>
      </c>
      <c r="J78">
        <v>1</v>
      </c>
      <c r="K78">
        <v>0</v>
      </c>
      <c r="L78" s="2">
        <v>3.8199999999999998E-2</v>
      </c>
      <c r="M78">
        <v>0.09</v>
      </c>
      <c r="N78" s="2">
        <v>3.82E-5</v>
      </c>
      <c r="O78" s="2">
        <v>8.9999999999999992E-5</v>
      </c>
    </row>
    <row r="79" spans="2:15">
      <c r="B79" t="s">
        <v>32</v>
      </c>
      <c r="C79" t="s">
        <v>38</v>
      </c>
      <c r="D79" t="s">
        <v>356</v>
      </c>
      <c r="E79" t="s">
        <v>357</v>
      </c>
      <c r="F79" t="s">
        <v>12</v>
      </c>
      <c r="G79" t="s">
        <v>356</v>
      </c>
      <c r="H79" t="s">
        <v>358</v>
      </c>
      <c r="I79" t="s">
        <v>26</v>
      </c>
      <c r="J79">
        <v>1</v>
      </c>
      <c r="K79">
        <v>0</v>
      </c>
      <c r="L79" s="2">
        <v>3.8199999999999998E-2</v>
      </c>
      <c r="M79">
        <v>0.09</v>
      </c>
      <c r="N79" s="2">
        <v>3.82E-5</v>
      </c>
      <c r="O79" s="2">
        <v>8.9999999999999992E-5</v>
      </c>
    </row>
    <row r="80" spans="2:15">
      <c r="B80" t="s">
        <v>32</v>
      </c>
      <c r="C80" t="s">
        <v>38</v>
      </c>
      <c r="D80" t="s">
        <v>359</v>
      </c>
      <c r="E80" t="s">
        <v>360</v>
      </c>
      <c r="F80" t="s">
        <v>12</v>
      </c>
      <c r="G80" t="s">
        <v>359</v>
      </c>
      <c r="H80" t="s">
        <v>361</v>
      </c>
      <c r="I80" t="s">
        <v>26</v>
      </c>
      <c r="J80">
        <v>1</v>
      </c>
      <c r="K80">
        <v>0</v>
      </c>
      <c r="L80" s="2">
        <v>3.8199999999999998E-2</v>
      </c>
      <c r="M80">
        <v>0.09</v>
      </c>
      <c r="N80" s="2">
        <v>3.82E-5</v>
      </c>
      <c r="O80" s="2">
        <v>8.9999999999999992E-5</v>
      </c>
    </row>
    <row r="81" spans="2:15">
      <c r="B81" t="s">
        <v>32</v>
      </c>
      <c r="C81" t="s">
        <v>38</v>
      </c>
      <c r="D81" t="s">
        <v>137</v>
      </c>
      <c r="E81" t="s">
        <v>138</v>
      </c>
      <c r="F81" t="s">
        <v>10</v>
      </c>
      <c r="G81" t="s">
        <v>137</v>
      </c>
      <c r="H81" t="s">
        <v>139</v>
      </c>
      <c r="I81" t="s">
        <v>27</v>
      </c>
      <c r="J81">
        <v>0</v>
      </c>
      <c r="K81">
        <v>2</v>
      </c>
      <c r="L81" s="2">
        <v>3.5000000000000001E-3</v>
      </c>
      <c r="M81">
        <v>0.02</v>
      </c>
      <c r="N81" s="2">
        <v>7.0000000000000001E-3</v>
      </c>
      <c r="O81" s="2">
        <v>0.04</v>
      </c>
    </row>
    <row r="82" spans="2:15">
      <c r="B82" t="s">
        <v>32</v>
      </c>
      <c r="C82" t="s">
        <v>38</v>
      </c>
      <c r="D82" t="s">
        <v>362</v>
      </c>
      <c r="E82" t="s">
        <v>363</v>
      </c>
      <c r="F82" t="s">
        <v>12</v>
      </c>
      <c r="G82" t="s">
        <v>362</v>
      </c>
      <c r="H82" t="s">
        <v>364</v>
      </c>
      <c r="I82" t="s">
        <v>26</v>
      </c>
      <c r="J82">
        <v>2</v>
      </c>
      <c r="K82">
        <v>0</v>
      </c>
      <c r="L82" s="2">
        <v>3.8199999999999998E-2</v>
      </c>
      <c r="M82">
        <v>0.09</v>
      </c>
      <c r="N82" s="2">
        <v>7.64E-5</v>
      </c>
      <c r="O82" s="2">
        <v>1.7999999999999998E-4</v>
      </c>
    </row>
    <row r="83" spans="2:15">
      <c r="B83" t="s">
        <v>32</v>
      </c>
      <c r="C83" t="s">
        <v>38</v>
      </c>
      <c r="D83" t="s">
        <v>365</v>
      </c>
      <c r="E83" t="s">
        <v>366</v>
      </c>
      <c r="F83" t="s">
        <v>12</v>
      </c>
      <c r="G83" t="s">
        <v>365</v>
      </c>
      <c r="H83" t="s">
        <v>367</v>
      </c>
      <c r="I83" t="s">
        <v>26</v>
      </c>
      <c r="J83">
        <v>3</v>
      </c>
      <c r="K83">
        <v>0</v>
      </c>
      <c r="L83" s="2">
        <v>3.8199999999999998E-2</v>
      </c>
      <c r="M83">
        <v>0.09</v>
      </c>
      <c r="N83" s="2">
        <v>1.1459999999999999E-4</v>
      </c>
      <c r="O83" s="2">
        <v>2.7E-4</v>
      </c>
    </row>
    <row r="84" spans="2:15">
      <c r="B84" t="s">
        <v>32</v>
      </c>
      <c r="C84" t="s">
        <v>38</v>
      </c>
      <c r="D84" t="s">
        <v>368</v>
      </c>
      <c r="E84" t="s">
        <v>369</v>
      </c>
      <c r="F84" t="s">
        <v>12</v>
      </c>
      <c r="G84" t="s">
        <v>368</v>
      </c>
      <c r="H84" t="s">
        <v>370</v>
      </c>
      <c r="I84" t="s">
        <v>26</v>
      </c>
      <c r="J84">
        <v>1</v>
      </c>
      <c r="K84">
        <v>0</v>
      </c>
      <c r="L84" s="2">
        <v>3.8199999999999998E-2</v>
      </c>
      <c r="M84">
        <v>0.09</v>
      </c>
      <c r="N84" s="2">
        <v>3.82E-5</v>
      </c>
      <c r="O84" s="2">
        <v>8.9999999999999992E-5</v>
      </c>
    </row>
    <row r="85" spans="2:15">
      <c r="B85" t="s">
        <v>32</v>
      </c>
      <c r="C85" t="s">
        <v>38</v>
      </c>
      <c r="D85" t="s">
        <v>371</v>
      </c>
      <c r="E85" t="s">
        <v>372</v>
      </c>
      <c r="F85" t="s">
        <v>12</v>
      </c>
      <c r="G85" t="s">
        <v>371</v>
      </c>
      <c r="H85" t="s">
        <v>373</v>
      </c>
      <c r="I85" t="s">
        <v>26</v>
      </c>
      <c r="J85">
        <v>2</v>
      </c>
      <c r="K85">
        <v>0</v>
      </c>
      <c r="L85" s="2">
        <v>3.8199999999999998E-2</v>
      </c>
      <c r="M85">
        <v>0.09</v>
      </c>
      <c r="N85" s="2">
        <v>7.64E-5</v>
      </c>
      <c r="O85" s="2">
        <v>1.7999999999999998E-4</v>
      </c>
    </row>
    <row r="86" spans="2:15">
      <c r="B86" t="s">
        <v>32</v>
      </c>
      <c r="C86" t="s">
        <v>38</v>
      </c>
      <c r="D86" t="s">
        <v>374</v>
      </c>
      <c r="E86" t="s">
        <v>375</v>
      </c>
      <c r="F86" t="s">
        <v>12</v>
      </c>
      <c r="G86" t="s">
        <v>374</v>
      </c>
      <c r="H86" t="s">
        <v>376</v>
      </c>
      <c r="I86" t="s">
        <v>26</v>
      </c>
      <c r="J86">
        <v>5</v>
      </c>
      <c r="K86">
        <v>0</v>
      </c>
      <c r="L86" s="2">
        <v>3.8199999999999998E-2</v>
      </c>
      <c r="M86">
        <v>0.09</v>
      </c>
      <c r="N86" s="2">
        <v>1.9100000000000001E-4</v>
      </c>
      <c r="O86" s="2">
        <v>4.4999999999999993E-4</v>
      </c>
    </row>
    <row r="87" spans="2:15">
      <c r="B87" t="s">
        <v>32</v>
      </c>
      <c r="C87" t="s">
        <v>38</v>
      </c>
      <c r="D87" t="s">
        <v>377</v>
      </c>
      <c r="E87" t="s">
        <v>378</v>
      </c>
      <c r="F87" t="s">
        <v>12</v>
      </c>
      <c r="G87" t="s">
        <v>377</v>
      </c>
      <c r="H87" t="s">
        <v>379</v>
      </c>
      <c r="I87" t="s">
        <v>26</v>
      </c>
      <c r="J87">
        <v>1</v>
      </c>
      <c r="K87">
        <v>0</v>
      </c>
      <c r="L87" s="2">
        <v>3.8199999999999998E-2</v>
      </c>
      <c r="M87">
        <v>0.09</v>
      </c>
      <c r="N87" s="2">
        <v>3.82E-5</v>
      </c>
      <c r="O87" s="2">
        <v>8.9999999999999992E-5</v>
      </c>
    </row>
    <row r="88" spans="2:15">
      <c r="B88" t="s">
        <v>32</v>
      </c>
      <c r="C88" t="s">
        <v>38</v>
      </c>
      <c r="D88" t="s">
        <v>380</v>
      </c>
      <c r="E88" t="s">
        <v>381</v>
      </c>
      <c r="F88" t="s">
        <v>12</v>
      </c>
      <c r="G88" t="s">
        <v>380</v>
      </c>
      <c r="H88" t="s">
        <v>382</v>
      </c>
      <c r="I88" t="s">
        <v>26</v>
      </c>
      <c r="J88">
        <v>3</v>
      </c>
      <c r="K88">
        <v>0</v>
      </c>
      <c r="L88" s="2">
        <v>3.8199999999999998E-2</v>
      </c>
      <c r="M88">
        <v>0.09</v>
      </c>
      <c r="N88" s="2">
        <v>1.1459999999999999E-4</v>
      </c>
      <c r="O88" s="2">
        <v>2.7E-4</v>
      </c>
    </row>
    <row r="89" spans="2:15">
      <c r="B89" t="s">
        <v>32</v>
      </c>
      <c r="C89" t="s">
        <v>38</v>
      </c>
      <c r="D89" t="s">
        <v>383</v>
      </c>
      <c r="E89" t="s">
        <v>384</v>
      </c>
      <c r="F89" t="s">
        <v>12</v>
      </c>
      <c r="G89" t="s">
        <v>383</v>
      </c>
      <c r="H89" t="s">
        <v>385</v>
      </c>
      <c r="I89" t="s">
        <v>26</v>
      </c>
      <c r="J89">
        <v>1</v>
      </c>
      <c r="K89">
        <v>0</v>
      </c>
      <c r="L89" s="2">
        <v>3.8199999999999998E-2</v>
      </c>
      <c r="M89">
        <v>0.09</v>
      </c>
      <c r="N89" s="2">
        <v>3.82E-5</v>
      </c>
      <c r="O89" s="2">
        <v>8.9999999999999992E-5</v>
      </c>
    </row>
    <row r="90" spans="2:15">
      <c r="B90" t="s">
        <v>32</v>
      </c>
      <c r="C90" t="s">
        <v>38</v>
      </c>
      <c r="D90" t="s">
        <v>196</v>
      </c>
      <c r="E90" t="s">
        <v>197</v>
      </c>
      <c r="F90" t="s">
        <v>10</v>
      </c>
      <c r="G90" t="s">
        <v>196</v>
      </c>
      <c r="H90" t="s">
        <v>198</v>
      </c>
      <c r="I90" t="s">
        <v>27</v>
      </c>
      <c r="J90">
        <v>0</v>
      </c>
      <c r="K90">
        <v>20</v>
      </c>
      <c r="L90" s="2">
        <v>3.5000000000000001E-3</v>
      </c>
      <c r="M90">
        <v>0.02</v>
      </c>
      <c r="N90" s="2">
        <v>9.4500000000000001E-2</v>
      </c>
      <c r="O90" s="2">
        <v>0.54</v>
      </c>
    </row>
    <row r="91" spans="2:15">
      <c r="B91" t="s">
        <v>32</v>
      </c>
      <c r="C91" t="s">
        <v>38</v>
      </c>
      <c r="D91" t="s">
        <v>199</v>
      </c>
      <c r="E91" t="s">
        <v>200</v>
      </c>
      <c r="F91" t="s">
        <v>10</v>
      </c>
      <c r="G91" t="s">
        <v>199</v>
      </c>
      <c r="H91" t="s">
        <v>201</v>
      </c>
      <c r="I91" t="s">
        <v>27</v>
      </c>
      <c r="J91">
        <v>1</v>
      </c>
      <c r="K91">
        <v>1</v>
      </c>
      <c r="L91" s="2">
        <v>3.5000000000000001E-3</v>
      </c>
      <c r="M91">
        <v>0.02</v>
      </c>
      <c r="N91" s="2">
        <v>3.5000000000000001E-3</v>
      </c>
      <c r="O91" s="2">
        <v>0.02</v>
      </c>
    </row>
    <row r="92" spans="2:15">
      <c r="B92" t="s">
        <v>32</v>
      </c>
      <c r="C92" t="s">
        <v>38</v>
      </c>
      <c r="D92" t="s">
        <v>140</v>
      </c>
      <c r="E92" t="s">
        <v>141</v>
      </c>
      <c r="F92" t="s">
        <v>10</v>
      </c>
      <c r="G92" t="s">
        <v>140</v>
      </c>
      <c r="H92" t="s">
        <v>142</v>
      </c>
      <c r="I92" t="s">
        <v>27</v>
      </c>
      <c r="J92">
        <v>11</v>
      </c>
      <c r="K92">
        <v>38</v>
      </c>
      <c r="L92" s="2">
        <v>3.5000000000000001E-3</v>
      </c>
      <c r="M92">
        <v>0.02</v>
      </c>
      <c r="N92" s="2">
        <v>0.13300000000000001</v>
      </c>
      <c r="O92" s="2">
        <v>0.76</v>
      </c>
    </row>
    <row r="93" spans="2:15">
      <c r="B93" t="s">
        <v>32</v>
      </c>
      <c r="C93" t="s">
        <v>43</v>
      </c>
      <c r="D93" t="s">
        <v>74</v>
      </c>
      <c r="E93" t="s">
        <v>75</v>
      </c>
      <c r="F93" t="s">
        <v>10</v>
      </c>
      <c r="G93" t="s">
        <v>74</v>
      </c>
      <c r="H93" t="s">
        <v>76</v>
      </c>
      <c r="I93" t="s">
        <v>27</v>
      </c>
      <c r="J93">
        <v>0</v>
      </c>
      <c r="K93">
        <v>1</v>
      </c>
      <c r="L93" s="2">
        <v>3.5000000000000001E-3</v>
      </c>
      <c r="M93">
        <v>0.02</v>
      </c>
      <c r="N93" s="2">
        <v>3.5000000000000001E-3</v>
      </c>
      <c r="O93" s="2">
        <v>0.02</v>
      </c>
    </row>
    <row r="94" spans="2:15">
      <c r="B94" t="s">
        <v>32</v>
      </c>
      <c r="C94" t="s">
        <v>39</v>
      </c>
      <c r="D94" t="s">
        <v>77</v>
      </c>
      <c r="E94" t="s">
        <v>78</v>
      </c>
      <c r="F94" t="s">
        <v>10</v>
      </c>
      <c r="G94" t="s">
        <v>77</v>
      </c>
      <c r="H94" t="s">
        <v>79</v>
      </c>
      <c r="I94" t="s">
        <v>27</v>
      </c>
      <c r="J94">
        <v>0</v>
      </c>
      <c r="K94">
        <v>4</v>
      </c>
      <c r="L94" s="2">
        <v>3.5000000000000001E-3</v>
      </c>
      <c r="M94">
        <v>0.02</v>
      </c>
      <c r="N94" s="2">
        <v>1.4E-2</v>
      </c>
      <c r="O94" s="2">
        <v>0.08</v>
      </c>
    </row>
    <row r="95" spans="2:15">
      <c r="B95" t="s">
        <v>32</v>
      </c>
      <c r="C95" t="s">
        <v>39</v>
      </c>
      <c r="D95" t="s">
        <v>80</v>
      </c>
      <c r="E95" t="s">
        <v>81</v>
      </c>
      <c r="F95" t="s">
        <v>10</v>
      </c>
      <c r="G95" t="s">
        <v>80</v>
      </c>
      <c r="H95" t="s">
        <v>82</v>
      </c>
      <c r="I95" t="s">
        <v>27</v>
      </c>
      <c r="J95">
        <v>0</v>
      </c>
      <c r="K95">
        <v>3</v>
      </c>
      <c r="L95" s="2">
        <v>3.5000000000000001E-3</v>
      </c>
      <c r="M95">
        <v>0.02</v>
      </c>
      <c r="N95" s="2">
        <v>1.0500000000000001E-2</v>
      </c>
      <c r="O95" s="2">
        <v>0.06</v>
      </c>
    </row>
    <row r="96" spans="2:15">
      <c r="B96" t="s">
        <v>32</v>
      </c>
      <c r="C96" t="s">
        <v>39</v>
      </c>
      <c r="D96" t="s">
        <v>83</v>
      </c>
      <c r="E96" t="s">
        <v>84</v>
      </c>
      <c r="F96" t="s">
        <v>10</v>
      </c>
      <c r="G96" t="s">
        <v>83</v>
      </c>
      <c r="H96" t="s">
        <v>85</v>
      </c>
      <c r="I96" t="s">
        <v>27</v>
      </c>
      <c r="J96">
        <v>0</v>
      </c>
      <c r="K96">
        <v>2</v>
      </c>
      <c r="L96" s="2">
        <v>3.5000000000000001E-3</v>
      </c>
      <c r="M96">
        <v>0.02</v>
      </c>
      <c r="N96" s="2">
        <v>7.0000000000000001E-3</v>
      </c>
      <c r="O96" s="2">
        <v>0.04</v>
      </c>
    </row>
    <row r="97" spans="2:15">
      <c r="B97" t="s">
        <v>32</v>
      </c>
      <c r="C97" t="s">
        <v>39</v>
      </c>
      <c r="D97" t="s">
        <v>86</v>
      </c>
      <c r="E97" t="s">
        <v>87</v>
      </c>
      <c r="F97" t="s">
        <v>10</v>
      </c>
      <c r="G97" t="s">
        <v>86</v>
      </c>
      <c r="H97" t="s">
        <v>88</v>
      </c>
      <c r="I97" t="s">
        <v>27</v>
      </c>
      <c r="J97">
        <v>0</v>
      </c>
      <c r="K97">
        <v>2</v>
      </c>
      <c r="L97" s="2">
        <v>3.5000000000000001E-3</v>
      </c>
      <c r="M97">
        <v>0.02</v>
      </c>
      <c r="N97" s="2">
        <v>7.0000000000000001E-3</v>
      </c>
      <c r="O97" s="2">
        <v>0.04</v>
      </c>
    </row>
    <row r="98" spans="2:15">
      <c r="B98" t="s">
        <v>32</v>
      </c>
      <c r="C98" t="s">
        <v>39</v>
      </c>
      <c r="D98" t="s">
        <v>143</v>
      </c>
      <c r="E98" t="s">
        <v>144</v>
      </c>
      <c r="F98" t="s">
        <v>10</v>
      </c>
      <c r="G98" t="s">
        <v>143</v>
      </c>
      <c r="H98" t="s">
        <v>145</v>
      </c>
      <c r="I98" t="s">
        <v>27</v>
      </c>
      <c r="J98">
        <v>0</v>
      </c>
      <c r="K98">
        <v>3</v>
      </c>
      <c r="L98" s="2">
        <v>3.5000000000000001E-3</v>
      </c>
      <c r="M98">
        <v>0.02</v>
      </c>
      <c r="N98" s="2">
        <v>1.0500000000000001E-2</v>
      </c>
      <c r="O98" s="2">
        <v>0.06</v>
      </c>
    </row>
    <row r="99" spans="2:15">
      <c r="B99" t="s">
        <v>32</v>
      </c>
      <c r="C99" t="s">
        <v>39</v>
      </c>
      <c r="D99" t="s">
        <v>146</v>
      </c>
      <c r="E99" t="s">
        <v>147</v>
      </c>
      <c r="F99" t="s">
        <v>10</v>
      </c>
      <c r="G99" t="s">
        <v>146</v>
      </c>
      <c r="H99" t="s">
        <v>148</v>
      </c>
      <c r="I99" t="s">
        <v>27</v>
      </c>
      <c r="J99">
        <v>0</v>
      </c>
      <c r="K99">
        <v>4</v>
      </c>
      <c r="L99" s="2">
        <v>3.5000000000000001E-3</v>
      </c>
      <c r="M99">
        <v>0.02</v>
      </c>
      <c r="N99" s="2">
        <v>1.4E-2</v>
      </c>
      <c r="O99" s="2">
        <v>0.08</v>
      </c>
    </row>
    <row r="100" spans="2:15">
      <c r="B100" t="s">
        <v>32</v>
      </c>
      <c r="C100" t="s">
        <v>89</v>
      </c>
      <c r="D100" t="s">
        <v>90</v>
      </c>
      <c r="E100" t="s">
        <v>91</v>
      </c>
      <c r="F100" t="s">
        <v>10</v>
      </c>
      <c r="G100" t="s">
        <v>90</v>
      </c>
      <c r="H100" t="s">
        <v>92</v>
      </c>
      <c r="I100" t="s">
        <v>27</v>
      </c>
      <c r="J100">
        <v>0</v>
      </c>
      <c r="K100">
        <v>2</v>
      </c>
      <c r="L100" s="2">
        <v>3.5000000000000001E-3</v>
      </c>
      <c r="M100">
        <v>0.02</v>
      </c>
      <c r="N100" s="2">
        <v>7.0000000000000001E-3</v>
      </c>
      <c r="O100" s="2">
        <v>0.04</v>
      </c>
    </row>
    <row r="101" spans="2:15">
      <c r="B101" t="s">
        <v>32</v>
      </c>
      <c r="C101" t="s">
        <v>89</v>
      </c>
      <c r="D101" t="s">
        <v>93</v>
      </c>
      <c r="E101" t="s">
        <v>94</v>
      </c>
      <c r="F101" t="s">
        <v>10</v>
      </c>
      <c r="G101" t="s">
        <v>93</v>
      </c>
      <c r="H101" t="s">
        <v>95</v>
      </c>
      <c r="I101" t="s">
        <v>27</v>
      </c>
      <c r="J101">
        <v>0</v>
      </c>
      <c r="K101">
        <v>2</v>
      </c>
      <c r="L101" s="2">
        <v>3.5000000000000001E-3</v>
      </c>
      <c r="M101">
        <v>0.02</v>
      </c>
      <c r="N101" s="2">
        <v>7.0000000000000001E-3</v>
      </c>
      <c r="O101" s="2">
        <v>0.04</v>
      </c>
    </row>
    <row r="102" spans="2:15">
      <c r="B102" t="s">
        <v>32</v>
      </c>
      <c r="C102" t="s">
        <v>96</v>
      </c>
      <c r="D102" t="s">
        <v>386</v>
      </c>
      <c r="E102" t="s">
        <v>387</v>
      </c>
      <c r="F102" t="s">
        <v>10</v>
      </c>
      <c r="G102" t="s">
        <v>386</v>
      </c>
      <c r="H102" t="s">
        <v>388</v>
      </c>
      <c r="I102" t="s">
        <v>27</v>
      </c>
      <c r="J102">
        <v>0</v>
      </c>
      <c r="K102">
        <v>4</v>
      </c>
      <c r="L102" s="2">
        <v>3.5000000000000001E-3</v>
      </c>
      <c r="M102">
        <v>0.02</v>
      </c>
      <c r="N102" s="2">
        <v>1.4E-2</v>
      </c>
      <c r="O102" s="2">
        <v>0.08</v>
      </c>
    </row>
    <row r="103" spans="2:15">
      <c r="B103" t="s">
        <v>32</v>
      </c>
      <c r="C103" t="s">
        <v>97</v>
      </c>
      <c r="D103" t="s">
        <v>202</v>
      </c>
      <c r="E103" t="s">
        <v>203</v>
      </c>
      <c r="F103" t="s">
        <v>12</v>
      </c>
      <c r="G103" t="s">
        <v>202</v>
      </c>
      <c r="H103" t="s">
        <v>204</v>
      </c>
      <c r="I103" t="s">
        <v>27</v>
      </c>
      <c r="J103">
        <v>1616</v>
      </c>
      <c r="K103">
        <v>0</v>
      </c>
      <c r="L103" s="2">
        <v>3.8199999999999998E-2</v>
      </c>
      <c r="M103">
        <v>0.09</v>
      </c>
      <c r="N103" s="2">
        <v>6.1731199999999993E-2</v>
      </c>
      <c r="O103" s="2">
        <v>0.14543999999999999</v>
      </c>
    </row>
    <row r="104" spans="2:15">
      <c r="B104" t="s">
        <v>32</v>
      </c>
      <c r="C104" t="s">
        <v>31</v>
      </c>
      <c r="D104" t="s">
        <v>205</v>
      </c>
      <c r="E104" t="s">
        <v>206</v>
      </c>
      <c r="F104" t="s">
        <v>10</v>
      </c>
      <c r="G104" t="s">
        <v>205</v>
      </c>
      <c r="H104" t="s">
        <v>207</v>
      </c>
      <c r="I104" t="s">
        <v>27</v>
      </c>
      <c r="J104">
        <v>0</v>
      </c>
      <c r="K104">
        <v>7</v>
      </c>
      <c r="L104" s="2">
        <v>3.5000000000000001E-3</v>
      </c>
      <c r="M104">
        <v>0.02</v>
      </c>
      <c r="N104" s="2">
        <v>2.4500000000000001E-2</v>
      </c>
      <c r="O104" s="2">
        <v>0.14000000000000001</v>
      </c>
    </row>
    <row r="105" spans="2:15">
      <c r="B105" t="s">
        <v>32</v>
      </c>
      <c r="C105" t="s">
        <v>31</v>
      </c>
      <c r="D105" t="s">
        <v>208</v>
      </c>
      <c r="E105" t="s">
        <v>209</v>
      </c>
      <c r="F105" t="s">
        <v>10</v>
      </c>
      <c r="G105" t="s">
        <v>208</v>
      </c>
      <c r="H105" t="s">
        <v>210</v>
      </c>
      <c r="I105" t="s">
        <v>27</v>
      </c>
      <c r="J105">
        <v>0</v>
      </c>
      <c r="K105">
        <v>1</v>
      </c>
      <c r="L105" s="2">
        <v>3.5000000000000001E-3</v>
      </c>
      <c r="M105">
        <v>0.02</v>
      </c>
      <c r="N105" s="2">
        <v>3.5000000000000001E-3</v>
      </c>
      <c r="O105" s="2">
        <v>0.02</v>
      </c>
    </row>
    <row r="106" spans="2:15">
      <c r="B106" t="s">
        <v>32</v>
      </c>
      <c r="C106" t="s">
        <v>31</v>
      </c>
      <c r="D106" t="s">
        <v>211</v>
      </c>
      <c r="E106" t="s">
        <v>212</v>
      </c>
      <c r="F106" t="s">
        <v>10</v>
      </c>
      <c r="G106" t="s">
        <v>211</v>
      </c>
      <c r="H106" t="s">
        <v>213</v>
      </c>
      <c r="I106" t="s">
        <v>27</v>
      </c>
      <c r="J106">
        <v>0</v>
      </c>
      <c r="K106">
        <v>7</v>
      </c>
      <c r="L106" s="2">
        <v>3.5000000000000001E-3</v>
      </c>
      <c r="M106">
        <v>0.02</v>
      </c>
      <c r="N106" s="2">
        <v>2.4500000000000001E-2</v>
      </c>
      <c r="O106" s="2">
        <v>0.14000000000000001</v>
      </c>
    </row>
    <row r="107" spans="2:15">
      <c r="B107" t="s">
        <v>32</v>
      </c>
      <c r="C107" t="s">
        <v>31</v>
      </c>
      <c r="D107" t="s">
        <v>214</v>
      </c>
      <c r="E107" t="s">
        <v>215</v>
      </c>
      <c r="F107" t="s">
        <v>10</v>
      </c>
      <c r="G107" t="s">
        <v>214</v>
      </c>
      <c r="H107" t="s">
        <v>216</v>
      </c>
      <c r="I107" t="s">
        <v>27</v>
      </c>
      <c r="J107">
        <v>0</v>
      </c>
      <c r="K107">
        <v>2</v>
      </c>
      <c r="L107" s="2">
        <v>3.5000000000000001E-3</v>
      </c>
      <c r="M107">
        <v>0.02</v>
      </c>
      <c r="N107" s="2">
        <v>7.0000000000000001E-3</v>
      </c>
      <c r="O107" s="2">
        <v>0.04</v>
      </c>
    </row>
    <row r="108" spans="2:15">
      <c r="B108" t="s">
        <v>32</v>
      </c>
      <c r="C108" t="s">
        <v>31</v>
      </c>
      <c r="D108" t="s">
        <v>217</v>
      </c>
      <c r="E108" t="s">
        <v>218</v>
      </c>
      <c r="F108" t="s">
        <v>10</v>
      </c>
      <c r="G108" t="s">
        <v>217</v>
      </c>
      <c r="H108" t="s">
        <v>219</v>
      </c>
      <c r="I108" t="s">
        <v>27</v>
      </c>
      <c r="J108">
        <v>0</v>
      </c>
      <c r="K108">
        <v>7</v>
      </c>
      <c r="L108" s="2">
        <v>3.5000000000000001E-3</v>
      </c>
      <c r="M108">
        <v>0.02</v>
      </c>
      <c r="N108" s="2">
        <v>2.4500000000000001E-2</v>
      </c>
      <c r="O108" s="2">
        <v>0.14000000000000001</v>
      </c>
    </row>
    <row r="109" spans="2:15">
      <c r="B109" t="s">
        <v>32</v>
      </c>
      <c r="C109" t="s">
        <v>31</v>
      </c>
      <c r="D109" t="s">
        <v>220</v>
      </c>
      <c r="E109" t="s">
        <v>221</v>
      </c>
      <c r="F109" t="s">
        <v>10</v>
      </c>
      <c r="G109" t="s">
        <v>220</v>
      </c>
      <c r="H109" t="s">
        <v>222</v>
      </c>
      <c r="I109" t="s">
        <v>27</v>
      </c>
      <c r="J109">
        <v>0</v>
      </c>
      <c r="K109">
        <v>1</v>
      </c>
      <c r="L109" s="2">
        <v>3.5000000000000001E-3</v>
      </c>
      <c r="M109">
        <v>0.02</v>
      </c>
      <c r="N109" s="2">
        <v>3.5000000000000001E-3</v>
      </c>
      <c r="O109" s="2">
        <v>0.02</v>
      </c>
    </row>
    <row r="110" spans="2:15">
      <c r="B110" t="s">
        <v>32</v>
      </c>
      <c r="C110" t="s">
        <v>31</v>
      </c>
      <c r="D110" t="s">
        <v>98</v>
      </c>
      <c r="E110" t="s">
        <v>99</v>
      </c>
      <c r="F110" t="s">
        <v>10</v>
      </c>
      <c r="G110" t="s">
        <v>98</v>
      </c>
      <c r="H110" t="s">
        <v>100</v>
      </c>
      <c r="I110" t="s">
        <v>27</v>
      </c>
      <c r="J110">
        <v>0</v>
      </c>
      <c r="K110">
        <v>2</v>
      </c>
      <c r="L110" s="2">
        <v>3.5000000000000001E-3</v>
      </c>
      <c r="M110">
        <v>0.02</v>
      </c>
      <c r="N110" s="2">
        <v>7.0000000000000001E-3</v>
      </c>
      <c r="O110" s="2">
        <v>0.04</v>
      </c>
    </row>
    <row r="111" spans="2:15">
      <c r="B111" t="s">
        <v>32</v>
      </c>
      <c r="C111" t="s">
        <v>31</v>
      </c>
      <c r="D111" t="s">
        <v>44</v>
      </c>
      <c r="E111" t="s">
        <v>45</v>
      </c>
      <c r="F111" t="s">
        <v>10</v>
      </c>
      <c r="G111" t="s">
        <v>44</v>
      </c>
      <c r="H111" t="s">
        <v>46</v>
      </c>
      <c r="I111" t="s">
        <v>27</v>
      </c>
      <c r="J111">
        <v>0</v>
      </c>
      <c r="K111">
        <v>6</v>
      </c>
      <c r="L111" s="2">
        <v>3.5000000000000001E-3</v>
      </c>
      <c r="M111">
        <v>0.02</v>
      </c>
      <c r="N111" s="2">
        <v>2.1000000000000001E-2</v>
      </c>
      <c r="O111" s="2">
        <v>0.12</v>
      </c>
    </row>
    <row r="112" spans="2:15">
      <c r="B112" t="s">
        <v>32</v>
      </c>
      <c r="C112" t="s">
        <v>31</v>
      </c>
      <c r="D112" t="s">
        <v>389</v>
      </c>
      <c r="E112" t="s">
        <v>390</v>
      </c>
      <c r="F112" t="s">
        <v>10</v>
      </c>
      <c r="G112" t="s">
        <v>389</v>
      </c>
      <c r="H112" t="s">
        <v>391</v>
      </c>
      <c r="I112" t="s">
        <v>27</v>
      </c>
      <c r="J112">
        <v>0</v>
      </c>
      <c r="K112">
        <v>7</v>
      </c>
      <c r="L112" s="2">
        <v>3.5000000000000001E-3</v>
      </c>
      <c r="M112">
        <v>0.02</v>
      </c>
      <c r="N112" s="2">
        <v>2.4500000000000001E-2</v>
      </c>
      <c r="O112" s="2">
        <v>0.14000000000000001</v>
      </c>
    </row>
    <row r="113" spans="2:15">
      <c r="B113" t="s">
        <v>32</v>
      </c>
      <c r="C113" t="s">
        <v>31</v>
      </c>
      <c r="D113" t="s">
        <v>101</v>
      </c>
      <c r="E113" t="s">
        <v>102</v>
      </c>
      <c r="F113" t="s">
        <v>10</v>
      </c>
      <c r="G113" t="s">
        <v>101</v>
      </c>
      <c r="H113" t="s">
        <v>103</v>
      </c>
      <c r="I113" t="s">
        <v>27</v>
      </c>
      <c r="J113">
        <v>0</v>
      </c>
      <c r="K113">
        <v>1</v>
      </c>
      <c r="L113" s="2">
        <v>3.5000000000000001E-3</v>
      </c>
      <c r="M113">
        <v>0.02</v>
      </c>
      <c r="N113" s="2">
        <v>3.5000000000000001E-3</v>
      </c>
      <c r="O113" s="2">
        <v>0.02</v>
      </c>
    </row>
    <row r="114" spans="2:15">
      <c r="B114" t="s">
        <v>32</v>
      </c>
      <c r="C114" t="s">
        <v>31</v>
      </c>
      <c r="D114" t="s">
        <v>41</v>
      </c>
      <c r="E114" t="s">
        <v>34</v>
      </c>
      <c r="F114" t="s">
        <v>10</v>
      </c>
      <c r="G114" t="s">
        <v>41</v>
      </c>
      <c r="H114" t="s">
        <v>35</v>
      </c>
      <c r="I114" t="s">
        <v>27</v>
      </c>
      <c r="J114">
        <v>0</v>
      </c>
      <c r="K114">
        <v>3</v>
      </c>
      <c r="L114" s="2">
        <v>3.5000000000000001E-3</v>
      </c>
      <c r="M114">
        <v>0.02</v>
      </c>
      <c r="N114" s="2">
        <v>1.0500000000000001E-2</v>
      </c>
      <c r="O114" s="2">
        <v>0.06</v>
      </c>
    </row>
    <row r="115" spans="2:15">
      <c r="B115" t="s">
        <v>32</v>
      </c>
      <c r="C115" t="s">
        <v>31</v>
      </c>
      <c r="D115" t="s">
        <v>499</v>
      </c>
      <c r="E115" t="s">
        <v>500</v>
      </c>
      <c r="F115" t="s">
        <v>10</v>
      </c>
      <c r="G115" t="s">
        <v>499</v>
      </c>
      <c r="H115" t="s">
        <v>501</v>
      </c>
      <c r="I115" t="s">
        <v>27</v>
      </c>
      <c r="J115">
        <v>0</v>
      </c>
      <c r="K115">
        <v>1</v>
      </c>
      <c r="L115" s="2">
        <v>3.5000000000000001E-3</v>
      </c>
      <c r="M115">
        <v>0.02</v>
      </c>
      <c r="N115" s="2">
        <v>3.5000000000000001E-3</v>
      </c>
      <c r="O115" s="2">
        <v>0.02</v>
      </c>
    </row>
    <row r="116" spans="2:15">
      <c r="B116" t="s">
        <v>32</v>
      </c>
      <c r="C116" t="s">
        <v>31</v>
      </c>
      <c r="D116" t="s">
        <v>149</v>
      </c>
      <c r="E116" t="s">
        <v>150</v>
      </c>
      <c r="F116" t="s">
        <v>10</v>
      </c>
      <c r="G116" t="s">
        <v>149</v>
      </c>
      <c r="H116" t="s">
        <v>151</v>
      </c>
      <c r="I116" t="s">
        <v>27</v>
      </c>
      <c r="J116">
        <v>0</v>
      </c>
      <c r="K116">
        <v>1</v>
      </c>
      <c r="L116" s="2">
        <v>3.5000000000000001E-3</v>
      </c>
      <c r="M116">
        <v>0.02</v>
      </c>
      <c r="N116" s="2">
        <v>3.5000000000000001E-3</v>
      </c>
      <c r="O116" s="2">
        <v>0.02</v>
      </c>
    </row>
    <row r="117" spans="2:15">
      <c r="B117" t="s">
        <v>32</v>
      </c>
      <c r="C117" t="s">
        <v>31</v>
      </c>
      <c r="D117" t="s">
        <v>152</v>
      </c>
      <c r="E117" t="s">
        <v>153</v>
      </c>
      <c r="F117" t="s">
        <v>10</v>
      </c>
      <c r="G117" t="s">
        <v>152</v>
      </c>
      <c r="H117" t="s">
        <v>154</v>
      </c>
      <c r="I117" t="s">
        <v>27</v>
      </c>
      <c r="J117">
        <v>0</v>
      </c>
      <c r="K117">
        <v>7</v>
      </c>
      <c r="L117" s="2">
        <v>3.5000000000000001E-3</v>
      </c>
      <c r="M117">
        <v>0.02</v>
      </c>
      <c r="N117" s="2">
        <v>2.4500000000000001E-2</v>
      </c>
      <c r="O117" s="2">
        <v>0.14000000000000001</v>
      </c>
    </row>
    <row r="118" spans="2:15">
      <c r="B118" t="s">
        <v>32</v>
      </c>
      <c r="C118" t="s">
        <v>31</v>
      </c>
      <c r="D118" t="s">
        <v>155</v>
      </c>
      <c r="E118" t="s">
        <v>156</v>
      </c>
      <c r="F118" t="s">
        <v>10</v>
      </c>
      <c r="G118" t="s">
        <v>155</v>
      </c>
      <c r="H118" t="s">
        <v>157</v>
      </c>
      <c r="I118" t="s">
        <v>27</v>
      </c>
      <c r="J118">
        <v>0</v>
      </c>
      <c r="K118">
        <v>8</v>
      </c>
      <c r="L118" s="2">
        <v>3.5000000000000001E-3</v>
      </c>
      <c r="M118">
        <v>0.02</v>
      </c>
      <c r="N118" s="2">
        <v>4.5499999999999999E-2</v>
      </c>
      <c r="O118" s="2">
        <v>0.26</v>
      </c>
    </row>
    <row r="119" spans="2:15">
      <c r="B119" t="s">
        <v>32</v>
      </c>
      <c r="C119" t="s">
        <v>31</v>
      </c>
      <c r="D119" t="s">
        <v>104</v>
      </c>
      <c r="E119" t="s">
        <v>105</v>
      </c>
      <c r="F119" t="s">
        <v>10</v>
      </c>
      <c r="G119" t="s">
        <v>104</v>
      </c>
      <c r="H119" t="s">
        <v>106</v>
      </c>
      <c r="I119" t="s">
        <v>27</v>
      </c>
      <c r="J119">
        <v>0</v>
      </c>
      <c r="K119">
        <v>2</v>
      </c>
      <c r="L119" s="2">
        <v>3.5000000000000001E-3</v>
      </c>
      <c r="M119">
        <v>0.02</v>
      </c>
      <c r="N119" s="2">
        <v>7.0000000000000001E-3</v>
      </c>
      <c r="O119" s="2">
        <v>0.04</v>
      </c>
    </row>
    <row r="120" spans="2:15">
      <c r="B120" t="s">
        <v>32</v>
      </c>
      <c r="C120" t="s">
        <v>31</v>
      </c>
      <c r="D120" t="s">
        <v>158</v>
      </c>
      <c r="E120" t="s">
        <v>159</v>
      </c>
      <c r="F120" t="s">
        <v>10</v>
      </c>
      <c r="G120" t="s">
        <v>158</v>
      </c>
      <c r="H120" t="s">
        <v>160</v>
      </c>
      <c r="I120" t="s">
        <v>27</v>
      </c>
      <c r="J120">
        <v>0</v>
      </c>
      <c r="K120">
        <v>1</v>
      </c>
      <c r="L120" s="2">
        <v>3.5000000000000001E-3</v>
      </c>
      <c r="M120">
        <v>0.02</v>
      </c>
      <c r="N120" s="2">
        <v>3.5000000000000001E-3</v>
      </c>
      <c r="O120" s="2">
        <v>0.02</v>
      </c>
    </row>
    <row r="121" spans="2:15">
      <c r="B121" t="s">
        <v>32</v>
      </c>
      <c r="C121" t="s">
        <v>31</v>
      </c>
      <c r="D121" t="s">
        <v>161</v>
      </c>
      <c r="E121" t="s">
        <v>162</v>
      </c>
      <c r="F121" t="s">
        <v>10</v>
      </c>
      <c r="G121" t="s">
        <v>161</v>
      </c>
      <c r="H121" t="s">
        <v>163</v>
      </c>
      <c r="I121" t="s">
        <v>27</v>
      </c>
      <c r="J121">
        <v>0</v>
      </c>
      <c r="K121">
        <v>8</v>
      </c>
      <c r="L121" s="2">
        <v>3.5000000000000001E-3</v>
      </c>
      <c r="M121">
        <v>0.02</v>
      </c>
      <c r="N121" s="2">
        <v>2.8000000000000001E-2</v>
      </c>
      <c r="O121" s="2">
        <v>0.16</v>
      </c>
    </row>
    <row r="122" spans="2:15">
      <c r="B122" t="s">
        <v>32</v>
      </c>
      <c r="C122" t="s">
        <v>31</v>
      </c>
      <c r="D122" t="s">
        <v>502</v>
      </c>
      <c r="E122" t="s">
        <v>503</v>
      </c>
      <c r="F122" t="s">
        <v>12</v>
      </c>
      <c r="G122" t="s">
        <v>502</v>
      </c>
      <c r="H122" t="s">
        <v>504</v>
      </c>
      <c r="I122" t="s">
        <v>27</v>
      </c>
      <c r="J122">
        <v>1</v>
      </c>
      <c r="K122">
        <v>0</v>
      </c>
      <c r="L122" s="2">
        <v>3.8199999999999998E-2</v>
      </c>
      <c r="M122">
        <v>0.09</v>
      </c>
      <c r="N122" s="2">
        <v>3.82E-5</v>
      </c>
      <c r="O122" s="2">
        <v>8.9999999999999992E-5</v>
      </c>
    </row>
    <row r="123" spans="2:15">
      <c r="B123" t="s">
        <v>32</v>
      </c>
      <c r="C123" t="s">
        <v>31</v>
      </c>
      <c r="D123" t="s">
        <v>505</v>
      </c>
      <c r="E123" t="s">
        <v>506</v>
      </c>
      <c r="F123" t="s">
        <v>10</v>
      </c>
      <c r="G123" t="s">
        <v>505</v>
      </c>
      <c r="H123" t="s">
        <v>507</v>
      </c>
      <c r="I123" t="s">
        <v>27</v>
      </c>
      <c r="J123">
        <v>0</v>
      </c>
      <c r="K123">
        <v>5</v>
      </c>
      <c r="L123" s="2">
        <v>3.5000000000000001E-3</v>
      </c>
      <c r="M123">
        <v>0.02</v>
      </c>
      <c r="N123" s="2">
        <v>1.7500000000000002E-2</v>
      </c>
      <c r="O123" s="2">
        <v>0.1</v>
      </c>
    </row>
    <row r="124" spans="2:15">
      <c r="B124" t="s">
        <v>32</v>
      </c>
      <c r="C124" t="s">
        <v>31</v>
      </c>
      <c r="D124" t="s">
        <v>392</v>
      </c>
      <c r="E124" t="s">
        <v>393</v>
      </c>
      <c r="F124" t="s">
        <v>10</v>
      </c>
      <c r="G124" t="s">
        <v>392</v>
      </c>
      <c r="H124" t="s">
        <v>394</v>
      </c>
      <c r="I124" t="s">
        <v>27</v>
      </c>
      <c r="J124">
        <v>0</v>
      </c>
      <c r="K124">
        <v>2</v>
      </c>
      <c r="L124" s="2">
        <v>3.5000000000000001E-3</v>
      </c>
      <c r="M124">
        <v>0.02</v>
      </c>
      <c r="N124" s="2">
        <v>7.0000000000000001E-3</v>
      </c>
      <c r="O124" s="2">
        <v>0.04</v>
      </c>
    </row>
    <row r="125" spans="2:15">
      <c r="B125" t="s">
        <v>32</v>
      </c>
      <c r="C125" t="s">
        <v>31</v>
      </c>
      <c r="D125" t="s">
        <v>395</v>
      </c>
      <c r="E125" t="s">
        <v>396</v>
      </c>
      <c r="F125" t="s">
        <v>10</v>
      </c>
      <c r="G125" t="s">
        <v>395</v>
      </c>
      <c r="H125" t="s">
        <v>397</v>
      </c>
      <c r="I125" t="s">
        <v>27</v>
      </c>
      <c r="J125">
        <v>0</v>
      </c>
      <c r="K125">
        <v>13</v>
      </c>
      <c r="L125" s="2">
        <v>3.5000000000000001E-3</v>
      </c>
      <c r="M125">
        <v>0.02</v>
      </c>
      <c r="N125" s="2">
        <v>4.5499999999999999E-2</v>
      </c>
      <c r="O125" s="2">
        <v>0.26</v>
      </c>
    </row>
    <row r="126" spans="2:15">
      <c r="B126" t="s">
        <v>32</v>
      </c>
      <c r="C126" t="s">
        <v>31</v>
      </c>
      <c r="D126" t="s">
        <v>164</v>
      </c>
      <c r="E126" t="s">
        <v>165</v>
      </c>
      <c r="F126" t="s">
        <v>10</v>
      </c>
      <c r="G126" t="s">
        <v>164</v>
      </c>
      <c r="H126" t="s">
        <v>166</v>
      </c>
      <c r="I126" t="s">
        <v>27</v>
      </c>
      <c r="J126">
        <v>0</v>
      </c>
      <c r="K126">
        <v>3</v>
      </c>
      <c r="L126" s="2">
        <v>3.5000000000000001E-3</v>
      </c>
      <c r="M126">
        <v>0.02</v>
      </c>
      <c r="N126" s="2">
        <v>1.0500000000000001E-2</v>
      </c>
      <c r="O126" s="2">
        <v>0.06</v>
      </c>
    </row>
    <row r="127" spans="2:15">
      <c r="B127" t="s">
        <v>32</v>
      </c>
      <c r="C127" t="s">
        <v>31</v>
      </c>
      <c r="D127" t="s">
        <v>167</v>
      </c>
      <c r="E127" t="s">
        <v>168</v>
      </c>
      <c r="F127" t="s">
        <v>10</v>
      </c>
      <c r="G127" t="s">
        <v>167</v>
      </c>
      <c r="H127" t="s">
        <v>169</v>
      </c>
      <c r="I127" t="s">
        <v>27</v>
      </c>
      <c r="J127">
        <v>0</v>
      </c>
      <c r="K127">
        <v>2</v>
      </c>
      <c r="L127" s="2">
        <v>3.5000000000000001E-3</v>
      </c>
      <c r="M127">
        <v>0.02</v>
      </c>
      <c r="N127" s="2">
        <v>7.0000000000000001E-3</v>
      </c>
      <c r="O127" s="2">
        <v>0.04</v>
      </c>
    </row>
    <row r="128" spans="2:15">
      <c r="B128" t="s">
        <v>32</v>
      </c>
      <c r="C128" t="s">
        <v>31</v>
      </c>
      <c r="D128" t="s">
        <v>170</v>
      </c>
      <c r="E128" t="s">
        <v>171</v>
      </c>
      <c r="F128" t="s">
        <v>10</v>
      </c>
      <c r="G128" t="s">
        <v>170</v>
      </c>
      <c r="H128" t="s">
        <v>172</v>
      </c>
      <c r="I128" t="s">
        <v>27</v>
      </c>
      <c r="J128">
        <v>0</v>
      </c>
      <c r="K128">
        <v>3</v>
      </c>
      <c r="L128" s="2">
        <v>3.5000000000000001E-3</v>
      </c>
      <c r="M128">
        <v>0.02</v>
      </c>
      <c r="N128" s="2">
        <v>1.0500000000000001E-2</v>
      </c>
      <c r="O128" s="2">
        <v>0.06</v>
      </c>
    </row>
    <row r="129" spans="2:15">
      <c r="B129" t="s">
        <v>32</v>
      </c>
      <c r="C129" t="s">
        <v>31</v>
      </c>
      <c r="D129" t="s">
        <v>173</v>
      </c>
      <c r="E129" t="s">
        <v>174</v>
      </c>
      <c r="F129" t="s">
        <v>10</v>
      </c>
      <c r="G129" t="s">
        <v>173</v>
      </c>
      <c r="H129" t="s">
        <v>175</v>
      </c>
      <c r="I129" t="s">
        <v>27</v>
      </c>
      <c r="J129">
        <v>0</v>
      </c>
      <c r="K129">
        <v>1</v>
      </c>
      <c r="L129" s="2">
        <v>3.5000000000000001E-3</v>
      </c>
      <c r="M129">
        <v>0.02</v>
      </c>
      <c r="N129" s="2">
        <v>3.5000000000000001E-3</v>
      </c>
      <c r="O129" s="2">
        <v>0.02</v>
      </c>
    </row>
    <row r="130" spans="2:15">
      <c r="B130" t="s">
        <v>32</v>
      </c>
      <c r="C130" t="s">
        <v>31</v>
      </c>
      <c r="D130" t="s">
        <v>176</v>
      </c>
      <c r="E130" t="s">
        <v>177</v>
      </c>
      <c r="F130" t="s">
        <v>10</v>
      </c>
      <c r="G130" t="s">
        <v>176</v>
      </c>
      <c r="H130" t="s">
        <v>178</v>
      </c>
      <c r="I130" t="s">
        <v>27</v>
      </c>
      <c r="J130">
        <v>4</v>
      </c>
      <c r="K130">
        <v>5</v>
      </c>
      <c r="L130" s="2">
        <v>3.5000000000000001E-3</v>
      </c>
      <c r="M130">
        <v>0.02</v>
      </c>
      <c r="N130" s="2">
        <v>1.7500000000000002E-2</v>
      </c>
      <c r="O130" s="2">
        <v>0.1</v>
      </c>
    </row>
    <row r="131" spans="2:15">
      <c r="B131" t="s">
        <v>32</v>
      </c>
      <c r="C131" t="s">
        <v>31</v>
      </c>
      <c r="D131" t="s">
        <v>107</v>
      </c>
      <c r="E131" t="s">
        <v>108</v>
      </c>
      <c r="F131" t="s">
        <v>10</v>
      </c>
      <c r="G131" t="s">
        <v>107</v>
      </c>
      <c r="H131" t="s">
        <v>109</v>
      </c>
      <c r="I131" t="s">
        <v>27</v>
      </c>
      <c r="J131">
        <v>0</v>
      </c>
      <c r="K131">
        <v>1</v>
      </c>
      <c r="L131" s="2">
        <v>3.5000000000000001E-3</v>
      </c>
      <c r="M131">
        <v>0.02</v>
      </c>
      <c r="N131" s="2">
        <v>3.5000000000000001E-3</v>
      </c>
      <c r="O131" s="2">
        <v>0.02</v>
      </c>
    </row>
    <row r="132" spans="2:15">
      <c r="B132" t="s">
        <v>32</v>
      </c>
      <c r="C132" t="s">
        <v>31</v>
      </c>
      <c r="D132" t="s">
        <v>398</v>
      </c>
      <c r="E132" t="s">
        <v>399</v>
      </c>
      <c r="F132" t="s">
        <v>12</v>
      </c>
      <c r="G132" t="s">
        <v>398</v>
      </c>
      <c r="H132" t="s">
        <v>400</v>
      </c>
      <c r="I132" t="s">
        <v>27</v>
      </c>
      <c r="J132">
        <v>286453</v>
      </c>
      <c r="K132">
        <v>4319</v>
      </c>
      <c r="L132" s="2">
        <v>3.8199999999999998E-2</v>
      </c>
      <c r="M132">
        <v>0.09</v>
      </c>
      <c r="N132" s="2">
        <v>10.942504599999999</v>
      </c>
      <c r="O132" s="2">
        <v>25.78077</v>
      </c>
    </row>
    <row r="133" spans="2:15">
      <c r="B133" t="s">
        <v>32</v>
      </c>
      <c r="C133" t="s">
        <v>31</v>
      </c>
      <c r="D133" t="s">
        <v>401</v>
      </c>
      <c r="E133" t="s">
        <v>402</v>
      </c>
      <c r="F133" t="s">
        <v>12</v>
      </c>
      <c r="G133" t="s">
        <v>401</v>
      </c>
      <c r="H133" t="s">
        <v>403</v>
      </c>
      <c r="I133" t="s">
        <v>27</v>
      </c>
      <c r="J133">
        <v>308363</v>
      </c>
      <c r="K133">
        <v>3403</v>
      </c>
      <c r="L133" s="2">
        <v>3.8199999999999998E-2</v>
      </c>
      <c r="M133">
        <v>0.09</v>
      </c>
      <c r="N133" s="2">
        <v>11.779466599999999</v>
      </c>
      <c r="O133" s="2">
        <v>27.752669999999998</v>
      </c>
    </row>
    <row r="134" spans="2:15">
      <c r="B134" t="s">
        <v>32</v>
      </c>
      <c r="C134" t="s">
        <v>31</v>
      </c>
      <c r="D134" t="s">
        <v>404</v>
      </c>
      <c r="E134" t="s">
        <v>405</v>
      </c>
      <c r="F134" t="s">
        <v>12</v>
      </c>
      <c r="G134" t="s">
        <v>404</v>
      </c>
      <c r="H134" t="s">
        <v>406</v>
      </c>
      <c r="I134" t="s">
        <v>27</v>
      </c>
      <c r="J134">
        <v>184091</v>
      </c>
      <c r="K134">
        <v>2756</v>
      </c>
      <c r="L134" s="2">
        <v>3.8199999999999998E-2</v>
      </c>
      <c r="M134">
        <v>0.09</v>
      </c>
      <c r="N134" s="2">
        <v>7.0322761999999992</v>
      </c>
      <c r="O134" s="2">
        <v>16.568189999999998</v>
      </c>
    </row>
    <row r="135" spans="2:15">
      <c r="B135" t="s">
        <v>32</v>
      </c>
      <c r="C135" t="s">
        <v>31</v>
      </c>
      <c r="D135" t="s">
        <v>407</v>
      </c>
      <c r="E135" t="s">
        <v>408</v>
      </c>
      <c r="F135" t="s">
        <v>12</v>
      </c>
      <c r="G135" t="s">
        <v>407</v>
      </c>
      <c r="H135" t="s">
        <v>409</v>
      </c>
      <c r="I135" t="s">
        <v>27</v>
      </c>
      <c r="J135">
        <v>242240</v>
      </c>
      <c r="K135">
        <v>2645</v>
      </c>
      <c r="L135" s="2">
        <v>3.8199999999999998E-2</v>
      </c>
      <c r="M135">
        <v>0.09</v>
      </c>
      <c r="N135" s="2">
        <v>9.2535679999999996</v>
      </c>
      <c r="O135" s="2">
        <v>21.801599999999997</v>
      </c>
    </row>
    <row r="136" spans="2:15">
      <c r="B136" t="s">
        <v>32</v>
      </c>
      <c r="C136" t="s">
        <v>31</v>
      </c>
      <c r="D136" t="s">
        <v>410</v>
      </c>
      <c r="E136" t="s">
        <v>411</v>
      </c>
      <c r="F136" t="s">
        <v>12</v>
      </c>
      <c r="G136" t="s">
        <v>410</v>
      </c>
      <c r="H136" t="s">
        <v>412</v>
      </c>
      <c r="I136" t="s">
        <v>27</v>
      </c>
      <c r="J136">
        <v>453446</v>
      </c>
      <c r="K136">
        <v>5542</v>
      </c>
      <c r="L136" s="2">
        <v>3.8199999999999998E-2</v>
      </c>
      <c r="M136">
        <v>0.09</v>
      </c>
      <c r="N136" s="2">
        <v>17.321637199999998</v>
      </c>
      <c r="O136" s="2">
        <v>40.810139999999997</v>
      </c>
    </row>
    <row r="137" spans="2:15">
      <c r="B137" t="s">
        <v>32</v>
      </c>
      <c r="C137" t="s">
        <v>31</v>
      </c>
      <c r="D137" t="s">
        <v>413</v>
      </c>
      <c r="E137" t="s">
        <v>414</v>
      </c>
      <c r="F137" t="s">
        <v>12</v>
      </c>
      <c r="G137" t="s">
        <v>413</v>
      </c>
      <c r="H137" t="s">
        <v>415</v>
      </c>
      <c r="I137" t="s">
        <v>27</v>
      </c>
      <c r="J137">
        <v>380045</v>
      </c>
      <c r="K137">
        <v>2903</v>
      </c>
      <c r="L137" s="2">
        <v>3.8199999999999998E-2</v>
      </c>
      <c r="M137">
        <v>0.09</v>
      </c>
      <c r="N137" s="2">
        <v>14.517719</v>
      </c>
      <c r="O137" s="2">
        <v>34.204049999999995</v>
      </c>
    </row>
    <row r="138" spans="2:15">
      <c r="B138" t="s">
        <v>32</v>
      </c>
      <c r="C138" t="s">
        <v>31</v>
      </c>
      <c r="D138" t="s">
        <v>416</v>
      </c>
      <c r="E138" t="s">
        <v>417</v>
      </c>
      <c r="F138" t="s">
        <v>12</v>
      </c>
      <c r="G138" t="s">
        <v>416</v>
      </c>
      <c r="H138" t="s">
        <v>418</v>
      </c>
      <c r="I138" t="s">
        <v>27</v>
      </c>
      <c r="J138">
        <v>326397</v>
      </c>
      <c r="K138">
        <v>7092</v>
      </c>
      <c r="L138" s="2">
        <v>3.8199999999999998E-2</v>
      </c>
      <c r="M138">
        <v>0.09</v>
      </c>
      <c r="N138" s="2">
        <v>12.468365399999998</v>
      </c>
      <c r="O138" s="2">
        <v>29.375730000000001</v>
      </c>
    </row>
    <row r="139" spans="2:15">
      <c r="B139" t="s">
        <v>32</v>
      </c>
      <c r="C139" t="s">
        <v>31</v>
      </c>
      <c r="D139" t="s">
        <v>47</v>
      </c>
      <c r="E139" t="s">
        <v>48</v>
      </c>
      <c r="F139" t="s">
        <v>10</v>
      </c>
      <c r="G139" t="s">
        <v>47</v>
      </c>
      <c r="H139" t="s">
        <v>49</v>
      </c>
      <c r="I139" t="s">
        <v>27</v>
      </c>
      <c r="J139">
        <v>0</v>
      </c>
      <c r="K139">
        <v>1</v>
      </c>
      <c r="L139" s="2">
        <v>3.5000000000000001E-3</v>
      </c>
      <c r="M139">
        <v>0.02</v>
      </c>
      <c r="N139" s="2">
        <v>3.5000000000000001E-3</v>
      </c>
      <c r="O139" s="2">
        <v>0.02</v>
      </c>
    </row>
    <row r="140" spans="2:15">
      <c r="B140" t="s">
        <v>32</v>
      </c>
      <c r="C140" t="s">
        <v>31</v>
      </c>
      <c r="D140" t="s">
        <v>179</v>
      </c>
      <c r="E140" t="s">
        <v>180</v>
      </c>
      <c r="F140" t="s">
        <v>10</v>
      </c>
      <c r="G140" t="s">
        <v>179</v>
      </c>
      <c r="H140" t="s">
        <v>181</v>
      </c>
      <c r="I140" t="s">
        <v>27</v>
      </c>
      <c r="J140">
        <v>0</v>
      </c>
      <c r="K140">
        <v>5</v>
      </c>
      <c r="L140" s="2">
        <v>3.5000000000000001E-3</v>
      </c>
      <c r="M140">
        <v>0.02</v>
      </c>
      <c r="N140" s="2">
        <v>1.7500000000000002E-2</v>
      </c>
      <c r="O140" s="2">
        <v>0.1</v>
      </c>
    </row>
    <row r="141" spans="2:15">
      <c r="B141" t="s">
        <v>32</v>
      </c>
      <c r="C141" t="s">
        <v>31</v>
      </c>
      <c r="D141" t="s">
        <v>419</v>
      </c>
      <c r="E141" t="s">
        <v>420</v>
      </c>
      <c r="F141" t="s">
        <v>12</v>
      </c>
      <c r="G141" t="s">
        <v>419</v>
      </c>
      <c r="H141" t="s">
        <v>421</v>
      </c>
      <c r="I141" t="s">
        <v>27</v>
      </c>
      <c r="J141">
        <v>81468</v>
      </c>
      <c r="K141">
        <v>796</v>
      </c>
      <c r="L141" s="2">
        <v>3.8199999999999998E-2</v>
      </c>
      <c r="M141">
        <v>0.09</v>
      </c>
      <c r="N141" s="2">
        <v>3.1120775999999997</v>
      </c>
      <c r="O141" s="2">
        <v>7.3321199999999997</v>
      </c>
    </row>
    <row r="142" spans="2:15">
      <c r="B142" t="s">
        <v>32</v>
      </c>
      <c r="C142" t="s">
        <v>31</v>
      </c>
      <c r="D142" t="s">
        <v>50</v>
      </c>
      <c r="E142" t="s">
        <v>51</v>
      </c>
      <c r="F142" t="s">
        <v>10</v>
      </c>
      <c r="G142" t="s">
        <v>50</v>
      </c>
      <c r="H142" t="s">
        <v>52</v>
      </c>
      <c r="I142" t="s">
        <v>27</v>
      </c>
      <c r="J142">
        <v>0</v>
      </c>
      <c r="K142">
        <v>4</v>
      </c>
      <c r="L142" s="2">
        <v>3.5000000000000001E-3</v>
      </c>
      <c r="M142">
        <v>0.02</v>
      </c>
      <c r="N142" s="2">
        <v>1.4E-2</v>
      </c>
      <c r="O142" s="2">
        <v>0.08</v>
      </c>
    </row>
    <row r="143" spans="2:15">
      <c r="B143" t="s">
        <v>32</v>
      </c>
      <c r="C143" t="s">
        <v>31</v>
      </c>
      <c r="D143" t="s">
        <v>53</v>
      </c>
      <c r="E143" t="s">
        <v>54</v>
      </c>
      <c r="F143" t="s">
        <v>10</v>
      </c>
      <c r="G143" t="s">
        <v>53</v>
      </c>
      <c r="H143" t="s">
        <v>55</v>
      </c>
      <c r="I143" t="s">
        <v>27</v>
      </c>
      <c r="J143">
        <v>0</v>
      </c>
      <c r="K143">
        <v>2</v>
      </c>
      <c r="L143" s="2">
        <v>3.5000000000000001E-3</v>
      </c>
      <c r="M143">
        <v>0.02</v>
      </c>
      <c r="N143" s="2">
        <v>7.0000000000000001E-3</v>
      </c>
      <c r="O143" s="2">
        <v>0.04</v>
      </c>
    </row>
    <row r="144" spans="2:15">
      <c r="B144" t="s">
        <v>32</v>
      </c>
      <c r="C144" t="s">
        <v>31</v>
      </c>
      <c r="D144" t="s">
        <v>422</v>
      </c>
      <c r="E144" t="s">
        <v>423</v>
      </c>
      <c r="F144" t="s">
        <v>10</v>
      </c>
      <c r="G144" t="s">
        <v>422</v>
      </c>
      <c r="H144" t="s">
        <v>424</v>
      </c>
      <c r="I144" t="s">
        <v>27</v>
      </c>
      <c r="J144">
        <v>0</v>
      </c>
      <c r="K144">
        <v>1468</v>
      </c>
      <c r="L144" s="2">
        <v>3.5000000000000001E-3</v>
      </c>
      <c r="M144">
        <v>0.02</v>
      </c>
      <c r="N144" s="2">
        <v>5.4880000000000004</v>
      </c>
      <c r="O144" s="2">
        <v>31.36</v>
      </c>
    </row>
    <row r="145" spans="2:15">
      <c r="B145" t="s">
        <v>32</v>
      </c>
      <c r="C145" t="s">
        <v>31</v>
      </c>
      <c r="D145" t="s">
        <v>425</v>
      </c>
      <c r="E145" t="s">
        <v>426</v>
      </c>
      <c r="F145" t="s">
        <v>10</v>
      </c>
      <c r="G145" t="s">
        <v>425</v>
      </c>
      <c r="H145" t="s">
        <v>427</v>
      </c>
      <c r="I145" t="s">
        <v>27</v>
      </c>
      <c r="J145">
        <v>12</v>
      </c>
      <c r="K145">
        <v>2354</v>
      </c>
      <c r="L145" s="2">
        <v>3.5000000000000001E-3</v>
      </c>
      <c r="M145">
        <v>0.02</v>
      </c>
      <c r="N145" s="2">
        <v>9.6389999999999993</v>
      </c>
      <c r="O145" s="2">
        <v>55.08</v>
      </c>
    </row>
    <row r="146" spans="2:15">
      <c r="B146" t="s">
        <v>32</v>
      </c>
      <c r="C146" t="s">
        <v>31</v>
      </c>
      <c r="D146" t="s">
        <v>428</v>
      </c>
      <c r="E146" t="s">
        <v>429</v>
      </c>
      <c r="F146" t="s">
        <v>10</v>
      </c>
      <c r="G146" t="s">
        <v>428</v>
      </c>
      <c r="H146" t="s">
        <v>430</v>
      </c>
      <c r="I146" t="s">
        <v>27</v>
      </c>
      <c r="J146">
        <v>0</v>
      </c>
      <c r="K146">
        <v>1057</v>
      </c>
      <c r="L146" s="2">
        <v>3.5000000000000001E-3</v>
      </c>
      <c r="M146">
        <v>0.02</v>
      </c>
      <c r="N146" s="2">
        <v>3.6995</v>
      </c>
      <c r="O146" s="2">
        <v>21.14</v>
      </c>
    </row>
    <row r="147" spans="2:15">
      <c r="B147" t="s">
        <v>32</v>
      </c>
      <c r="C147" t="s">
        <v>31</v>
      </c>
      <c r="D147" t="s">
        <v>431</v>
      </c>
      <c r="E147" t="s">
        <v>432</v>
      </c>
      <c r="F147" t="s">
        <v>10</v>
      </c>
      <c r="G147" t="s">
        <v>431</v>
      </c>
      <c r="H147" t="s">
        <v>433</v>
      </c>
      <c r="I147" t="s">
        <v>27</v>
      </c>
      <c r="J147">
        <v>31</v>
      </c>
      <c r="K147">
        <v>375</v>
      </c>
      <c r="L147" s="2">
        <v>3.5000000000000001E-3</v>
      </c>
      <c r="M147">
        <v>0.02</v>
      </c>
      <c r="N147" s="2">
        <v>1.3125</v>
      </c>
      <c r="O147" s="2">
        <v>7.5</v>
      </c>
    </row>
    <row r="148" spans="2:15">
      <c r="B148" t="s">
        <v>32</v>
      </c>
      <c r="C148" t="s">
        <v>31</v>
      </c>
      <c r="D148" t="s">
        <v>434</v>
      </c>
      <c r="E148" t="s">
        <v>435</v>
      </c>
      <c r="F148" t="s">
        <v>10</v>
      </c>
      <c r="G148" t="s">
        <v>434</v>
      </c>
      <c r="H148" t="s">
        <v>436</v>
      </c>
      <c r="I148" t="s">
        <v>27</v>
      </c>
      <c r="J148">
        <v>33</v>
      </c>
      <c r="K148">
        <v>143</v>
      </c>
      <c r="L148" s="2">
        <v>3.5000000000000001E-3</v>
      </c>
      <c r="M148">
        <v>0.02</v>
      </c>
      <c r="N148" s="2">
        <v>0.50050000000000006</v>
      </c>
      <c r="O148" s="2">
        <v>2.86</v>
      </c>
    </row>
    <row r="149" spans="2:15">
      <c r="B149" t="s">
        <v>32</v>
      </c>
      <c r="C149" t="s">
        <v>31</v>
      </c>
      <c r="D149" t="s">
        <v>437</v>
      </c>
      <c r="E149" t="s">
        <v>438</v>
      </c>
      <c r="F149" t="s">
        <v>10</v>
      </c>
      <c r="G149" t="s">
        <v>437</v>
      </c>
      <c r="H149" t="s">
        <v>439</v>
      </c>
      <c r="I149" t="s">
        <v>27</v>
      </c>
      <c r="J149">
        <v>10</v>
      </c>
      <c r="K149">
        <v>1008</v>
      </c>
      <c r="L149" s="2">
        <v>3.5000000000000001E-3</v>
      </c>
      <c r="M149">
        <v>0.02</v>
      </c>
      <c r="N149" s="2">
        <v>3.843</v>
      </c>
      <c r="O149" s="2">
        <v>21.96</v>
      </c>
    </row>
    <row r="150" spans="2:15">
      <c r="B150" t="s">
        <v>32</v>
      </c>
      <c r="C150" t="s">
        <v>31</v>
      </c>
      <c r="D150" t="s">
        <v>440</v>
      </c>
      <c r="E150" t="s">
        <v>441</v>
      </c>
      <c r="F150" t="s">
        <v>10</v>
      </c>
      <c r="G150" t="s">
        <v>440</v>
      </c>
      <c r="H150" t="s">
        <v>442</v>
      </c>
      <c r="I150" t="s">
        <v>27</v>
      </c>
      <c r="J150">
        <v>1</v>
      </c>
      <c r="K150">
        <v>202</v>
      </c>
      <c r="L150" s="2">
        <v>3.5000000000000001E-3</v>
      </c>
      <c r="M150">
        <v>0.02</v>
      </c>
      <c r="N150" s="2">
        <v>0.70699999999999996</v>
      </c>
      <c r="O150" s="2">
        <v>4.04</v>
      </c>
    </row>
    <row r="151" spans="2:15">
      <c r="B151" t="s">
        <v>32</v>
      </c>
      <c r="C151" t="s">
        <v>31</v>
      </c>
      <c r="D151" t="s">
        <v>443</v>
      </c>
      <c r="E151" t="s">
        <v>444</v>
      </c>
      <c r="F151" t="s">
        <v>10</v>
      </c>
      <c r="G151" t="s">
        <v>443</v>
      </c>
      <c r="H151" t="s">
        <v>445</v>
      </c>
      <c r="I151" t="s">
        <v>27</v>
      </c>
      <c r="J151">
        <v>57</v>
      </c>
      <c r="K151">
        <v>572</v>
      </c>
      <c r="L151" s="2">
        <v>3.5000000000000001E-3</v>
      </c>
      <c r="M151">
        <v>0.02</v>
      </c>
      <c r="N151" s="2">
        <v>2.0020000000000002</v>
      </c>
      <c r="O151" s="2">
        <v>11.44</v>
      </c>
    </row>
    <row r="152" spans="2:15">
      <c r="B152" t="s">
        <v>32</v>
      </c>
      <c r="C152" t="s">
        <v>31</v>
      </c>
      <c r="D152" t="s">
        <v>446</v>
      </c>
      <c r="E152" t="s">
        <v>447</v>
      </c>
      <c r="F152" t="s">
        <v>10</v>
      </c>
      <c r="G152" t="s">
        <v>446</v>
      </c>
      <c r="H152" t="s">
        <v>448</v>
      </c>
      <c r="I152" t="s">
        <v>27</v>
      </c>
      <c r="J152">
        <v>0</v>
      </c>
      <c r="K152">
        <v>61</v>
      </c>
      <c r="L152" s="2">
        <v>3.5000000000000001E-3</v>
      </c>
      <c r="M152">
        <v>0.02</v>
      </c>
      <c r="N152" s="2">
        <v>0.2135</v>
      </c>
      <c r="O152" s="2">
        <v>1.22</v>
      </c>
    </row>
    <row r="153" spans="2:15">
      <c r="B153" t="s">
        <v>32</v>
      </c>
      <c r="C153" t="s">
        <v>31</v>
      </c>
      <c r="D153" t="s">
        <v>56</v>
      </c>
      <c r="E153" t="s">
        <v>57</v>
      </c>
      <c r="F153" t="s">
        <v>10</v>
      </c>
      <c r="G153" t="s">
        <v>56</v>
      </c>
      <c r="H153" t="s">
        <v>58</v>
      </c>
      <c r="I153" t="s">
        <v>27</v>
      </c>
      <c r="J153">
        <v>0</v>
      </c>
      <c r="K153">
        <v>9</v>
      </c>
      <c r="L153" s="2">
        <v>3.5000000000000001E-3</v>
      </c>
      <c r="M153">
        <v>0.02</v>
      </c>
      <c r="N153" s="2">
        <v>3.15E-2</v>
      </c>
      <c r="O153" s="2">
        <v>0.18</v>
      </c>
    </row>
    <row r="154" spans="2:15">
      <c r="B154" t="s">
        <v>32</v>
      </c>
      <c r="C154" t="s">
        <v>31</v>
      </c>
      <c r="D154" t="s">
        <v>59</v>
      </c>
      <c r="E154" t="s">
        <v>60</v>
      </c>
      <c r="F154" t="s">
        <v>10</v>
      </c>
      <c r="G154" t="s">
        <v>59</v>
      </c>
      <c r="H154" t="s">
        <v>61</v>
      </c>
      <c r="I154" t="s">
        <v>27</v>
      </c>
      <c r="J154">
        <v>0</v>
      </c>
      <c r="K154">
        <v>6</v>
      </c>
      <c r="L154" s="2">
        <v>3.5000000000000001E-3</v>
      </c>
      <c r="M154">
        <v>0.02</v>
      </c>
      <c r="N154" s="2">
        <v>2.1000000000000001E-2</v>
      </c>
      <c r="O154" s="2">
        <v>0.12</v>
      </c>
    </row>
    <row r="155" spans="2:15">
      <c r="B155" t="s">
        <v>32</v>
      </c>
      <c r="C155" t="s">
        <v>31</v>
      </c>
      <c r="D155" t="s">
        <v>449</v>
      </c>
      <c r="E155" t="s">
        <v>450</v>
      </c>
      <c r="F155" t="s">
        <v>12</v>
      </c>
      <c r="G155" t="s">
        <v>449</v>
      </c>
      <c r="H155" t="s">
        <v>451</v>
      </c>
      <c r="I155" t="s">
        <v>27</v>
      </c>
      <c r="J155">
        <v>4797058</v>
      </c>
      <c r="K155">
        <v>14774</v>
      </c>
      <c r="L155" s="2">
        <v>3.8199999999999998E-2</v>
      </c>
      <c r="M155">
        <v>0.09</v>
      </c>
      <c r="N155" s="2">
        <v>183.24761559999999</v>
      </c>
      <c r="O155" s="2">
        <v>431.73521999999997</v>
      </c>
    </row>
    <row r="156" spans="2:15">
      <c r="B156" t="s">
        <v>32</v>
      </c>
      <c r="C156" t="s">
        <v>31</v>
      </c>
      <c r="D156" t="s">
        <v>62</v>
      </c>
      <c r="E156" t="s">
        <v>63</v>
      </c>
      <c r="F156" t="s">
        <v>10</v>
      </c>
      <c r="G156" t="s">
        <v>62</v>
      </c>
      <c r="H156" t="s">
        <v>64</v>
      </c>
      <c r="I156" t="s">
        <v>27</v>
      </c>
      <c r="J156">
        <v>0</v>
      </c>
      <c r="K156">
        <v>3</v>
      </c>
      <c r="L156" s="2">
        <v>3.5000000000000001E-3</v>
      </c>
      <c r="M156">
        <v>0.02</v>
      </c>
      <c r="N156" s="2">
        <v>1.0500000000000001E-2</v>
      </c>
      <c r="O156" s="2">
        <v>0.06</v>
      </c>
    </row>
    <row r="157" spans="2:15">
      <c r="B157" t="s">
        <v>32</v>
      </c>
      <c r="C157" t="s">
        <v>31</v>
      </c>
      <c r="D157" t="s">
        <v>110</v>
      </c>
      <c r="E157" t="s">
        <v>111</v>
      </c>
      <c r="F157" t="s">
        <v>10</v>
      </c>
      <c r="G157" t="s">
        <v>112</v>
      </c>
      <c r="H157" t="s">
        <v>113</v>
      </c>
      <c r="I157" t="s">
        <v>27</v>
      </c>
      <c r="J157">
        <v>0</v>
      </c>
      <c r="K157">
        <v>1</v>
      </c>
      <c r="L157" s="2">
        <v>3.5000000000000001E-3</v>
      </c>
      <c r="M157">
        <v>0.02</v>
      </c>
      <c r="N157" s="2">
        <v>3.5000000000000001E-3</v>
      </c>
      <c r="O157" s="2">
        <v>0.02</v>
      </c>
    </row>
    <row r="158" spans="2:15">
      <c r="B158" t="s">
        <v>32</v>
      </c>
      <c r="C158" t="s">
        <v>31</v>
      </c>
      <c r="D158" t="s">
        <v>452</v>
      </c>
      <c r="E158" t="s">
        <v>453</v>
      </c>
      <c r="F158" t="s">
        <v>12</v>
      </c>
      <c r="G158" t="s">
        <v>452</v>
      </c>
      <c r="H158" t="s">
        <v>454</v>
      </c>
      <c r="I158" t="s">
        <v>27</v>
      </c>
      <c r="J158">
        <v>3315196</v>
      </c>
      <c r="K158">
        <v>12285</v>
      </c>
      <c r="L158" s="2">
        <v>3.8199999999999998E-2</v>
      </c>
      <c r="M158">
        <v>0.09</v>
      </c>
      <c r="N158" s="2">
        <v>126.6404872</v>
      </c>
      <c r="O158" s="2">
        <v>298.36763999999999</v>
      </c>
    </row>
    <row r="159" spans="2:15">
      <c r="B159" t="s">
        <v>32</v>
      </c>
      <c r="C159" t="s">
        <v>31</v>
      </c>
      <c r="D159" t="s">
        <v>65</v>
      </c>
      <c r="E159" t="s">
        <v>66</v>
      </c>
      <c r="F159" t="s">
        <v>10</v>
      </c>
      <c r="G159" t="s">
        <v>65</v>
      </c>
      <c r="H159" t="s">
        <v>67</v>
      </c>
      <c r="I159" t="s">
        <v>27</v>
      </c>
      <c r="J159">
        <v>0</v>
      </c>
      <c r="K159">
        <v>1</v>
      </c>
      <c r="L159" s="2">
        <v>3.5000000000000001E-3</v>
      </c>
      <c r="M159">
        <v>0.02</v>
      </c>
      <c r="N159" s="2">
        <v>3.5000000000000001E-3</v>
      </c>
      <c r="O159" s="2">
        <v>0.02</v>
      </c>
    </row>
    <row r="160" spans="2:15">
      <c r="B160" t="s">
        <v>32</v>
      </c>
      <c r="C160" t="s">
        <v>31</v>
      </c>
      <c r="D160" t="s">
        <v>455</v>
      </c>
      <c r="E160" t="s">
        <v>456</v>
      </c>
      <c r="F160" t="s">
        <v>12</v>
      </c>
      <c r="G160" t="s">
        <v>455</v>
      </c>
      <c r="H160" t="s">
        <v>457</v>
      </c>
      <c r="I160" t="s">
        <v>27</v>
      </c>
      <c r="J160">
        <v>4330482</v>
      </c>
      <c r="K160">
        <v>20194</v>
      </c>
      <c r="L160" s="2">
        <v>3.8199999999999998E-2</v>
      </c>
      <c r="M160">
        <v>0.09</v>
      </c>
      <c r="N160" s="2">
        <v>165.42441239999999</v>
      </c>
      <c r="O160" s="2">
        <v>389.74338</v>
      </c>
    </row>
    <row r="161" spans="2:15">
      <c r="B161" t="s">
        <v>32</v>
      </c>
      <c r="C161" t="s">
        <v>31</v>
      </c>
      <c r="D161" t="s">
        <v>458</v>
      </c>
      <c r="E161" t="s">
        <v>459</v>
      </c>
      <c r="F161" t="s">
        <v>12</v>
      </c>
      <c r="G161" t="s">
        <v>458</v>
      </c>
      <c r="H161" t="s">
        <v>460</v>
      </c>
      <c r="I161" t="s">
        <v>27</v>
      </c>
      <c r="J161">
        <v>12911</v>
      </c>
      <c r="K161">
        <v>5061</v>
      </c>
      <c r="L161" s="2">
        <v>3.8199999999999998E-2</v>
      </c>
      <c r="M161">
        <v>0.09</v>
      </c>
      <c r="N161" s="2">
        <v>0.49320019999999998</v>
      </c>
      <c r="O161" s="2">
        <v>1.1619900000000001</v>
      </c>
    </row>
    <row r="162" spans="2:15">
      <c r="B162" t="s">
        <v>32</v>
      </c>
      <c r="C162" t="s">
        <v>31</v>
      </c>
      <c r="D162" t="s">
        <v>461</v>
      </c>
      <c r="E162" t="s">
        <v>462</v>
      </c>
      <c r="F162" t="s">
        <v>12</v>
      </c>
      <c r="G162" t="s">
        <v>461</v>
      </c>
      <c r="H162" t="s">
        <v>463</v>
      </c>
      <c r="I162" t="s">
        <v>27</v>
      </c>
      <c r="J162">
        <v>27271</v>
      </c>
      <c r="K162">
        <v>5080</v>
      </c>
      <c r="L162" s="2">
        <v>3.8199999999999998E-2</v>
      </c>
      <c r="M162">
        <v>0.09</v>
      </c>
      <c r="N162" s="2">
        <v>1.0417521999999999</v>
      </c>
      <c r="O162" s="2">
        <v>2.4543900000000001</v>
      </c>
    </row>
    <row r="163" spans="2:15">
      <c r="B163" t="s">
        <v>32</v>
      </c>
      <c r="C163" t="s">
        <v>31</v>
      </c>
      <c r="D163" t="s">
        <v>464</v>
      </c>
      <c r="E163" t="s">
        <v>465</v>
      </c>
      <c r="F163" t="s">
        <v>10</v>
      </c>
      <c r="G163" t="s">
        <v>464</v>
      </c>
      <c r="H163" t="s">
        <v>466</v>
      </c>
      <c r="I163" t="s">
        <v>27</v>
      </c>
      <c r="J163">
        <v>452</v>
      </c>
      <c r="K163">
        <v>8858</v>
      </c>
      <c r="L163" s="2">
        <v>3.5000000000000001E-3</v>
      </c>
      <c r="M163">
        <v>0.02</v>
      </c>
      <c r="N163" s="2">
        <v>31.003</v>
      </c>
      <c r="O163" s="2">
        <v>177.16</v>
      </c>
    </row>
    <row r="164" spans="2:15">
      <c r="B164" t="s">
        <v>32</v>
      </c>
      <c r="C164" t="s">
        <v>68</v>
      </c>
      <c r="D164" t="s">
        <v>467</v>
      </c>
      <c r="E164" t="s">
        <v>468</v>
      </c>
      <c r="F164" t="s">
        <v>12</v>
      </c>
      <c r="G164" t="s">
        <v>467</v>
      </c>
      <c r="H164" t="s">
        <v>469</v>
      </c>
      <c r="I164" t="s">
        <v>26</v>
      </c>
      <c r="J164">
        <v>65545</v>
      </c>
      <c r="K164">
        <v>50</v>
      </c>
      <c r="L164" s="2">
        <v>3.8199999999999998E-2</v>
      </c>
      <c r="M164">
        <v>0.09</v>
      </c>
      <c r="N164" s="2">
        <v>2.503819</v>
      </c>
      <c r="O164" s="2">
        <v>5.8990499999999999</v>
      </c>
    </row>
    <row r="165" spans="2:15">
      <c r="B165" t="s">
        <v>32</v>
      </c>
      <c r="C165" t="s">
        <v>68</v>
      </c>
      <c r="D165" t="s">
        <v>470</v>
      </c>
      <c r="E165" t="s">
        <v>471</v>
      </c>
      <c r="F165" t="s">
        <v>12</v>
      </c>
      <c r="G165" t="s">
        <v>470</v>
      </c>
      <c r="H165" t="s">
        <v>472</v>
      </c>
      <c r="I165" t="s">
        <v>26</v>
      </c>
      <c r="J165">
        <v>46690</v>
      </c>
      <c r="K165">
        <v>19</v>
      </c>
      <c r="L165" s="2">
        <v>3.8199999999999998E-2</v>
      </c>
      <c r="M165">
        <v>0.09</v>
      </c>
      <c r="N165" s="2">
        <v>1.783558</v>
      </c>
      <c r="O165" s="2">
        <v>4.2020999999999997</v>
      </c>
    </row>
    <row r="166" spans="2:15">
      <c r="B166" t="s">
        <v>32</v>
      </c>
      <c r="C166" t="s">
        <v>68</v>
      </c>
      <c r="D166" t="s">
        <v>473</v>
      </c>
      <c r="E166" t="s">
        <v>474</v>
      </c>
      <c r="F166" t="s">
        <v>12</v>
      </c>
      <c r="G166" t="s">
        <v>473</v>
      </c>
      <c r="H166" t="s">
        <v>475</v>
      </c>
      <c r="I166" t="s">
        <v>26</v>
      </c>
      <c r="J166">
        <v>1183054</v>
      </c>
      <c r="K166">
        <v>1296</v>
      </c>
      <c r="L166" s="2">
        <v>3.8199999999999998E-2</v>
      </c>
      <c r="M166">
        <v>0.09</v>
      </c>
      <c r="N166" s="2">
        <v>45.192662800000001</v>
      </c>
      <c r="O166" s="2">
        <v>106.47486000000001</v>
      </c>
    </row>
    <row r="167" spans="2:15">
      <c r="B167" t="s">
        <v>32</v>
      </c>
      <c r="C167" t="s">
        <v>42</v>
      </c>
      <c r="D167" t="s">
        <v>508</v>
      </c>
      <c r="E167" t="s">
        <v>509</v>
      </c>
      <c r="F167" t="s">
        <v>12</v>
      </c>
      <c r="G167" t="s">
        <v>508</v>
      </c>
      <c r="H167" t="s">
        <v>510</v>
      </c>
      <c r="I167" t="s">
        <v>26</v>
      </c>
      <c r="J167">
        <v>11</v>
      </c>
      <c r="K167">
        <v>0</v>
      </c>
      <c r="L167" s="2">
        <v>3.8199999999999998E-2</v>
      </c>
      <c r="M167">
        <v>0.09</v>
      </c>
      <c r="N167" s="2">
        <v>4.2019999999999997E-4</v>
      </c>
      <c r="O167" s="2">
        <v>9.8999999999999999E-4</v>
      </c>
    </row>
    <row r="168" spans="2:15">
      <c r="B168" t="s">
        <v>32</v>
      </c>
      <c r="C168" t="s">
        <v>42</v>
      </c>
      <c r="D168" t="s">
        <v>114</v>
      </c>
      <c r="E168" t="s">
        <v>115</v>
      </c>
      <c r="F168" t="s">
        <v>10</v>
      </c>
      <c r="G168" t="s">
        <v>114</v>
      </c>
      <c r="H168" t="s">
        <v>116</v>
      </c>
      <c r="I168" t="s">
        <v>27</v>
      </c>
      <c r="J168">
        <v>0</v>
      </c>
      <c r="K168">
        <v>6</v>
      </c>
      <c r="L168" s="2">
        <v>3.5000000000000001E-3</v>
      </c>
      <c r="M168">
        <v>0.02</v>
      </c>
      <c r="N168" s="2">
        <v>2.1000000000000001E-2</v>
      </c>
      <c r="O168" s="2">
        <v>0.12</v>
      </c>
    </row>
    <row r="169" spans="2:15">
      <c r="B169" t="s">
        <v>32</v>
      </c>
      <c r="C169" t="s">
        <v>36</v>
      </c>
      <c r="D169" t="s">
        <v>117</v>
      </c>
      <c r="E169" t="s">
        <v>118</v>
      </c>
      <c r="F169" t="s">
        <v>12</v>
      </c>
      <c r="G169" t="s">
        <v>117</v>
      </c>
      <c r="H169" t="s">
        <v>119</v>
      </c>
      <c r="I169" t="s">
        <v>26</v>
      </c>
      <c r="J169">
        <v>1370</v>
      </c>
      <c r="K169">
        <v>7</v>
      </c>
      <c r="L169" s="2">
        <v>3.8199999999999998E-2</v>
      </c>
      <c r="M169">
        <v>0.09</v>
      </c>
      <c r="N169" s="2">
        <v>5.2333999999999999E-2</v>
      </c>
      <c r="O169" s="2">
        <v>0.12329999999999999</v>
      </c>
    </row>
    <row r="170" spans="2:15">
      <c r="B170" t="s">
        <v>32</v>
      </c>
      <c r="C170" t="s">
        <v>36</v>
      </c>
      <c r="D170" t="s">
        <v>476</v>
      </c>
      <c r="E170" t="s">
        <v>477</v>
      </c>
      <c r="F170" t="s">
        <v>12</v>
      </c>
      <c r="G170" t="s">
        <v>476</v>
      </c>
      <c r="H170" t="s">
        <v>478</v>
      </c>
      <c r="I170" t="s">
        <v>26</v>
      </c>
      <c r="J170">
        <v>7503</v>
      </c>
      <c r="K170">
        <v>7</v>
      </c>
      <c r="L170" s="2">
        <v>3.8199999999999998E-2</v>
      </c>
      <c r="M170">
        <v>0.09</v>
      </c>
      <c r="N170" s="2">
        <v>0.2866146</v>
      </c>
      <c r="O170" s="2">
        <v>0.67527000000000004</v>
      </c>
    </row>
    <row r="171" spans="2:15">
      <c r="B171" t="s">
        <v>32</v>
      </c>
      <c r="C171" t="s">
        <v>36</v>
      </c>
      <c r="D171" t="s">
        <v>120</v>
      </c>
      <c r="E171" t="s">
        <v>121</v>
      </c>
      <c r="F171" t="s">
        <v>12</v>
      </c>
      <c r="G171" t="s">
        <v>120</v>
      </c>
      <c r="H171" t="s">
        <v>122</v>
      </c>
      <c r="I171" t="s">
        <v>26</v>
      </c>
      <c r="J171">
        <v>1920</v>
      </c>
      <c r="K171">
        <v>14</v>
      </c>
      <c r="L171" s="2">
        <v>3.8199999999999998E-2</v>
      </c>
      <c r="M171">
        <v>0.09</v>
      </c>
      <c r="N171" s="2">
        <v>7.3343999999999993E-2</v>
      </c>
      <c r="O171" s="2">
        <v>0.17279999999999998</v>
      </c>
    </row>
    <row r="172" spans="2:15">
      <c r="B172" t="s">
        <v>32</v>
      </c>
      <c r="C172" t="s">
        <v>36</v>
      </c>
      <c r="D172" t="s">
        <v>479</v>
      </c>
      <c r="E172" t="s">
        <v>480</v>
      </c>
      <c r="F172" t="s">
        <v>12</v>
      </c>
      <c r="G172" t="s">
        <v>479</v>
      </c>
      <c r="H172" t="s">
        <v>481</v>
      </c>
      <c r="I172" t="s">
        <v>26</v>
      </c>
      <c r="J172">
        <v>541640</v>
      </c>
      <c r="K172">
        <v>849</v>
      </c>
      <c r="L172" s="2">
        <v>3.8199999999999998E-2</v>
      </c>
      <c r="M172">
        <v>0.09</v>
      </c>
      <c r="N172" s="2">
        <v>20.690647999999996</v>
      </c>
      <c r="O172" s="2">
        <v>48.747599999999998</v>
      </c>
    </row>
    <row r="173" spans="2:15">
      <c r="B173" t="s">
        <v>32</v>
      </c>
      <c r="C173" t="s">
        <v>123</v>
      </c>
      <c r="D173" t="s">
        <v>182</v>
      </c>
      <c r="E173" t="s">
        <v>183</v>
      </c>
      <c r="F173" t="s">
        <v>12</v>
      </c>
      <c r="G173" t="s">
        <v>182</v>
      </c>
      <c r="H173" t="s">
        <v>184</v>
      </c>
      <c r="I173" t="s">
        <v>26</v>
      </c>
      <c r="J173">
        <v>36</v>
      </c>
      <c r="K173">
        <v>0</v>
      </c>
      <c r="L173" s="2">
        <v>3.8199999999999998E-2</v>
      </c>
      <c r="M173">
        <v>0.09</v>
      </c>
      <c r="N173" s="2">
        <v>1.3752E-3</v>
      </c>
      <c r="O173" s="2">
        <v>3.2399999999999998E-3</v>
      </c>
    </row>
    <row r="174" spans="2:15">
      <c r="B174" t="s">
        <v>32</v>
      </c>
      <c r="C174" t="s">
        <v>123</v>
      </c>
      <c r="D174" t="s">
        <v>185</v>
      </c>
      <c r="E174" t="s">
        <v>186</v>
      </c>
      <c r="F174" t="s">
        <v>12</v>
      </c>
      <c r="G174" t="s">
        <v>185</v>
      </c>
      <c r="H174" t="s">
        <v>187</v>
      </c>
      <c r="I174" t="s">
        <v>26</v>
      </c>
      <c r="J174">
        <v>63</v>
      </c>
      <c r="K174">
        <v>1</v>
      </c>
      <c r="L174" s="2">
        <v>3.8199999999999998E-2</v>
      </c>
      <c r="M174">
        <v>0.09</v>
      </c>
      <c r="N174" s="2">
        <v>2.4066000000000001E-3</v>
      </c>
      <c r="O174" s="2">
        <v>5.6699999999999997E-3</v>
      </c>
    </row>
    <row r="175" spans="2:15">
      <c r="B175" t="s">
        <v>32</v>
      </c>
      <c r="C175" t="s">
        <v>123</v>
      </c>
      <c r="D175" t="s">
        <v>511</v>
      </c>
      <c r="E175" t="s">
        <v>512</v>
      </c>
      <c r="F175" t="s">
        <v>12</v>
      </c>
      <c r="G175" t="s">
        <v>511</v>
      </c>
      <c r="H175" t="s">
        <v>513</v>
      </c>
      <c r="I175" t="s">
        <v>26</v>
      </c>
      <c r="J175">
        <v>17</v>
      </c>
      <c r="K175">
        <v>0</v>
      </c>
      <c r="L175" s="2">
        <v>3.8199999999999998E-2</v>
      </c>
      <c r="M175">
        <v>0.09</v>
      </c>
      <c r="N175" s="2">
        <v>6.4939999999999996E-4</v>
      </c>
      <c r="O175" s="2">
        <v>1.5300000000000001E-3</v>
      </c>
    </row>
    <row r="176" spans="2:15">
      <c r="L176" s="2"/>
      <c r="N176" s="2"/>
      <c r="O176" s="2"/>
    </row>
    <row r="177" spans="12:15">
      <c r="L177" s="2"/>
      <c r="N177" s="2"/>
      <c r="O177" s="2"/>
    </row>
    <row r="178" spans="12:15">
      <c r="L178" s="2"/>
      <c r="N178" s="2"/>
      <c r="O178" s="2"/>
    </row>
    <row r="179" spans="12:15">
      <c r="L179" s="2"/>
      <c r="N179" s="2"/>
      <c r="O179" s="2"/>
    </row>
    <row r="180" spans="12:15">
      <c r="L180" s="2"/>
      <c r="N180" s="2"/>
      <c r="O180" s="2"/>
    </row>
    <row r="181" spans="12:15">
      <c r="L181" s="2"/>
      <c r="N181" s="2"/>
      <c r="O181" s="2"/>
    </row>
    <row r="182" spans="12:15">
      <c r="L182" s="2"/>
      <c r="N182" s="2"/>
      <c r="O182" s="2"/>
    </row>
    <row r="183" spans="12:15">
      <c r="L183" s="2"/>
      <c r="N183" s="2"/>
      <c r="O183" s="2"/>
    </row>
    <row r="184" spans="12:15">
      <c r="L184" s="2"/>
      <c r="N184" s="2"/>
      <c r="O184" s="2"/>
    </row>
    <row r="185" spans="12:15">
      <c r="L185" s="2"/>
      <c r="N185" s="2"/>
      <c r="O185" s="2"/>
    </row>
    <row r="186" spans="12:15">
      <c r="L186" s="2"/>
      <c r="N186" s="2"/>
      <c r="O186" s="2"/>
    </row>
    <row r="187" spans="12:15">
      <c r="L187" s="2"/>
      <c r="N187" s="2"/>
      <c r="O187" s="2"/>
    </row>
    <row r="188" spans="12:15">
      <c r="L188" s="2"/>
      <c r="N188" s="2"/>
      <c r="O188" s="2"/>
    </row>
    <row r="189" spans="12:15">
      <c r="L189" s="2"/>
      <c r="N189" s="2"/>
      <c r="O189" s="2"/>
    </row>
    <row r="190" spans="12:15">
      <c r="L190" s="2"/>
      <c r="N190" s="2"/>
      <c r="O190" s="2"/>
    </row>
    <row r="191" spans="12:15">
      <c r="L191" s="2"/>
      <c r="N191" s="2"/>
      <c r="O191" s="2"/>
    </row>
    <row r="192" spans="12:15">
      <c r="L192" s="2"/>
      <c r="N192" s="2"/>
      <c r="O192" s="2"/>
    </row>
    <row r="193" spans="12:15">
      <c r="L193" s="2"/>
      <c r="N193" s="2"/>
      <c r="O193" s="2"/>
    </row>
    <row r="194" spans="12:15">
      <c r="L194" s="2"/>
      <c r="N194" s="2"/>
      <c r="O194" s="2"/>
    </row>
    <row r="195" spans="12:15">
      <c r="L195" s="2"/>
      <c r="N195" s="2"/>
      <c r="O195" s="2"/>
    </row>
    <row r="196" spans="12:15">
      <c r="L196" s="2"/>
      <c r="N196" s="2"/>
      <c r="O196" s="2"/>
    </row>
    <row r="197" spans="12:15">
      <c r="L197" s="2"/>
      <c r="N197" s="2"/>
      <c r="O197" s="2"/>
    </row>
    <row r="198" spans="12:15">
      <c r="L198" s="2"/>
      <c r="N198" s="2"/>
      <c r="O198" s="2"/>
    </row>
    <row r="199" spans="12:15">
      <c r="L199" s="2"/>
      <c r="N199" s="2"/>
      <c r="O199" s="2"/>
    </row>
    <row r="200" spans="12:15">
      <c r="L200" s="2"/>
      <c r="N200" s="2"/>
      <c r="O200" s="2"/>
    </row>
    <row r="201" spans="12:15">
      <c r="L201" s="2"/>
      <c r="N201" s="2"/>
      <c r="O201" s="2"/>
    </row>
    <row r="202" spans="12:15">
      <c r="L202" s="2"/>
      <c r="N202" s="2"/>
      <c r="O202" s="2"/>
    </row>
    <row r="203" spans="12:15">
      <c r="L203" s="2"/>
      <c r="N203" s="2"/>
      <c r="O203" s="2"/>
    </row>
    <row r="204" spans="12:15">
      <c r="L204" s="2"/>
      <c r="N204" s="2"/>
      <c r="O204" s="2"/>
    </row>
    <row r="205" spans="12:15">
      <c r="L205" s="2"/>
      <c r="N205" s="2"/>
      <c r="O205" s="2"/>
    </row>
    <row r="206" spans="12:15">
      <c r="L206" s="2"/>
      <c r="N206" s="2"/>
      <c r="O206" s="2"/>
    </row>
    <row r="207" spans="12:15">
      <c r="L207" s="2"/>
      <c r="N207" s="2"/>
      <c r="O207" s="2"/>
    </row>
    <row r="208" spans="12:15">
      <c r="L208" s="2"/>
      <c r="N208" s="2"/>
      <c r="O208" s="2"/>
    </row>
    <row r="209" spans="12:15">
      <c r="L209" s="2"/>
      <c r="N209" s="2"/>
      <c r="O209" s="2"/>
    </row>
    <row r="210" spans="12:15">
      <c r="L210" s="2"/>
      <c r="N210" s="2"/>
      <c r="O210" s="2"/>
    </row>
    <row r="211" spans="12:15">
      <c r="L211" s="2"/>
      <c r="N211" s="2"/>
      <c r="O211" s="2"/>
    </row>
    <row r="212" spans="12:15">
      <c r="L212" s="2"/>
      <c r="N212" s="2"/>
      <c r="O212" s="2"/>
    </row>
    <row r="213" spans="12:15">
      <c r="L213" s="2"/>
      <c r="N213" s="2"/>
      <c r="O213" s="2"/>
    </row>
    <row r="214" spans="12:15">
      <c r="L214" s="2"/>
      <c r="N214" s="2"/>
      <c r="O214" s="2"/>
    </row>
    <row r="215" spans="12:15">
      <c r="L215" s="2"/>
      <c r="N215" s="2"/>
      <c r="O215" s="2"/>
    </row>
    <row r="216" spans="12:15">
      <c r="L216" s="2"/>
      <c r="N216" s="2"/>
      <c r="O216" s="2"/>
    </row>
    <row r="217" spans="12:15">
      <c r="L217" s="2"/>
      <c r="N217" s="2"/>
      <c r="O217" s="2"/>
    </row>
    <row r="218" spans="12:15">
      <c r="L218" s="2"/>
      <c r="N218" s="2"/>
      <c r="O218" s="2"/>
    </row>
    <row r="219" spans="12:15">
      <c r="L219" s="2"/>
      <c r="N219" s="2"/>
      <c r="O219" s="2"/>
    </row>
    <row r="220" spans="12:15">
      <c r="L220" s="2"/>
      <c r="N220" s="2"/>
      <c r="O220" s="2"/>
    </row>
    <row r="221" spans="12:15">
      <c r="L221" s="2"/>
      <c r="N221" s="2"/>
      <c r="O221" s="2"/>
    </row>
    <row r="222" spans="12:15">
      <c r="L222" s="2"/>
      <c r="N222" s="2"/>
      <c r="O222" s="2"/>
    </row>
    <row r="223" spans="12:15">
      <c r="L223" s="2"/>
      <c r="N223" s="2"/>
      <c r="O223" s="2"/>
    </row>
    <row r="224" spans="12:15">
      <c r="L224" s="2"/>
      <c r="N224" s="2"/>
      <c r="O224" s="2"/>
    </row>
    <row r="225" spans="12:15">
      <c r="L225" s="2"/>
      <c r="N225" s="2"/>
      <c r="O225" s="2"/>
    </row>
    <row r="226" spans="12:15">
      <c r="L226" s="2"/>
      <c r="N226" s="2"/>
      <c r="O226" s="2"/>
    </row>
    <row r="227" spans="12:15">
      <c r="L227" s="2"/>
      <c r="N227" s="2"/>
      <c r="O227" s="2"/>
    </row>
    <row r="228" spans="12:15">
      <c r="L228" s="2"/>
      <c r="N228" s="2"/>
      <c r="O228" s="2"/>
    </row>
    <row r="229" spans="12:15">
      <c r="L229" s="2"/>
      <c r="N229" s="2"/>
      <c r="O229" s="2"/>
    </row>
    <row r="230" spans="12:15">
      <c r="L230" s="2"/>
      <c r="N230" s="2"/>
      <c r="O230" s="2"/>
    </row>
    <row r="231" spans="12:15">
      <c r="L231" s="2"/>
      <c r="N231" s="2"/>
      <c r="O231" s="2"/>
    </row>
    <row r="232" spans="12:15">
      <c r="L232" s="2"/>
      <c r="N232" s="2"/>
      <c r="O232" s="2"/>
    </row>
    <row r="233" spans="12:15">
      <c r="L233" s="2"/>
      <c r="N233" s="2"/>
      <c r="O233" s="2"/>
    </row>
    <row r="234" spans="12:15">
      <c r="L234" s="2"/>
      <c r="N234" s="2"/>
      <c r="O234" s="2"/>
    </row>
    <row r="235" spans="12:15">
      <c r="L235" s="2"/>
      <c r="N235" s="2"/>
      <c r="O235" s="2"/>
    </row>
    <row r="236" spans="12:15">
      <c r="L236" s="2"/>
      <c r="N236" s="2"/>
      <c r="O236" s="2"/>
    </row>
    <row r="237" spans="12:15">
      <c r="L237" s="2"/>
      <c r="N237" s="2"/>
      <c r="O237" s="2"/>
    </row>
    <row r="238" spans="12:15">
      <c r="L238" s="2"/>
      <c r="N238" s="2"/>
      <c r="O238" s="2"/>
    </row>
    <row r="239" spans="12:15">
      <c r="L239" s="2"/>
      <c r="N239" s="2"/>
      <c r="O239" s="2"/>
    </row>
    <row r="240" spans="12:15">
      <c r="L240" s="2"/>
      <c r="N240" s="2"/>
      <c r="O240" s="2"/>
    </row>
    <row r="241" spans="12:15">
      <c r="L241" s="2"/>
      <c r="N241" s="2"/>
      <c r="O241" s="2"/>
    </row>
    <row r="242" spans="12:15">
      <c r="L242" s="2"/>
      <c r="N242" s="2"/>
      <c r="O242" s="2"/>
    </row>
    <row r="243" spans="12:15">
      <c r="L243" s="2"/>
      <c r="N243" s="2"/>
      <c r="O243" s="2"/>
    </row>
    <row r="244" spans="12:15">
      <c r="L244" s="2"/>
      <c r="N244" s="2"/>
      <c r="O244" s="2"/>
    </row>
    <row r="245" spans="12:15">
      <c r="L245" s="2"/>
      <c r="N245" s="2"/>
      <c r="O245" s="2"/>
    </row>
    <row r="246" spans="12:15">
      <c r="L246" s="2"/>
      <c r="N246" s="2"/>
      <c r="O246" s="2"/>
    </row>
    <row r="247" spans="12:15">
      <c r="L247" s="2"/>
      <c r="N247" s="2"/>
      <c r="O247" s="2"/>
    </row>
    <row r="248" spans="12:15">
      <c r="L248" s="2"/>
      <c r="N248" s="2"/>
      <c r="O248" s="2"/>
    </row>
    <row r="249" spans="12:15">
      <c r="L249" s="2"/>
      <c r="N249" s="2"/>
      <c r="O249" s="2"/>
    </row>
    <row r="250" spans="12:15">
      <c r="L250" s="2"/>
      <c r="N250" s="2"/>
      <c r="O250" s="2"/>
    </row>
    <row r="251" spans="12:15">
      <c r="L251" s="2"/>
      <c r="N251" s="2"/>
      <c r="O251" s="2"/>
    </row>
    <row r="252" spans="12:15">
      <c r="L252" s="2"/>
      <c r="N252" s="2"/>
      <c r="O252" s="2"/>
    </row>
    <row r="253" spans="12:15">
      <c r="L253" s="2"/>
      <c r="N253" s="2"/>
      <c r="O253" s="2"/>
    </row>
    <row r="254" spans="12:15">
      <c r="L254" s="2"/>
      <c r="N254" s="2"/>
      <c r="O254" s="2"/>
    </row>
    <row r="255" spans="12:15">
      <c r="L255" s="2"/>
      <c r="N255" s="2"/>
      <c r="O255" s="2"/>
    </row>
    <row r="256" spans="12:15">
      <c r="L256" s="2"/>
      <c r="N256" s="2"/>
      <c r="O256" s="2"/>
    </row>
    <row r="257" spans="12:15">
      <c r="L257" s="2"/>
      <c r="N257" s="2"/>
      <c r="O257" s="2"/>
    </row>
    <row r="258" spans="12:15">
      <c r="L258" s="2"/>
      <c r="N258" s="2"/>
      <c r="O258" s="2"/>
    </row>
    <row r="259" spans="12:15">
      <c r="L259" s="2"/>
      <c r="N259" s="2"/>
      <c r="O259" s="2"/>
    </row>
    <row r="260" spans="12:15">
      <c r="L260" s="2"/>
      <c r="N260" s="2"/>
      <c r="O260" s="2"/>
    </row>
    <row r="261" spans="12:15">
      <c r="L261" s="2"/>
      <c r="N261" s="2"/>
      <c r="O261" s="2"/>
    </row>
    <row r="262" spans="12:15">
      <c r="L262" s="2"/>
      <c r="N262" s="2"/>
      <c r="O262" s="2"/>
    </row>
    <row r="263" spans="12:15">
      <c r="L263" s="2"/>
      <c r="N263" s="2"/>
      <c r="O263" s="2"/>
    </row>
    <row r="264" spans="12:15">
      <c r="L264" s="2"/>
      <c r="N264" s="2"/>
      <c r="O264" s="2"/>
    </row>
    <row r="265" spans="12:15">
      <c r="L265" s="2"/>
      <c r="N265" s="2"/>
      <c r="O265" s="2"/>
    </row>
    <row r="266" spans="12:15">
      <c r="L266" s="2"/>
      <c r="N266" s="2"/>
      <c r="O266" s="2"/>
    </row>
    <row r="267" spans="12:15">
      <c r="L267" s="2"/>
      <c r="N267" s="2"/>
      <c r="O267" s="2"/>
    </row>
    <row r="268" spans="12:15">
      <c r="L268" s="2"/>
      <c r="N268" s="2"/>
      <c r="O268" s="2"/>
    </row>
    <row r="269" spans="12:15">
      <c r="L269" s="2"/>
      <c r="N269" s="2"/>
      <c r="O269" s="2"/>
    </row>
    <row r="270" spans="12:15">
      <c r="L270" s="2"/>
      <c r="N270" s="2"/>
      <c r="O270" s="2"/>
    </row>
    <row r="271" spans="12:15">
      <c r="L271" s="2"/>
      <c r="N271" s="2"/>
      <c r="O271" s="2"/>
    </row>
    <row r="272" spans="12:15">
      <c r="L272" s="2"/>
      <c r="N272" s="2"/>
      <c r="O272" s="2"/>
    </row>
    <row r="273" spans="12:15">
      <c r="L273" s="2"/>
      <c r="N273" s="2"/>
      <c r="O273" s="2"/>
    </row>
    <row r="274" spans="12:15">
      <c r="L274" s="2"/>
      <c r="N274" s="2"/>
      <c r="O274" s="2"/>
    </row>
    <row r="275" spans="12:15">
      <c r="L275" s="2"/>
      <c r="N275" s="2"/>
      <c r="O275" s="2"/>
    </row>
    <row r="276" spans="12:15">
      <c r="L276" s="2"/>
      <c r="N276" s="2"/>
      <c r="O276" s="2"/>
    </row>
    <row r="277" spans="12:15">
      <c r="L277" s="2"/>
      <c r="N277" s="2"/>
      <c r="O277" s="2"/>
    </row>
    <row r="278" spans="12:15">
      <c r="L278" s="2"/>
      <c r="N278" s="2"/>
      <c r="O278" s="2"/>
    </row>
    <row r="279" spans="12:15">
      <c r="N279" s="3"/>
      <c r="O279" s="3"/>
    </row>
    <row r="280" spans="12:15">
      <c r="N280" s="3"/>
      <c r="O280" s="3"/>
    </row>
    <row r="281" spans="12:15">
      <c r="L281" s="2"/>
      <c r="N281" s="2"/>
      <c r="O281" s="2"/>
    </row>
    <row r="282" spans="12:15">
      <c r="L282" s="2"/>
      <c r="N282" s="2"/>
      <c r="O282" s="2"/>
    </row>
    <row r="283" spans="12:15">
      <c r="L283" s="2"/>
      <c r="N283" s="2"/>
      <c r="O283" s="2"/>
    </row>
    <row r="284" spans="12:15">
      <c r="N284" s="3"/>
      <c r="O284" s="3"/>
    </row>
    <row r="285" spans="12:15">
      <c r="N285" s="3"/>
      <c r="O285" s="3"/>
    </row>
    <row r="286" spans="12:15">
      <c r="L286" s="2"/>
      <c r="N286" s="2"/>
      <c r="O286" s="2"/>
    </row>
    <row r="287" spans="12:15">
      <c r="L287" s="2"/>
      <c r="N287" s="2"/>
      <c r="O287" s="2"/>
    </row>
    <row r="288" spans="12:15">
      <c r="L288" s="2"/>
      <c r="N288" s="2"/>
      <c r="O288" s="2"/>
    </row>
    <row r="289" spans="12:15">
      <c r="L289" s="2"/>
      <c r="N289" s="2"/>
      <c r="O289" s="2"/>
    </row>
    <row r="290" spans="12:15">
      <c r="L290" s="2"/>
      <c r="N290" s="2"/>
      <c r="O290" s="2"/>
    </row>
    <row r="291" spans="12:15">
      <c r="L291" s="2"/>
      <c r="N291" s="2"/>
      <c r="O291" s="2"/>
    </row>
    <row r="292" spans="12:15">
      <c r="L292" s="2"/>
      <c r="N292" s="2"/>
      <c r="O292" s="2"/>
    </row>
    <row r="293" spans="12:15">
      <c r="L293" s="2"/>
      <c r="N293" s="2"/>
      <c r="O293" s="2"/>
    </row>
    <row r="294" spans="12:15">
      <c r="L294" s="2"/>
      <c r="N294" s="2"/>
      <c r="O294" s="2"/>
    </row>
    <row r="295" spans="12:15">
      <c r="L295" s="2"/>
      <c r="N295" s="2"/>
      <c r="O295" s="2"/>
    </row>
    <row r="296" spans="12:15">
      <c r="L296" s="2"/>
      <c r="N296" s="2"/>
      <c r="O296" s="2"/>
    </row>
    <row r="297" spans="12:15">
      <c r="L297" s="2"/>
      <c r="N297" s="2"/>
      <c r="O297" s="2"/>
    </row>
    <row r="298" spans="12:15">
      <c r="L298" s="2"/>
      <c r="N298" s="2"/>
      <c r="O298" s="2"/>
    </row>
    <row r="299" spans="12:15">
      <c r="L299" s="2"/>
      <c r="N299" s="2"/>
      <c r="O299" s="2"/>
    </row>
    <row r="300" spans="12:15">
      <c r="L300" s="2"/>
      <c r="N300" s="2"/>
      <c r="O300" s="2"/>
    </row>
    <row r="301" spans="12:15">
      <c r="L301" s="2"/>
      <c r="N301" s="2"/>
      <c r="O301" s="2"/>
    </row>
    <row r="302" spans="12:15">
      <c r="L302" s="2"/>
      <c r="N302" s="2"/>
      <c r="O302" s="2"/>
    </row>
    <row r="303" spans="12:15">
      <c r="L303" s="2"/>
      <c r="N303" s="2"/>
      <c r="O303" s="2"/>
    </row>
    <row r="304" spans="12:15">
      <c r="L304" s="2"/>
      <c r="N304" s="2"/>
      <c r="O304" s="2"/>
    </row>
    <row r="305" spans="12:15">
      <c r="L305" s="2"/>
      <c r="N305" s="2"/>
      <c r="O305" s="2"/>
    </row>
    <row r="306" spans="12:15">
      <c r="L306" s="2"/>
      <c r="N306" s="2"/>
      <c r="O306" s="2"/>
    </row>
    <row r="307" spans="12:15">
      <c r="L307" s="2"/>
      <c r="N307" s="2"/>
      <c r="O307" s="2"/>
    </row>
    <row r="308" spans="12:15">
      <c r="L308" s="2"/>
      <c r="N308" s="2"/>
      <c r="O308" s="2"/>
    </row>
    <row r="309" spans="12:15">
      <c r="L309" s="2"/>
      <c r="N309" s="2"/>
      <c r="O309" s="2"/>
    </row>
    <row r="310" spans="12:15">
      <c r="L310" s="2"/>
      <c r="N310" s="2"/>
      <c r="O310" s="2"/>
    </row>
    <row r="311" spans="12:15">
      <c r="L311" s="2"/>
      <c r="N311" s="2"/>
      <c r="O311" s="2"/>
    </row>
    <row r="312" spans="12:15">
      <c r="L312" s="2"/>
      <c r="N312" s="2"/>
      <c r="O312" s="2"/>
    </row>
    <row r="313" spans="12:15">
      <c r="L313" s="2"/>
      <c r="N313" s="2"/>
      <c r="O313" s="2"/>
    </row>
    <row r="314" spans="12:15">
      <c r="L314" s="2"/>
      <c r="N314" s="2"/>
      <c r="O314" s="2"/>
    </row>
    <row r="315" spans="12:15">
      <c r="L315" s="2"/>
      <c r="N315" s="2"/>
      <c r="O315" s="2"/>
    </row>
    <row r="316" spans="12:15">
      <c r="L316" s="2"/>
      <c r="N316" s="2"/>
      <c r="O316" s="2"/>
    </row>
    <row r="317" spans="12:15">
      <c r="L317" s="2"/>
      <c r="N317" s="2"/>
      <c r="O317" s="2"/>
    </row>
    <row r="318" spans="12:15">
      <c r="L318" s="2"/>
      <c r="N318" s="2"/>
      <c r="O318" s="2"/>
    </row>
    <row r="319" spans="12:15">
      <c r="L319" s="2"/>
      <c r="N319" s="2"/>
      <c r="O319" s="2"/>
    </row>
    <row r="320" spans="12:15">
      <c r="L320" s="2"/>
      <c r="N320" s="2"/>
      <c r="O320" s="2"/>
    </row>
    <row r="321" spans="12:15">
      <c r="L321" s="2"/>
      <c r="N321" s="2"/>
      <c r="O321" s="2"/>
    </row>
    <row r="322" spans="12:15">
      <c r="L322" s="2"/>
      <c r="N322" s="2"/>
      <c r="O322" s="2"/>
    </row>
    <row r="323" spans="12:15">
      <c r="L323" s="2"/>
      <c r="N323" s="2"/>
      <c r="O323" s="2"/>
    </row>
    <row r="324" spans="12:15">
      <c r="L324" s="2"/>
      <c r="N324" s="2"/>
      <c r="O324" s="2"/>
    </row>
    <row r="325" spans="12:15">
      <c r="L325" s="2"/>
      <c r="N325" s="2"/>
      <c r="O325" s="2"/>
    </row>
    <row r="326" spans="12:15">
      <c r="L326" s="2"/>
      <c r="N326" s="2"/>
      <c r="O326" s="2"/>
    </row>
    <row r="327" spans="12:15">
      <c r="L327" s="2"/>
      <c r="N327" s="2"/>
      <c r="O327" s="2"/>
    </row>
    <row r="328" spans="12:15">
      <c r="L328" s="2"/>
      <c r="N328" s="2"/>
      <c r="O328" s="2"/>
    </row>
    <row r="329" spans="12:15">
      <c r="L329" s="2"/>
      <c r="N329" s="2"/>
      <c r="O329" s="2"/>
    </row>
    <row r="330" spans="12:15">
      <c r="L330" s="2"/>
      <c r="N330" s="2"/>
      <c r="O330" s="2"/>
    </row>
    <row r="331" spans="12:15">
      <c r="L331" s="2"/>
      <c r="N331" s="2"/>
      <c r="O331" s="2"/>
    </row>
    <row r="332" spans="12:15">
      <c r="L332" s="2"/>
      <c r="N332" s="2"/>
      <c r="O332" s="2"/>
    </row>
    <row r="333" spans="12:15">
      <c r="L333" s="2"/>
      <c r="N333" s="2"/>
      <c r="O333" s="2"/>
    </row>
    <row r="334" spans="12:15">
      <c r="L334" s="2"/>
      <c r="N334" s="2"/>
      <c r="O334" s="2"/>
    </row>
    <row r="335" spans="12:15">
      <c r="L335" s="2"/>
      <c r="N335" s="2"/>
      <c r="O335" s="2"/>
    </row>
    <row r="336" spans="12:15">
      <c r="L336" s="2"/>
      <c r="N336" s="2"/>
      <c r="O336" s="2"/>
    </row>
    <row r="337" spans="12:15">
      <c r="L337" s="2"/>
      <c r="N337" s="2"/>
      <c r="O337" s="2"/>
    </row>
    <row r="338" spans="12:15">
      <c r="L338" s="2"/>
      <c r="N338" s="2"/>
      <c r="O338" s="2"/>
    </row>
    <row r="339" spans="12:15">
      <c r="L339" s="2"/>
      <c r="N339" s="2"/>
      <c r="O339" s="2"/>
    </row>
    <row r="340" spans="12:15">
      <c r="L340" s="2"/>
      <c r="N340" s="2"/>
      <c r="O340" s="2"/>
    </row>
    <row r="341" spans="12:15">
      <c r="L341" s="2"/>
      <c r="N341" s="2"/>
      <c r="O341" s="2"/>
    </row>
    <row r="342" spans="12:15">
      <c r="L342" s="2"/>
      <c r="N342" s="2"/>
      <c r="O342" s="2"/>
    </row>
    <row r="343" spans="12:15">
      <c r="L343" s="2"/>
      <c r="N343" s="2"/>
      <c r="O343" s="2"/>
    </row>
    <row r="344" spans="12:15">
      <c r="L344" s="2"/>
      <c r="N344" s="2"/>
      <c r="O344" s="2"/>
    </row>
    <row r="345" spans="12:15">
      <c r="L345" s="2"/>
      <c r="N345" s="2"/>
      <c r="O345" s="2"/>
    </row>
    <row r="346" spans="12:15">
      <c r="L346" s="2"/>
      <c r="N346" s="2"/>
      <c r="O346" s="2"/>
    </row>
    <row r="347" spans="12:15">
      <c r="L347" s="2"/>
      <c r="N347" s="2"/>
      <c r="O347" s="2"/>
    </row>
    <row r="348" spans="12:15">
      <c r="L348" s="2"/>
      <c r="N348" s="2"/>
      <c r="O348" s="2"/>
    </row>
    <row r="349" spans="12:15">
      <c r="L349" s="2"/>
      <c r="N349" s="2"/>
      <c r="O349" s="2"/>
    </row>
    <row r="350" spans="12:15">
      <c r="L350" s="2"/>
      <c r="N350" s="2"/>
      <c r="O350" s="2"/>
    </row>
    <row r="351" spans="12:15">
      <c r="L351" s="2"/>
      <c r="N351" s="2"/>
      <c r="O351" s="2"/>
    </row>
    <row r="352" spans="12:15">
      <c r="L352" s="2"/>
      <c r="N352" s="2"/>
      <c r="O352" s="2"/>
    </row>
    <row r="353" spans="12:15">
      <c r="L353" s="2"/>
      <c r="N353" s="2"/>
      <c r="O353" s="2"/>
    </row>
    <row r="354" spans="12:15">
      <c r="L354" s="2"/>
      <c r="N354" s="2"/>
      <c r="O354" s="2"/>
    </row>
    <row r="355" spans="12:15">
      <c r="L355" s="2"/>
      <c r="N355" s="2"/>
      <c r="O355" s="2"/>
    </row>
    <row r="356" spans="12:15">
      <c r="L356" s="2"/>
      <c r="N356" s="2"/>
      <c r="O356" s="2"/>
    </row>
    <row r="357" spans="12:15">
      <c r="L357" s="2"/>
      <c r="N357" s="2"/>
      <c r="O357" s="2"/>
    </row>
    <row r="358" spans="12:15">
      <c r="L358" s="2"/>
      <c r="N358" s="2"/>
      <c r="O358" s="2"/>
    </row>
    <row r="359" spans="12:15">
      <c r="L359" s="2"/>
      <c r="N359" s="2"/>
      <c r="O359" s="2"/>
    </row>
    <row r="360" spans="12:15">
      <c r="L360" s="2"/>
      <c r="N360" s="2"/>
      <c r="O360" s="2"/>
    </row>
    <row r="361" spans="12:15">
      <c r="L361" s="2"/>
      <c r="N361" s="2"/>
      <c r="O361" s="2"/>
    </row>
    <row r="362" spans="12:15">
      <c r="L362" s="2"/>
      <c r="N362" s="2"/>
      <c r="O362" s="2"/>
    </row>
    <row r="363" spans="12:15">
      <c r="L363" s="2"/>
      <c r="N363" s="2"/>
      <c r="O363" s="2"/>
    </row>
    <row r="364" spans="12:15">
      <c r="L364" s="2"/>
      <c r="N364" s="2"/>
      <c r="O364" s="2"/>
    </row>
    <row r="365" spans="12:15">
      <c r="L365" s="2"/>
      <c r="N365" s="2"/>
      <c r="O365" s="2"/>
    </row>
    <row r="366" spans="12:15">
      <c r="L366" s="2"/>
      <c r="N366" s="2"/>
      <c r="O366" s="2"/>
    </row>
    <row r="367" spans="12:15">
      <c r="L367" s="2"/>
      <c r="N367" s="2"/>
      <c r="O367" s="2"/>
    </row>
    <row r="368" spans="12:15">
      <c r="L368" s="2"/>
      <c r="N368" s="2"/>
      <c r="O368" s="2"/>
    </row>
    <row r="369" spans="12:15">
      <c r="L369" s="2"/>
      <c r="N369" s="2"/>
      <c r="O369" s="2"/>
    </row>
    <row r="370" spans="12:15">
      <c r="L370" s="2"/>
      <c r="N370" s="2"/>
      <c r="O370" s="2"/>
    </row>
    <row r="371" spans="12:15">
      <c r="L371" s="2"/>
      <c r="N371" s="2"/>
      <c r="O371" s="2"/>
    </row>
    <row r="372" spans="12:15">
      <c r="L372" s="2"/>
      <c r="N372" s="2"/>
      <c r="O372" s="2"/>
    </row>
    <row r="373" spans="12:15">
      <c r="L373" s="2"/>
      <c r="N373" s="2"/>
      <c r="O373" s="2"/>
    </row>
    <row r="374" spans="12:15">
      <c r="L374" s="2"/>
      <c r="N374" s="2"/>
      <c r="O374" s="2"/>
    </row>
    <row r="375" spans="12:15">
      <c r="L375" s="2"/>
      <c r="N375" s="2"/>
      <c r="O375" s="2"/>
    </row>
    <row r="376" spans="12:15">
      <c r="L376" s="2"/>
      <c r="N376" s="2"/>
      <c r="O376" s="2"/>
    </row>
    <row r="377" spans="12:15">
      <c r="L377" s="2"/>
      <c r="N377" s="2"/>
      <c r="O377" s="2"/>
    </row>
    <row r="378" spans="12:15">
      <c r="L378" s="2"/>
      <c r="N378" s="2"/>
      <c r="O378" s="2"/>
    </row>
    <row r="379" spans="12:15">
      <c r="L379" s="2"/>
      <c r="N379" s="2"/>
      <c r="O379" s="2"/>
    </row>
    <row r="380" spans="12:15">
      <c r="L380" s="2"/>
      <c r="N380" s="2"/>
      <c r="O380" s="2"/>
    </row>
    <row r="381" spans="12:15">
      <c r="L381" s="2"/>
      <c r="N381" s="2"/>
      <c r="O381" s="2"/>
    </row>
    <row r="382" spans="12:15">
      <c r="L382" s="2"/>
      <c r="N382" s="2"/>
      <c r="O382" s="2"/>
    </row>
    <row r="383" spans="12:15">
      <c r="L383" s="2"/>
      <c r="N383" s="2"/>
      <c r="O383" s="2"/>
    </row>
    <row r="384" spans="12:15">
      <c r="L384" s="2"/>
      <c r="N384" s="2"/>
      <c r="O384" s="2"/>
    </row>
    <row r="385" spans="12:15">
      <c r="L385" s="2"/>
      <c r="N385" s="2"/>
      <c r="O385" s="2"/>
    </row>
    <row r="386" spans="12:15">
      <c r="L386" s="2"/>
      <c r="N386" s="2"/>
      <c r="O386" s="2"/>
    </row>
    <row r="387" spans="12:15">
      <c r="L387" s="2"/>
      <c r="N387" s="2"/>
      <c r="O387" s="2"/>
    </row>
    <row r="388" spans="12:15">
      <c r="L388" s="2"/>
      <c r="N388" s="2"/>
      <c r="O388" s="2"/>
    </row>
    <row r="389" spans="12:15">
      <c r="L389" s="2"/>
      <c r="N389" s="2"/>
      <c r="O389" s="2"/>
    </row>
    <row r="390" spans="12:15">
      <c r="L390" s="2"/>
      <c r="N390" s="2"/>
      <c r="O390" s="2"/>
    </row>
    <row r="391" spans="12:15">
      <c r="L391" s="2"/>
      <c r="N391" s="2"/>
      <c r="O391" s="2"/>
    </row>
    <row r="392" spans="12:15">
      <c r="L392" s="2"/>
      <c r="N392" s="2"/>
      <c r="O392" s="2"/>
    </row>
    <row r="393" spans="12:15">
      <c r="L393" s="2"/>
      <c r="N393" s="2"/>
      <c r="O393" s="2"/>
    </row>
    <row r="394" spans="12:15">
      <c r="L394" s="2"/>
      <c r="N394" s="2"/>
      <c r="O394" s="2"/>
    </row>
    <row r="395" spans="12:15">
      <c r="L395" s="2"/>
      <c r="N395" s="2"/>
      <c r="O395" s="2"/>
    </row>
    <row r="396" spans="12:15">
      <c r="L396" s="2"/>
      <c r="N396" s="2"/>
      <c r="O396" s="2"/>
    </row>
    <row r="397" spans="12:15">
      <c r="L397" s="2"/>
      <c r="N397" s="2"/>
      <c r="O397" s="2"/>
    </row>
    <row r="398" spans="12:15">
      <c r="L398" s="2"/>
      <c r="N398" s="2"/>
      <c r="O398" s="2"/>
    </row>
    <row r="399" spans="12:15">
      <c r="L399" s="2"/>
      <c r="N399" s="2"/>
      <c r="O399" s="2"/>
    </row>
    <row r="400" spans="12:15">
      <c r="L400" s="2"/>
      <c r="N400" s="2"/>
      <c r="O400" s="2"/>
    </row>
    <row r="401" spans="12:15">
      <c r="L401" s="2"/>
      <c r="N401" s="2"/>
      <c r="O401" s="2"/>
    </row>
    <row r="402" spans="12:15">
      <c r="L402" s="2"/>
      <c r="N402" s="2"/>
      <c r="O402" s="2"/>
    </row>
    <row r="403" spans="12:15">
      <c r="L403" s="2"/>
      <c r="N403" s="2"/>
      <c r="O403" s="2"/>
    </row>
    <row r="404" spans="12:15">
      <c r="L404" s="2"/>
      <c r="N404" s="2"/>
      <c r="O404" s="2"/>
    </row>
    <row r="405" spans="12:15">
      <c r="L405" s="2"/>
      <c r="N405" s="2"/>
      <c r="O405" s="2"/>
    </row>
    <row r="406" spans="12:15">
      <c r="L406" s="2"/>
      <c r="N406" s="2"/>
      <c r="O406" s="2"/>
    </row>
    <row r="407" spans="12:15">
      <c r="L407" s="2"/>
      <c r="N407" s="2"/>
      <c r="O407" s="2"/>
    </row>
    <row r="408" spans="12:15">
      <c r="L408" s="2"/>
      <c r="N408" s="2"/>
      <c r="O408" s="2"/>
    </row>
    <row r="409" spans="12:15">
      <c r="L409" s="2"/>
      <c r="N409" s="2"/>
      <c r="O409" s="2"/>
    </row>
    <row r="410" spans="12:15">
      <c r="L410" s="2"/>
      <c r="N410" s="2"/>
      <c r="O410" s="2"/>
    </row>
    <row r="411" spans="12:15">
      <c r="L411" s="2"/>
      <c r="N411" s="2"/>
      <c r="O411" s="2"/>
    </row>
    <row r="412" spans="12:15">
      <c r="L412" s="2"/>
      <c r="N412" s="2"/>
      <c r="O412" s="2"/>
    </row>
    <row r="413" spans="12:15">
      <c r="L413" s="2"/>
      <c r="N413" s="2"/>
      <c r="O413" s="2"/>
    </row>
    <row r="414" spans="12:15">
      <c r="L414" s="2"/>
      <c r="N414" s="2"/>
      <c r="O414" s="2"/>
    </row>
    <row r="415" spans="12:15">
      <c r="L415" s="2"/>
      <c r="N415" s="2"/>
      <c r="O415" s="2"/>
    </row>
    <row r="416" spans="12:15">
      <c r="L416" s="2"/>
      <c r="N416" s="2"/>
      <c r="O416" s="2"/>
    </row>
    <row r="417" spans="12:15">
      <c r="L417" s="2"/>
      <c r="N417" s="2"/>
      <c r="O417" s="2"/>
    </row>
    <row r="418" spans="12:15">
      <c r="L418" s="2"/>
      <c r="N418" s="2"/>
      <c r="O418" s="2"/>
    </row>
    <row r="419" spans="12:15">
      <c r="L419" s="2"/>
      <c r="N419" s="2"/>
      <c r="O419" s="2"/>
    </row>
    <row r="420" spans="12:15">
      <c r="L420" s="2"/>
      <c r="N420" s="2"/>
      <c r="O420" s="2"/>
    </row>
    <row r="421" spans="12:15">
      <c r="L421" s="2"/>
      <c r="N421" s="2"/>
      <c r="O421" s="2"/>
    </row>
    <row r="422" spans="12:15">
      <c r="L422" s="2"/>
      <c r="N422" s="2"/>
      <c r="O422" s="2"/>
    </row>
    <row r="423" spans="12:15">
      <c r="L423" s="2"/>
      <c r="N423" s="2"/>
      <c r="O423" s="2"/>
    </row>
    <row r="424" spans="12:15">
      <c r="L424" s="2"/>
      <c r="N424" s="2"/>
      <c r="O424" s="2"/>
    </row>
    <row r="425" spans="12:15">
      <c r="L425" s="2"/>
      <c r="N425" s="2"/>
      <c r="O425" s="2"/>
    </row>
    <row r="426" spans="12:15">
      <c r="L426" s="2"/>
      <c r="N426" s="2"/>
      <c r="O426" s="2"/>
    </row>
    <row r="427" spans="12:15">
      <c r="L427" s="2"/>
      <c r="N427" s="2"/>
      <c r="O427" s="2"/>
    </row>
    <row r="428" spans="12:15">
      <c r="L428" s="2"/>
      <c r="N428" s="2"/>
      <c r="O428" s="2"/>
    </row>
    <row r="429" spans="12:15">
      <c r="L429" s="2"/>
      <c r="N429" s="2"/>
      <c r="O429" s="2"/>
    </row>
    <row r="430" spans="12:15">
      <c r="L430" s="2"/>
      <c r="N430" s="2"/>
      <c r="O430" s="2"/>
    </row>
    <row r="431" spans="12:15">
      <c r="L431" s="2"/>
      <c r="N431" s="2"/>
      <c r="O431" s="2"/>
    </row>
    <row r="432" spans="12:15">
      <c r="L432" s="2"/>
      <c r="N432" s="2"/>
      <c r="O432" s="2"/>
    </row>
    <row r="433" spans="12:15">
      <c r="L433" s="2"/>
      <c r="N433" s="2"/>
      <c r="O433" s="2"/>
    </row>
    <row r="434" spans="12:15">
      <c r="L434" s="2"/>
      <c r="N434" s="2"/>
      <c r="O434" s="2"/>
    </row>
    <row r="435" spans="12:15">
      <c r="L435" s="2"/>
      <c r="N435" s="2"/>
      <c r="O435" s="2"/>
    </row>
    <row r="436" spans="12:15">
      <c r="L436" s="2"/>
      <c r="N436" s="2"/>
      <c r="O436" s="2"/>
    </row>
    <row r="437" spans="12:15">
      <c r="L437" s="2"/>
      <c r="N437" s="2"/>
      <c r="O437" s="2"/>
    </row>
    <row r="438" spans="12:15">
      <c r="L438" s="2"/>
      <c r="N438" s="2"/>
      <c r="O438" s="2"/>
    </row>
    <row r="439" spans="12:15">
      <c r="L439" s="2"/>
      <c r="N439" s="2"/>
      <c r="O439" s="2"/>
    </row>
    <row r="440" spans="12:15">
      <c r="L440" s="2"/>
      <c r="N440" s="2"/>
      <c r="O440" s="2"/>
    </row>
    <row r="441" spans="12:15">
      <c r="L441" s="2"/>
      <c r="N441" s="2"/>
      <c r="O441" s="2"/>
    </row>
    <row r="442" spans="12:15">
      <c r="L442" s="2"/>
      <c r="N442" s="2"/>
      <c r="O442" s="2"/>
    </row>
    <row r="443" spans="12:15">
      <c r="L443" s="2"/>
      <c r="N443" s="2"/>
      <c r="O443" s="2"/>
    </row>
    <row r="444" spans="12:15">
      <c r="L444" s="2"/>
      <c r="N444" s="2"/>
      <c r="O444" s="2"/>
    </row>
    <row r="445" spans="12:15">
      <c r="L445" s="2"/>
      <c r="N445" s="2"/>
      <c r="O445" s="2"/>
    </row>
    <row r="446" spans="12:15">
      <c r="L446" s="2"/>
      <c r="N446" s="2"/>
      <c r="O446" s="2"/>
    </row>
    <row r="447" spans="12:15">
      <c r="L447" s="2"/>
      <c r="N447" s="2"/>
      <c r="O447" s="2"/>
    </row>
    <row r="448" spans="12:15">
      <c r="L448" s="2"/>
      <c r="N448" s="2"/>
      <c r="O448" s="2"/>
    </row>
    <row r="449" spans="12:15">
      <c r="L449" s="2"/>
      <c r="N449" s="2"/>
      <c r="O449" s="2"/>
    </row>
    <row r="450" spans="12:15">
      <c r="L450" s="2"/>
      <c r="N450" s="2"/>
      <c r="O450" s="2"/>
    </row>
    <row r="451" spans="12:15">
      <c r="L451" s="2"/>
      <c r="N451" s="2"/>
      <c r="O451" s="2"/>
    </row>
    <row r="452" spans="12:15">
      <c r="L452" s="2"/>
      <c r="N452" s="2"/>
      <c r="O452" s="2"/>
    </row>
    <row r="453" spans="12:15">
      <c r="L453" s="2"/>
      <c r="N453" s="2"/>
      <c r="O453" s="2"/>
    </row>
    <row r="454" spans="12:15">
      <c r="L454" s="2"/>
      <c r="N454" s="2"/>
      <c r="O454" s="2"/>
    </row>
    <row r="455" spans="12:15">
      <c r="L455" s="2"/>
      <c r="N455" s="2"/>
      <c r="O455" s="2"/>
    </row>
    <row r="456" spans="12:15">
      <c r="L456" s="2"/>
      <c r="N456" s="2"/>
      <c r="O456" s="2"/>
    </row>
    <row r="457" spans="12:15">
      <c r="L457" s="2"/>
      <c r="N457" s="2"/>
      <c r="O457" s="2"/>
    </row>
    <row r="458" spans="12:15">
      <c r="L458" s="2"/>
      <c r="N458" s="2"/>
      <c r="O458" s="2"/>
    </row>
    <row r="459" spans="12:15">
      <c r="L459" s="2"/>
      <c r="N459" s="2"/>
      <c r="O459" s="2"/>
    </row>
    <row r="460" spans="12:15">
      <c r="L460" s="2"/>
      <c r="N460" s="2"/>
      <c r="O460" s="2"/>
    </row>
    <row r="461" spans="12:15">
      <c r="L461" s="2"/>
      <c r="N461" s="2"/>
      <c r="O461" s="2"/>
    </row>
    <row r="462" spans="12:15">
      <c r="L462" s="2"/>
      <c r="N462" s="2"/>
      <c r="O462" s="2"/>
    </row>
    <row r="463" spans="12:15">
      <c r="L463" s="2"/>
      <c r="N463" s="2"/>
      <c r="O463" s="2"/>
    </row>
    <row r="464" spans="12:15">
      <c r="L464" s="2"/>
      <c r="N464" s="2"/>
      <c r="O464" s="2"/>
    </row>
    <row r="465" spans="12:15">
      <c r="L465" s="2"/>
      <c r="N465" s="2"/>
      <c r="O465" s="2"/>
    </row>
    <row r="466" spans="12:15">
      <c r="L466" s="2"/>
      <c r="N466" s="2"/>
      <c r="O466" s="2"/>
    </row>
    <row r="467" spans="12:15">
      <c r="L467" s="2"/>
      <c r="N467" s="2"/>
      <c r="O467" s="2"/>
    </row>
    <row r="468" spans="12:15">
      <c r="L468" s="2"/>
      <c r="N468" s="2"/>
      <c r="O468" s="2"/>
    </row>
    <row r="469" spans="12:15">
      <c r="L469" s="2"/>
      <c r="N469" s="2"/>
      <c r="O469" s="2"/>
    </row>
    <row r="470" spans="12:15">
      <c r="L470" s="2"/>
      <c r="N470" s="2"/>
      <c r="O470" s="2"/>
    </row>
    <row r="471" spans="12:15">
      <c r="L471" s="2"/>
      <c r="N471" s="2"/>
      <c r="O471" s="2"/>
    </row>
    <row r="472" spans="12:15">
      <c r="L472" s="2"/>
      <c r="N472" s="2"/>
      <c r="O472" s="2"/>
    </row>
    <row r="473" spans="12:15">
      <c r="L473" s="2"/>
      <c r="N473" s="2"/>
      <c r="O473" s="2"/>
    </row>
    <row r="474" spans="12:15">
      <c r="L474" s="2"/>
      <c r="N474" s="2"/>
      <c r="O474" s="2"/>
    </row>
    <row r="475" spans="12:15">
      <c r="L475" s="2"/>
      <c r="N475" s="2"/>
      <c r="O475" s="2"/>
    </row>
    <row r="476" spans="12:15">
      <c r="L476" s="2"/>
      <c r="N476" s="2"/>
      <c r="O476" s="2"/>
    </row>
    <row r="477" spans="12:15">
      <c r="L477" s="2"/>
      <c r="N477" s="2"/>
      <c r="O477" s="2"/>
    </row>
    <row r="478" spans="12:15">
      <c r="L478" s="2"/>
      <c r="N478" s="2"/>
      <c r="O478" s="2"/>
    </row>
    <row r="479" spans="12:15">
      <c r="L479" s="2"/>
      <c r="N479" s="2"/>
      <c r="O479" s="2"/>
    </row>
    <row r="480" spans="12:15">
      <c r="L480" s="2"/>
      <c r="N480" s="2"/>
      <c r="O480" s="2"/>
    </row>
    <row r="481" spans="12:15">
      <c r="L481" s="2"/>
      <c r="N481" s="2"/>
      <c r="O481" s="2"/>
    </row>
    <row r="482" spans="12:15">
      <c r="L482" s="2"/>
      <c r="N482" s="2"/>
      <c r="O482" s="2"/>
    </row>
    <row r="483" spans="12:15">
      <c r="L483" s="2"/>
      <c r="N483" s="2"/>
      <c r="O483" s="2"/>
    </row>
    <row r="484" spans="12:15">
      <c r="L484" s="2"/>
      <c r="N484" s="2"/>
      <c r="O484" s="2"/>
    </row>
    <row r="485" spans="12:15">
      <c r="L485" s="2"/>
      <c r="N485" s="2"/>
      <c r="O485" s="2"/>
    </row>
    <row r="486" spans="12:15">
      <c r="L486" s="2"/>
      <c r="N486" s="2"/>
      <c r="O486" s="2"/>
    </row>
    <row r="487" spans="12:15">
      <c r="L487" s="2"/>
      <c r="N487" s="2"/>
      <c r="O487" s="2"/>
    </row>
    <row r="488" spans="12:15">
      <c r="L488" s="2"/>
      <c r="N488" s="2"/>
      <c r="O488" s="2"/>
    </row>
    <row r="489" spans="12:15">
      <c r="L489" s="2"/>
      <c r="N489" s="2"/>
      <c r="O489" s="2"/>
    </row>
    <row r="490" spans="12:15">
      <c r="L490" s="2"/>
      <c r="N490" s="2"/>
      <c r="O490" s="2"/>
    </row>
    <row r="491" spans="12:15">
      <c r="L491" s="2"/>
      <c r="N491" s="2"/>
      <c r="O491" s="2"/>
    </row>
    <row r="492" spans="12:15">
      <c r="L492" s="2"/>
      <c r="N492" s="2"/>
      <c r="O492" s="2"/>
    </row>
    <row r="493" spans="12:15">
      <c r="L493" s="2"/>
      <c r="N493" s="2"/>
      <c r="O493" s="2"/>
    </row>
    <row r="494" spans="12:15">
      <c r="L494" s="2"/>
      <c r="N494" s="2"/>
      <c r="O494" s="2"/>
    </row>
    <row r="495" spans="12:15">
      <c r="L495" s="2"/>
      <c r="N495" s="2"/>
      <c r="O495" s="2"/>
    </row>
    <row r="496" spans="12:15">
      <c r="L496" s="2"/>
      <c r="N496" s="2"/>
      <c r="O496" s="2"/>
    </row>
    <row r="497" spans="12:15">
      <c r="L497" s="2"/>
      <c r="N497" s="2"/>
      <c r="O497" s="2"/>
    </row>
    <row r="498" spans="12:15">
      <c r="L498" s="2"/>
      <c r="N498" s="2"/>
      <c r="O498" s="2"/>
    </row>
    <row r="499" spans="12:15">
      <c r="L499" s="2"/>
      <c r="N499" s="2"/>
      <c r="O499" s="2"/>
    </row>
    <row r="500" spans="12:15">
      <c r="L500" s="2"/>
      <c r="N500" s="2"/>
      <c r="O500" s="2"/>
    </row>
    <row r="501" spans="12:15">
      <c r="L501" s="2"/>
      <c r="N501" s="2"/>
      <c r="O501" s="2"/>
    </row>
    <row r="502" spans="12:15">
      <c r="L502" s="2"/>
      <c r="N502" s="2"/>
      <c r="O502" s="2"/>
    </row>
    <row r="503" spans="12:15">
      <c r="L503" s="2"/>
      <c r="N503" s="2"/>
      <c r="O503" s="2"/>
    </row>
    <row r="504" spans="12:15">
      <c r="L504" s="2"/>
      <c r="N504" s="2"/>
      <c r="O504" s="2"/>
    </row>
    <row r="505" spans="12:15">
      <c r="L505" s="2"/>
      <c r="N505" s="2"/>
      <c r="O505" s="2"/>
    </row>
    <row r="506" spans="12:15">
      <c r="L506" s="2"/>
      <c r="N506" s="2"/>
      <c r="O506" s="2"/>
    </row>
    <row r="507" spans="12:15">
      <c r="L507" s="2"/>
      <c r="N507" s="2"/>
      <c r="O507" s="2"/>
    </row>
    <row r="508" spans="12:15">
      <c r="L508" s="2"/>
      <c r="N508" s="2"/>
      <c r="O508" s="2"/>
    </row>
    <row r="509" spans="12:15">
      <c r="L509" s="2"/>
      <c r="N509" s="2"/>
      <c r="O509" s="2"/>
    </row>
    <row r="510" spans="12:15">
      <c r="L510" s="2"/>
      <c r="N510" s="2"/>
      <c r="O510" s="2"/>
    </row>
    <row r="511" spans="12:15">
      <c r="L511" s="2"/>
      <c r="N511" s="2"/>
      <c r="O511" s="2"/>
    </row>
    <row r="512" spans="12:15">
      <c r="L512" s="2"/>
      <c r="N512" s="2"/>
      <c r="O512" s="2"/>
    </row>
    <row r="513" spans="12:15">
      <c r="L513" s="2"/>
      <c r="N513" s="2"/>
      <c r="O513" s="2"/>
    </row>
    <row r="514" spans="12:15">
      <c r="L514" s="2"/>
      <c r="N514" s="2"/>
      <c r="O514" s="2"/>
    </row>
    <row r="515" spans="12:15">
      <c r="L515" s="2"/>
      <c r="N515" s="2"/>
      <c r="O515" s="2"/>
    </row>
    <row r="516" spans="12:15">
      <c r="L516" s="2"/>
      <c r="N516" s="2"/>
      <c r="O516" s="2"/>
    </row>
    <row r="517" spans="12:15">
      <c r="L517" s="2"/>
      <c r="N517" s="2"/>
      <c r="O517" s="2"/>
    </row>
    <row r="518" spans="12:15">
      <c r="L518" s="2"/>
      <c r="N518" s="2"/>
      <c r="O518" s="2"/>
    </row>
    <row r="519" spans="12:15">
      <c r="L519" s="2"/>
      <c r="N519" s="2"/>
      <c r="O519" s="2"/>
    </row>
    <row r="520" spans="12:15">
      <c r="L520" s="2"/>
      <c r="N520" s="2"/>
      <c r="O520" s="2"/>
    </row>
    <row r="521" spans="12:15">
      <c r="L521" s="2"/>
      <c r="N521" s="2"/>
      <c r="O521" s="2"/>
    </row>
    <row r="522" spans="12:15">
      <c r="L522" s="2"/>
      <c r="N522" s="2"/>
      <c r="O522" s="2"/>
    </row>
    <row r="523" spans="12:15">
      <c r="L523" s="2"/>
      <c r="N523" s="2"/>
      <c r="O523" s="2"/>
    </row>
    <row r="524" spans="12:15">
      <c r="L524" s="2"/>
      <c r="N524" s="2"/>
      <c r="O524" s="2"/>
    </row>
    <row r="525" spans="12:15">
      <c r="L525" s="2"/>
      <c r="N525" s="2"/>
      <c r="O525" s="2"/>
    </row>
    <row r="526" spans="12:15">
      <c r="L526" s="2"/>
      <c r="N526" s="2"/>
      <c r="O526" s="2"/>
    </row>
    <row r="527" spans="12:15">
      <c r="L527" s="2"/>
      <c r="N527" s="2"/>
      <c r="O527" s="2"/>
    </row>
    <row r="528" spans="12:15">
      <c r="L528" s="2"/>
      <c r="N528" s="2"/>
      <c r="O528" s="2"/>
    </row>
    <row r="529" spans="12:15">
      <c r="L529" s="2"/>
      <c r="N529" s="2"/>
      <c r="O529" s="2"/>
    </row>
    <row r="530" spans="12:15">
      <c r="L530" s="2"/>
      <c r="N530" s="2"/>
      <c r="O530" s="2"/>
    </row>
    <row r="531" spans="12:15">
      <c r="L531" s="2"/>
      <c r="N531" s="2"/>
      <c r="O531" s="2"/>
    </row>
    <row r="532" spans="12:15">
      <c r="L532" s="2"/>
      <c r="N532" s="2"/>
      <c r="O532" s="2"/>
    </row>
    <row r="533" spans="12:15">
      <c r="L533" s="2"/>
      <c r="N533" s="2"/>
      <c r="O533" s="2"/>
    </row>
    <row r="534" spans="12:15">
      <c r="L534" s="2"/>
      <c r="N534" s="2"/>
      <c r="O534" s="2"/>
    </row>
    <row r="535" spans="12:15">
      <c r="L535" s="2"/>
      <c r="N535" s="2"/>
      <c r="O535" s="2"/>
    </row>
    <row r="536" spans="12:15">
      <c r="L536" s="2"/>
      <c r="N536" s="2"/>
      <c r="O536" s="2"/>
    </row>
    <row r="537" spans="12:15">
      <c r="L537" s="2"/>
      <c r="N537" s="2"/>
      <c r="O537" s="2"/>
    </row>
    <row r="538" spans="12:15">
      <c r="L538" s="2"/>
      <c r="N538" s="2"/>
      <c r="O538" s="2"/>
    </row>
    <row r="539" spans="12:15">
      <c r="L539" s="2"/>
      <c r="N539" s="2"/>
      <c r="O539" s="2"/>
    </row>
    <row r="540" spans="12:15">
      <c r="L540" s="2"/>
      <c r="N540" s="2"/>
      <c r="O540" s="2"/>
    </row>
    <row r="541" spans="12:15">
      <c r="L541" s="2"/>
      <c r="N541" s="2"/>
      <c r="O541" s="2"/>
    </row>
    <row r="542" spans="12:15">
      <c r="L542" s="2"/>
      <c r="N542" s="2"/>
      <c r="O542" s="2"/>
    </row>
    <row r="543" spans="12:15">
      <c r="L543" s="2"/>
      <c r="N543" s="2"/>
      <c r="O543" s="2"/>
    </row>
    <row r="544" spans="12:15">
      <c r="L544" s="2"/>
      <c r="N544" s="2"/>
      <c r="O544" s="2"/>
    </row>
    <row r="545" spans="12:15">
      <c r="L545" s="2"/>
      <c r="N545" s="2"/>
      <c r="O545" s="2"/>
    </row>
    <row r="546" spans="12:15">
      <c r="L546" s="2"/>
      <c r="N546" s="2"/>
      <c r="O546" s="2"/>
    </row>
    <row r="547" spans="12:15">
      <c r="L547" s="2"/>
      <c r="N547" s="2"/>
      <c r="O547" s="2"/>
    </row>
    <row r="548" spans="12:15">
      <c r="L548" s="2"/>
      <c r="N548" s="2"/>
      <c r="O548" s="2"/>
    </row>
    <row r="549" spans="12:15">
      <c r="L549" s="2"/>
      <c r="N549" s="2"/>
      <c r="O549" s="2"/>
    </row>
    <row r="550" spans="12:15">
      <c r="L550" s="2"/>
      <c r="N550" s="2"/>
      <c r="O550" s="2"/>
    </row>
    <row r="551" spans="12:15">
      <c r="L551" s="2"/>
      <c r="N551" s="2"/>
      <c r="O551" s="2"/>
    </row>
    <row r="552" spans="12:15">
      <c r="L552" s="2"/>
      <c r="N552" s="2"/>
      <c r="O552" s="2"/>
    </row>
    <row r="553" spans="12:15">
      <c r="L553" s="2"/>
      <c r="N553" s="2"/>
      <c r="O553" s="2"/>
    </row>
    <row r="554" spans="12:15">
      <c r="L554" s="2"/>
      <c r="N554" s="2"/>
      <c r="O554" s="2"/>
    </row>
    <row r="555" spans="12:15">
      <c r="L555" s="2"/>
      <c r="N555" s="2"/>
      <c r="O555" s="2"/>
    </row>
    <row r="556" spans="12:15">
      <c r="L556" s="2"/>
      <c r="N556" s="2"/>
      <c r="O556" s="2"/>
    </row>
    <row r="557" spans="12:15">
      <c r="L557" s="2"/>
      <c r="N557" s="2"/>
      <c r="O557" s="2"/>
    </row>
    <row r="558" spans="12:15">
      <c r="L558" s="2"/>
      <c r="N558" s="2"/>
      <c r="O558" s="2"/>
    </row>
    <row r="559" spans="12:15">
      <c r="L559" s="2"/>
      <c r="N559" s="2"/>
      <c r="O559" s="2"/>
    </row>
    <row r="560" spans="12:15">
      <c r="L560" s="2"/>
      <c r="N560" s="2"/>
      <c r="O560" s="2"/>
    </row>
    <row r="561" spans="12:15">
      <c r="L561" s="2"/>
      <c r="N561" s="2"/>
      <c r="O561" s="2"/>
    </row>
    <row r="562" spans="12:15">
      <c r="L562" s="2"/>
      <c r="N562" s="2"/>
      <c r="O562" s="2"/>
    </row>
    <row r="563" spans="12:15">
      <c r="L563" s="2"/>
      <c r="N563" s="2"/>
      <c r="O563" s="2"/>
    </row>
    <row r="564" spans="12:15">
      <c r="L564" s="2"/>
      <c r="N564" s="2"/>
      <c r="O564" s="2"/>
    </row>
    <row r="565" spans="12:15">
      <c r="L565" s="2"/>
      <c r="N565" s="2"/>
      <c r="O565" s="2"/>
    </row>
    <row r="566" spans="12:15">
      <c r="L566" s="2"/>
      <c r="N566" s="2"/>
      <c r="O566" s="2"/>
    </row>
    <row r="567" spans="12:15">
      <c r="L567" s="2"/>
      <c r="N567" s="2"/>
      <c r="O567" s="2"/>
    </row>
    <row r="568" spans="12:15">
      <c r="L568" s="2"/>
      <c r="N568" s="2"/>
      <c r="O568" s="2"/>
    </row>
    <row r="569" spans="12:15">
      <c r="L569" s="2"/>
      <c r="N569" s="2"/>
      <c r="O569" s="2"/>
    </row>
    <row r="570" spans="12:15">
      <c r="L570" s="2"/>
      <c r="N570" s="2"/>
      <c r="O570" s="2"/>
    </row>
    <row r="571" spans="12:15">
      <c r="L571" s="2"/>
      <c r="N571" s="2"/>
      <c r="O571" s="2"/>
    </row>
    <row r="572" spans="12:15">
      <c r="L572" s="2"/>
      <c r="N572" s="2"/>
      <c r="O572" s="2"/>
    </row>
    <row r="573" spans="12:15">
      <c r="L573" s="2"/>
      <c r="N573" s="2"/>
      <c r="O573" s="2"/>
    </row>
    <row r="574" spans="12:15">
      <c r="L574" s="2"/>
      <c r="N574" s="2"/>
      <c r="O574" s="2"/>
    </row>
    <row r="575" spans="12:15">
      <c r="L575" s="2"/>
      <c r="N575" s="2"/>
      <c r="O575" s="2"/>
    </row>
    <row r="576" spans="12:15">
      <c r="L576" s="2"/>
      <c r="N576" s="2"/>
      <c r="O576" s="2"/>
    </row>
    <row r="577" spans="12:15">
      <c r="L577" s="2"/>
      <c r="N577" s="2"/>
      <c r="O577" s="2"/>
    </row>
    <row r="578" spans="12:15">
      <c r="L578" s="2"/>
      <c r="N578" s="2"/>
      <c r="O578" s="2"/>
    </row>
    <row r="579" spans="12:15">
      <c r="L579" s="2"/>
      <c r="N579" s="2"/>
      <c r="O579" s="2"/>
    </row>
    <row r="580" spans="12:15">
      <c r="L580" s="2"/>
      <c r="N580" s="2"/>
      <c r="O580" s="2"/>
    </row>
    <row r="581" spans="12:15">
      <c r="L581" s="2"/>
      <c r="N581" s="2"/>
      <c r="O581" s="2"/>
    </row>
    <row r="582" spans="12:15">
      <c r="L582" s="2"/>
      <c r="N582" s="2"/>
      <c r="O582" s="2"/>
    </row>
    <row r="583" spans="12:15">
      <c r="L583" s="2"/>
      <c r="N583" s="2"/>
      <c r="O583" s="2"/>
    </row>
    <row r="584" spans="12:15">
      <c r="L584" s="2"/>
      <c r="N584" s="2"/>
      <c r="O584" s="2"/>
    </row>
    <row r="585" spans="12:15">
      <c r="L585" s="2"/>
      <c r="N585" s="2"/>
      <c r="O585" s="2"/>
    </row>
    <row r="586" spans="12:15">
      <c r="L586" s="2"/>
      <c r="N586" s="2"/>
      <c r="O586" s="2"/>
    </row>
    <row r="587" spans="12:15">
      <c r="L587" s="2"/>
      <c r="N587" s="2"/>
      <c r="O587" s="2"/>
    </row>
    <row r="588" spans="12:15">
      <c r="L588" s="2"/>
      <c r="N588" s="2"/>
      <c r="O588" s="2"/>
    </row>
    <row r="589" spans="12:15">
      <c r="L589" s="2"/>
      <c r="N589" s="2"/>
      <c r="O589" s="2"/>
    </row>
    <row r="590" spans="12:15">
      <c r="L590" s="2"/>
      <c r="N590" s="2"/>
      <c r="O590" s="2"/>
    </row>
    <row r="591" spans="12:15">
      <c r="L591" s="2"/>
      <c r="N591" s="2"/>
      <c r="O591" s="2"/>
    </row>
    <row r="592" spans="12:15">
      <c r="L592" s="2"/>
      <c r="N592" s="2"/>
      <c r="O592" s="2"/>
    </row>
    <row r="593" spans="12:15">
      <c r="L593" s="2"/>
      <c r="N593" s="2"/>
      <c r="O593" s="2"/>
    </row>
    <row r="594" spans="12:15">
      <c r="L594" s="2"/>
      <c r="N594" s="2"/>
      <c r="O594" s="2"/>
    </row>
    <row r="595" spans="12:15">
      <c r="L595" s="2"/>
      <c r="N595" s="2"/>
      <c r="O595" s="2"/>
    </row>
    <row r="596" spans="12:15">
      <c r="L596" s="2"/>
      <c r="N596" s="2"/>
      <c r="O596" s="2"/>
    </row>
    <row r="597" spans="12:15">
      <c r="L597" s="2"/>
      <c r="N597" s="2"/>
      <c r="O597" s="2"/>
    </row>
    <row r="598" spans="12:15">
      <c r="L598" s="2"/>
      <c r="N598" s="2"/>
      <c r="O598" s="2"/>
    </row>
    <row r="599" spans="12:15">
      <c r="L599" s="2"/>
      <c r="N599" s="2"/>
      <c r="O599" s="2"/>
    </row>
    <row r="600" spans="12:15">
      <c r="L600" s="2"/>
      <c r="N600" s="2"/>
      <c r="O600" s="2"/>
    </row>
    <row r="601" spans="12:15">
      <c r="L601" s="2"/>
      <c r="N601" s="2"/>
      <c r="O601" s="2"/>
    </row>
    <row r="602" spans="12:15">
      <c r="L602" s="2"/>
      <c r="N602" s="2"/>
      <c r="O602" s="2"/>
    </row>
    <row r="603" spans="12:15">
      <c r="L603" s="2"/>
      <c r="N603" s="2"/>
      <c r="O603" s="2"/>
    </row>
    <row r="604" spans="12:15">
      <c r="L604" s="2"/>
      <c r="N604" s="2"/>
      <c r="O604" s="2"/>
    </row>
    <row r="605" spans="12:15">
      <c r="L605" s="2"/>
      <c r="N605" s="2"/>
      <c r="O605" s="2"/>
    </row>
    <row r="606" spans="12:15">
      <c r="L606" s="2"/>
      <c r="N606" s="2"/>
      <c r="O606" s="2"/>
    </row>
    <row r="607" spans="12:15">
      <c r="L607" s="2"/>
      <c r="N607" s="2"/>
      <c r="O607" s="2"/>
    </row>
    <row r="608" spans="12:15">
      <c r="L608" s="2"/>
      <c r="N608" s="2"/>
      <c r="O608" s="2"/>
    </row>
    <row r="609" spans="12:15">
      <c r="L609" s="2"/>
      <c r="N609" s="2"/>
      <c r="O609" s="2"/>
    </row>
    <row r="610" spans="12:15">
      <c r="L610" s="2"/>
      <c r="N610" s="2"/>
      <c r="O610" s="2"/>
    </row>
    <row r="611" spans="12:15">
      <c r="L611" s="2"/>
      <c r="N611" s="2"/>
      <c r="O611" s="2"/>
    </row>
    <row r="612" spans="12:15">
      <c r="L612" s="2"/>
      <c r="N612" s="2"/>
      <c r="O612" s="2"/>
    </row>
    <row r="613" spans="12:15">
      <c r="L613" s="2"/>
      <c r="N613" s="2"/>
      <c r="O613" s="2"/>
    </row>
    <row r="614" spans="12:15">
      <c r="L614" s="2"/>
      <c r="N614" s="2"/>
      <c r="O614" s="2"/>
    </row>
    <row r="615" spans="12:15">
      <c r="L615" s="2"/>
      <c r="N615" s="2"/>
      <c r="O615" s="2"/>
    </row>
    <row r="616" spans="12:15">
      <c r="L616" s="2"/>
      <c r="N616" s="2"/>
      <c r="O616" s="2"/>
    </row>
    <row r="617" spans="12:15">
      <c r="L617" s="2"/>
      <c r="N617" s="2"/>
      <c r="O617" s="2"/>
    </row>
    <row r="618" spans="12:15">
      <c r="L618" s="2"/>
      <c r="N618" s="2"/>
      <c r="O618" s="2"/>
    </row>
    <row r="619" spans="12:15">
      <c r="L619" s="2"/>
      <c r="N619" s="2"/>
      <c r="O619" s="2"/>
    </row>
    <row r="620" spans="12:15">
      <c r="L620" s="2"/>
      <c r="N620" s="2"/>
      <c r="O620" s="2"/>
    </row>
    <row r="621" spans="12:15">
      <c r="L621" s="2"/>
      <c r="N621" s="2"/>
      <c r="O621" s="2"/>
    </row>
    <row r="622" spans="12:15">
      <c r="L622" s="2"/>
      <c r="N622" s="2"/>
      <c r="O622" s="2"/>
    </row>
    <row r="623" spans="12:15">
      <c r="L623" s="2"/>
      <c r="N623" s="2"/>
      <c r="O623" s="2"/>
    </row>
    <row r="624" spans="12:15">
      <c r="L624" s="2"/>
      <c r="N624" s="2"/>
      <c r="O624" s="2"/>
    </row>
    <row r="625" spans="12:15">
      <c r="L625" s="2"/>
      <c r="N625" s="2"/>
      <c r="O625" s="2"/>
    </row>
    <row r="626" spans="12:15">
      <c r="L626" s="2"/>
      <c r="N626" s="2"/>
      <c r="O626" s="2"/>
    </row>
    <row r="627" spans="12:15">
      <c r="L627" s="2"/>
      <c r="N627" s="2"/>
      <c r="O627" s="2"/>
    </row>
    <row r="628" spans="12:15">
      <c r="L628" s="2"/>
      <c r="N628" s="2"/>
      <c r="O628" s="2"/>
    </row>
    <row r="629" spans="12:15">
      <c r="L629" s="2"/>
      <c r="N629" s="2"/>
      <c r="O629" s="2"/>
    </row>
    <row r="630" spans="12:15">
      <c r="L630" s="2"/>
      <c r="N630" s="2"/>
      <c r="O630" s="2"/>
    </row>
    <row r="631" spans="12:15">
      <c r="L631" s="2"/>
      <c r="N631" s="2"/>
      <c r="O631" s="2"/>
    </row>
    <row r="632" spans="12:15">
      <c r="L632" s="2"/>
      <c r="N632" s="2"/>
      <c r="O632" s="2"/>
    </row>
    <row r="633" spans="12:15">
      <c r="L633" s="2"/>
      <c r="N633" s="2"/>
      <c r="O633" s="2"/>
    </row>
    <row r="634" spans="12:15">
      <c r="L634" s="2"/>
      <c r="N634" s="2"/>
      <c r="O634" s="2"/>
    </row>
    <row r="635" spans="12:15">
      <c r="L635" s="2"/>
      <c r="N635" s="2"/>
      <c r="O635" s="2"/>
    </row>
    <row r="636" spans="12:15">
      <c r="L636" s="2"/>
      <c r="N636" s="2"/>
      <c r="O636" s="2"/>
    </row>
    <row r="637" spans="12:15">
      <c r="L637" s="2"/>
      <c r="N637" s="2"/>
      <c r="O637" s="2"/>
    </row>
    <row r="638" spans="12:15">
      <c r="L638" s="2"/>
      <c r="N638" s="2"/>
      <c r="O638" s="2"/>
    </row>
    <row r="639" spans="12:15">
      <c r="L639" s="2"/>
      <c r="N639" s="2"/>
      <c r="O639" s="2"/>
    </row>
    <row r="640" spans="12:15">
      <c r="L640" s="2"/>
      <c r="N640" s="2"/>
      <c r="O640" s="2"/>
    </row>
    <row r="641" spans="12:15">
      <c r="L641" s="2"/>
      <c r="N641" s="2"/>
      <c r="O641" s="2"/>
    </row>
    <row r="642" spans="12:15">
      <c r="L642" s="2"/>
      <c r="N642" s="2"/>
      <c r="O642" s="2"/>
    </row>
    <row r="643" spans="12:15">
      <c r="L643" s="2"/>
      <c r="N643" s="2"/>
      <c r="O643" s="2"/>
    </row>
    <row r="644" spans="12:15">
      <c r="L644" s="2"/>
      <c r="N644" s="2"/>
      <c r="O644" s="2"/>
    </row>
    <row r="645" spans="12:15">
      <c r="L645" s="2"/>
      <c r="N645" s="2"/>
      <c r="O645" s="2"/>
    </row>
    <row r="646" spans="12:15">
      <c r="L646" s="2"/>
      <c r="N646" s="2"/>
      <c r="O646" s="2"/>
    </row>
    <row r="647" spans="12:15">
      <c r="L647" s="2"/>
      <c r="N647" s="2"/>
      <c r="O647" s="2"/>
    </row>
    <row r="648" spans="12:15">
      <c r="L648" s="2"/>
      <c r="N648" s="2"/>
      <c r="O648" s="2"/>
    </row>
    <row r="649" spans="12:15">
      <c r="L649" s="2"/>
      <c r="N649" s="2"/>
      <c r="O649" s="2"/>
    </row>
    <row r="650" spans="12:15">
      <c r="L650" s="2"/>
      <c r="N650" s="2"/>
      <c r="O650" s="2"/>
    </row>
    <row r="651" spans="12:15">
      <c r="L651" s="2"/>
      <c r="N651" s="2"/>
      <c r="O651" s="2"/>
    </row>
    <row r="652" spans="12:15">
      <c r="L652" s="2"/>
      <c r="N652" s="2"/>
      <c r="O652" s="2"/>
    </row>
    <row r="653" spans="12:15">
      <c r="L653" s="2"/>
      <c r="N653" s="2"/>
      <c r="O653" s="2"/>
    </row>
    <row r="654" spans="12:15">
      <c r="L654" s="2"/>
      <c r="N654" s="2"/>
      <c r="O654" s="2"/>
    </row>
    <row r="655" spans="12:15">
      <c r="L655" s="2"/>
      <c r="N655" s="2"/>
      <c r="O655" s="2"/>
    </row>
    <row r="656" spans="12:15">
      <c r="L656" s="2"/>
      <c r="N656" s="2"/>
      <c r="O656" s="2"/>
    </row>
    <row r="657" spans="12:15">
      <c r="L657" s="2"/>
      <c r="N657" s="2"/>
      <c r="O657" s="2"/>
    </row>
    <row r="658" spans="12:15">
      <c r="L658" s="2"/>
      <c r="N658" s="2"/>
      <c r="O658" s="2"/>
    </row>
    <row r="659" spans="12:15">
      <c r="L659" s="2"/>
      <c r="N659" s="2"/>
      <c r="O659" s="2"/>
    </row>
    <row r="660" spans="12:15">
      <c r="L660" s="2"/>
      <c r="N660" s="2"/>
      <c r="O660" s="2"/>
    </row>
    <row r="661" spans="12:15">
      <c r="L661" s="2"/>
      <c r="N661" s="2"/>
      <c r="O661" s="2"/>
    </row>
    <row r="662" spans="12:15">
      <c r="L662" s="2"/>
      <c r="N662" s="2"/>
      <c r="O662" s="2"/>
    </row>
    <row r="663" spans="12:15">
      <c r="L663" s="2"/>
      <c r="N663" s="2"/>
      <c r="O663" s="2"/>
    </row>
    <row r="664" spans="12:15">
      <c r="L664" s="2"/>
      <c r="N664" s="2"/>
      <c r="O664" s="2"/>
    </row>
    <row r="665" spans="12:15">
      <c r="L665" s="2"/>
      <c r="N665" s="2"/>
      <c r="O665" s="2"/>
    </row>
    <row r="666" spans="12:15">
      <c r="L666" s="2"/>
      <c r="N666" s="2"/>
      <c r="O666" s="2"/>
    </row>
    <row r="667" spans="12:15">
      <c r="L667" s="2"/>
      <c r="N667" s="2"/>
      <c r="O667" s="2"/>
    </row>
    <row r="668" spans="12:15">
      <c r="L668" s="2"/>
      <c r="N668" s="2"/>
      <c r="O668" s="2"/>
    </row>
    <row r="669" spans="12:15">
      <c r="L669" s="2"/>
      <c r="N669" s="2"/>
      <c r="O669" s="2"/>
    </row>
    <row r="670" spans="12:15">
      <c r="L670" s="2"/>
      <c r="N670" s="2"/>
      <c r="O670" s="2"/>
    </row>
    <row r="671" spans="12:15">
      <c r="L671" s="2"/>
      <c r="N671" s="2"/>
      <c r="O671" s="2"/>
    </row>
    <row r="672" spans="12:15">
      <c r="L672" s="2"/>
      <c r="N672" s="2"/>
      <c r="O672" s="2"/>
    </row>
    <row r="673" spans="12:15">
      <c r="L673" s="2"/>
      <c r="N673" s="2"/>
      <c r="O673" s="2"/>
    </row>
    <row r="674" spans="12:15">
      <c r="L674" s="2"/>
      <c r="N674" s="2"/>
      <c r="O674" s="2"/>
    </row>
    <row r="675" spans="12:15">
      <c r="L675" s="2"/>
      <c r="N675" s="2"/>
      <c r="O675" s="2"/>
    </row>
    <row r="676" spans="12:15">
      <c r="L676" s="2"/>
      <c r="N676" s="2"/>
      <c r="O676" s="2"/>
    </row>
    <row r="677" spans="12:15">
      <c r="L677" s="2"/>
      <c r="N677" s="2"/>
      <c r="O677" s="2"/>
    </row>
    <row r="678" spans="12:15">
      <c r="L678" s="2"/>
      <c r="N678" s="2"/>
      <c r="O678" s="2"/>
    </row>
    <row r="679" spans="12:15">
      <c r="L679" s="2"/>
      <c r="N679" s="2"/>
      <c r="O679" s="2"/>
    </row>
    <row r="680" spans="12:15">
      <c r="L680" s="2"/>
      <c r="N680" s="2"/>
      <c r="O680" s="2"/>
    </row>
    <row r="681" spans="12:15">
      <c r="L681" s="2"/>
      <c r="N681" s="2"/>
      <c r="O681" s="2"/>
    </row>
    <row r="682" spans="12:15">
      <c r="L682" s="2"/>
      <c r="N682" s="2"/>
      <c r="O682" s="2"/>
    </row>
    <row r="683" spans="12:15">
      <c r="L683" s="2"/>
      <c r="N683" s="2"/>
      <c r="O683" s="2"/>
    </row>
    <row r="684" spans="12:15">
      <c r="L684" s="2"/>
      <c r="N684" s="2"/>
      <c r="O684" s="2"/>
    </row>
    <row r="685" spans="12:15">
      <c r="L685" s="2"/>
      <c r="N685" s="2"/>
      <c r="O685" s="2"/>
    </row>
    <row r="686" spans="12:15">
      <c r="L686" s="2"/>
      <c r="N686" s="2"/>
      <c r="O686" s="2"/>
    </row>
    <row r="687" spans="12:15">
      <c r="L687" s="2"/>
      <c r="N687" s="2"/>
      <c r="O687" s="2"/>
    </row>
    <row r="688" spans="12:15">
      <c r="L688" s="2"/>
      <c r="N688" s="2"/>
      <c r="O688" s="2"/>
    </row>
    <row r="689" spans="12:15">
      <c r="L689" s="2"/>
      <c r="N689" s="2"/>
      <c r="O689" s="2"/>
    </row>
    <row r="690" spans="12:15">
      <c r="L690" s="2"/>
      <c r="N690" s="2"/>
      <c r="O690" s="2"/>
    </row>
    <row r="691" spans="12:15">
      <c r="L691" s="2"/>
      <c r="N691" s="2"/>
      <c r="O691" s="2"/>
    </row>
    <row r="692" spans="12:15">
      <c r="L692" s="2"/>
      <c r="N692" s="2"/>
      <c r="O692" s="2"/>
    </row>
    <row r="693" spans="12:15">
      <c r="L693" s="2"/>
      <c r="N693" s="2"/>
      <c r="O693" s="2"/>
    </row>
    <row r="694" spans="12:15">
      <c r="L694" s="2"/>
      <c r="N694" s="2"/>
      <c r="O694" s="2"/>
    </row>
    <row r="695" spans="12:15">
      <c r="L695" s="2"/>
      <c r="N695" s="2"/>
      <c r="O695" s="2"/>
    </row>
    <row r="696" spans="12:15">
      <c r="L696" s="2"/>
      <c r="N696" s="2"/>
      <c r="O696" s="2"/>
    </row>
    <row r="697" spans="12:15">
      <c r="L697" s="2"/>
      <c r="N697" s="2"/>
      <c r="O697" s="2"/>
    </row>
    <row r="698" spans="12:15">
      <c r="L698" s="2"/>
      <c r="N698" s="2"/>
      <c r="O698" s="2"/>
    </row>
    <row r="699" spans="12:15">
      <c r="L699" s="2"/>
      <c r="N699" s="2"/>
      <c r="O699" s="2"/>
    </row>
    <row r="700" spans="12:15">
      <c r="L700" s="2"/>
      <c r="N700" s="2"/>
      <c r="O700" s="2"/>
    </row>
    <row r="701" spans="12:15">
      <c r="L701" s="2"/>
      <c r="N701" s="2"/>
      <c r="O701" s="2"/>
    </row>
    <row r="702" spans="12:15">
      <c r="L702" s="2"/>
      <c r="N702" s="2"/>
      <c r="O702" s="2"/>
    </row>
    <row r="703" spans="12:15">
      <c r="L703" s="2"/>
      <c r="N703" s="2"/>
      <c r="O703" s="2"/>
    </row>
    <row r="704" spans="12:15">
      <c r="L704" s="2"/>
      <c r="N704" s="2"/>
      <c r="O704" s="2"/>
    </row>
    <row r="705" spans="12:15">
      <c r="L705" s="2"/>
      <c r="N705" s="2"/>
      <c r="O705" s="2"/>
    </row>
    <row r="706" spans="12:15">
      <c r="L706" s="2"/>
      <c r="N706" s="2"/>
      <c r="O706" s="2"/>
    </row>
    <row r="707" spans="12:15">
      <c r="L707" s="2"/>
      <c r="N707" s="2"/>
      <c r="O707" s="2"/>
    </row>
    <row r="708" spans="12:15">
      <c r="L708" s="2"/>
      <c r="N708" s="2"/>
      <c r="O708" s="2"/>
    </row>
    <row r="709" spans="12:15">
      <c r="L709" s="2"/>
      <c r="N709" s="2"/>
      <c r="O709" s="2"/>
    </row>
    <row r="710" spans="12:15">
      <c r="L710" s="2"/>
      <c r="N710" s="2"/>
      <c r="O710" s="2"/>
    </row>
    <row r="711" spans="12:15">
      <c r="L711" s="2"/>
      <c r="N711" s="2"/>
      <c r="O711" s="2"/>
    </row>
    <row r="712" spans="12:15">
      <c r="L712" s="2"/>
      <c r="N712" s="2"/>
      <c r="O712" s="2"/>
    </row>
    <row r="713" spans="12:15">
      <c r="L713" s="2"/>
      <c r="N713" s="2"/>
      <c r="O713" s="2"/>
    </row>
    <row r="714" spans="12:15">
      <c r="L714" s="2"/>
      <c r="N714" s="2"/>
      <c r="O714" s="2"/>
    </row>
    <row r="715" spans="12:15">
      <c r="L715" s="2"/>
      <c r="N715" s="2"/>
      <c r="O715" s="2"/>
    </row>
    <row r="716" spans="12:15">
      <c r="L716" s="2"/>
      <c r="N716" s="2"/>
      <c r="O716" s="2"/>
    </row>
    <row r="717" spans="12:15">
      <c r="L717" s="2"/>
      <c r="N717" s="2"/>
      <c r="O717" s="2"/>
    </row>
    <row r="718" spans="12:15">
      <c r="L718" s="2"/>
      <c r="N718" s="2"/>
      <c r="O718" s="2"/>
    </row>
    <row r="719" spans="12:15">
      <c r="L719" s="2"/>
      <c r="N719" s="2"/>
      <c r="O719" s="2"/>
    </row>
    <row r="720" spans="12:15">
      <c r="L720" s="2"/>
      <c r="N720" s="2"/>
      <c r="O720" s="2"/>
    </row>
    <row r="721" spans="12:15">
      <c r="L721" s="2"/>
      <c r="N721" s="2"/>
      <c r="O721" s="2"/>
    </row>
    <row r="722" spans="12:15">
      <c r="L722" s="2"/>
      <c r="N722" s="2"/>
      <c r="O722" s="2"/>
    </row>
    <row r="723" spans="12:15">
      <c r="L723" s="2"/>
      <c r="N723" s="2"/>
      <c r="O723" s="2"/>
    </row>
    <row r="724" spans="12:15">
      <c r="L724" s="2"/>
      <c r="N724" s="2"/>
      <c r="O724" s="2"/>
    </row>
    <row r="725" spans="12:15">
      <c r="L725" s="2"/>
      <c r="N725" s="2"/>
      <c r="O725" s="2"/>
    </row>
    <row r="726" spans="12:15">
      <c r="L726" s="2"/>
      <c r="N726" s="2"/>
      <c r="O726" s="2"/>
    </row>
    <row r="727" spans="12:15">
      <c r="L727" s="2"/>
      <c r="N727" s="2"/>
      <c r="O727" s="2"/>
    </row>
    <row r="728" spans="12:15">
      <c r="L728" s="2"/>
      <c r="N728" s="2"/>
      <c r="O728" s="2"/>
    </row>
    <row r="729" spans="12:15">
      <c r="L729" s="2"/>
      <c r="N729" s="2"/>
      <c r="O729" s="2"/>
    </row>
    <row r="730" spans="12:15">
      <c r="L730" s="2"/>
      <c r="N730" s="2"/>
      <c r="O730" s="2"/>
    </row>
    <row r="731" spans="12:15">
      <c r="L731" s="2"/>
      <c r="N731" s="2"/>
      <c r="O731" s="2"/>
    </row>
    <row r="732" spans="12:15">
      <c r="L732" s="2"/>
      <c r="N732" s="2"/>
      <c r="O732" s="2"/>
    </row>
    <row r="733" spans="12:15">
      <c r="L733" s="2"/>
      <c r="N733" s="2"/>
      <c r="O733" s="2"/>
    </row>
    <row r="734" spans="12:15">
      <c r="L734" s="2"/>
      <c r="N734" s="2"/>
      <c r="O734" s="2"/>
    </row>
    <row r="735" spans="12:15">
      <c r="L735" s="2"/>
      <c r="N735" s="2"/>
      <c r="O735" s="2"/>
    </row>
    <row r="736" spans="12:15">
      <c r="L736" s="2"/>
      <c r="N736" s="2"/>
      <c r="O736" s="2"/>
    </row>
    <row r="737" spans="12:15">
      <c r="L737" s="2"/>
      <c r="N737" s="2"/>
      <c r="O737" s="2"/>
    </row>
    <row r="738" spans="12:15">
      <c r="L738" s="2"/>
      <c r="N738" s="2"/>
      <c r="O738" s="2"/>
    </row>
    <row r="739" spans="12:15">
      <c r="L739" s="2"/>
      <c r="N739" s="2"/>
      <c r="O739" s="2"/>
    </row>
    <row r="740" spans="12:15">
      <c r="L740" s="2"/>
      <c r="N740" s="2"/>
      <c r="O740" s="2"/>
    </row>
    <row r="741" spans="12:15">
      <c r="L741" s="2"/>
      <c r="N741" s="2"/>
      <c r="O741" s="2"/>
    </row>
    <row r="742" spans="12:15">
      <c r="L742" s="2"/>
      <c r="N742" s="2"/>
      <c r="O742" s="2"/>
    </row>
    <row r="743" spans="12:15">
      <c r="L743" s="2"/>
      <c r="N743" s="2"/>
      <c r="O743" s="2"/>
    </row>
    <row r="744" spans="12:15">
      <c r="L744" s="2"/>
      <c r="N744" s="2"/>
      <c r="O744" s="2"/>
    </row>
    <row r="745" spans="12:15">
      <c r="L745" s="2"/>
      <c r="N745" s="2"/>
      <c r="O745" s="2"/>
    </row>
    <row r="746" spans="12:15">
      <c r="L746" s="2"/>
      <c r="N746" s="2"/>
      <c r="O746" s="2"/>
    </row>
    <row r="747" spans="12:15">
      <c r="L747" s="2"/>
      <c r="N747" s="2"/>
      <c r="O747" s="2"/>
    </row>
    <row r="748" spans="12:15">
      <c r="L748" s="2"/>
      <c r="N748" s="2"/>
      <c r="O748" s="2"/>
    </row>
    <row r="749" spans="12:15">
      <c r="L749" s="2"/>
      <c r="N749" s="2"/>
      <c r="O749" s="2"/>
    </row>
    <row r="750" spans="12:15">
      <c r="L750" s="2"/>
      <c r="N750" s="2"/>
      <c r="O750" s="2"/>
    </row>
    <row r="751" spans="12:15">
      <c r="L751" s="2"/>
      <c r="N751" s="2"/>
      <c r="O751" s="2"/>
    </row>
    <row r="752" spans="12:15">
      <c r="L752" s="2"/>
      <c r="N752" s="2"/>
      <c r="O752" s="2"/>
    </row>
    <row r="753" spans="12:15">
      <c r="L753" s="2"/>
      <c r="N753" s="2"/>
      <c r="O753" s="2"/>
    </row>
    <row r="754" spans="12:15">
      <c r="L754" s="2"/>
      <c r="N754" s="2"/>
      <c r="O754" s="2"/>
    </row>
    <row r="755" spans="12:15">
      <c r="L755" s="2"/>
      <c r="N755" s="2"/>
      <c r="O755" s="2"/>
    </row>
    <row r="756" spans="12:15">
      <c r="L756" s="2"/>
      <c r="N756" s="2"/>
      <c r="O756" s="2"/>
    </row>
    <row r="757" spans="12:15">
      <c r="L757" s="2"/>
      <c r="N757" s="2"/>
      <c r="O757" s="2"/>
    </row>
    <row r="758" spans="12:15">
      <c r="L758" s="2"/>
      <c r="N758" s="2"/>
      <c r="O758" s="2"/>
    </row>
    <row r="759" spans="12:15">
      <c r="L759" s="2"/>
      <c r="N759" s="2"/>
      <c r="O759" s="2"/>
    </row>
    <row r="760" spans="12:15">
      <c r="L760" s="2"/>
      <c r="N760" s="2"/>
      <c r="O760" s="2"/>
    </row>
    <row r="761" spans="12:15">
      <c r="L761" s="2"/>
      <c r="N761" s="2"/>
      <c r="O761" s="2"/>
    </row>
    <row r="762" spans="12:15">
      <c r="L762" s="2"/>
      <c r="N762" s="2"/>
      <c r="O762" s="2"/>
    </row>
    <row r="763" spans="12:15">
      <c r="L763" s="2"/>
      <c r="N763" s="2"/>
      <c r="O763" s="2"/>
    </row>
    <row r="764" spans="12:15">
      <c r="L764" s="2"/>
      <c r="N764" s="2"/>
      <c r="O764" s="2"/>
    </row>
    <row r="765" spans="12:15">
      <c r="L765" s="2"/>
      <c r="N765" s="2"/>
      <c r="O765" s="2"/>
    </row>
    <row r="766" spans="12:15">
      <c r="L766" s="2"/>
      <c r="N766" s="2"/>
      <c r="O766" s="2"/>
    </row>
    <row r="767" spans="12:15">
      <c r="L767" s="2"/>
      <c r="N767" s="2"/>
      <c r="O767" s="2"/>
    </row>
    <row r="768" spans="12:15">
      <c r="L768" s="2"/>
      <c r="N768" s="2"/>
      <c r="O768" s="2"/>
    </row>
    <row r="769" spans="12:15">
      <c r="L769" s="2"/>
      <c r="N769" s="2"/>
      <c r="O769" s="2"/>
    </row>
    <row r="770" spans="12:15">
      <c r="L770" s="2"/>
      <c r="N770" s="2"/>
      <c r="O770" s="2"/>
    </row>
    <row r="771" spans="12:15">
      <c r="L771" s="2"/>
      <c r="N771" s="2"/>
      <c r="O771" s="2"/>
    </row>
    <row r="772" spans="12:15">
      <c r="L772" s="2"/>
      <c r="N772" s="2"/>
      <c r="O772" s="2"/>
    </row>
    <row r="773" spans="12:15">
      <c r="L773" s="2"/>
      <c r="N773" s="2"/>
      <c r="O773" s="2"/>
    </row>
    <row r="774" spans="12:15">
      <c r="L774" s="2"/>
      <c r="N774" s="2"/>
      <c r="O774" s="2"/>
    </row>
    <row r="775" spans="12:15">
      <c r="L775" s="2"/>
      <c r="N775" s="2"/>
      <c r="O775" s="2"/>
    </row>
    <row r="776" spans="12:15">
      <c r="L776" s="2"/>
      <c r="N776" s="2"/>
      <c r="O776" s="2"/>
    </row>
    <row r="777" spans="12:15">
      <c r="L777" s="2"/>
      <c r="N777" s="2"/>
      <c r="O777" s="2"/>
    </row>
    <row r="778" spans="12:15">
      <c r="L778" s="2"/>
      <c r="N778" s="2"/>
      <c r="O778" s="2"/>
    </row>
    <row r="779" spans="12:15">
      <c r="L779" s="2"/>
      <c r="N779" s="2"/>
      <c r="O779" s="2"/>
    </row>
    <row r="780" spans="12:15">
      <c r="L780" s="2"/>
      <c r="N780" s="2"/>
      <c r="O780" s="2"/>
    </row>
    <row r="781" spans="12:15">
      <c r="L781" s="2"/>
      <c r="N781" s="2"/>
      <c r="O781" s="2"/>
    </row>
    <row r="782" spans="12:15">
      <c r="L782" s="2"/>
      <c r="N782" s="2"/>
      <c r="O782" s="2"/>
    </row>
    <row r="783" spans="12:15">
      <c r="L783" s="2"/>
      <c r="N783" s="2"/>
      <c r="O783" s="2"/>
    </row>
    <row r="784" spans="12:15">
      <c r="L784" s="2"/>
      <c r="N784" s="2"/>
      <c r="O784" s="2"/>
    </row>
    <row r="785" spans="12:15">
      <c r="L785" s="2"/>
      <c r="N785" s="2"/>
      <c r="O785" s="2"/>
    </row>
    <row r="786" spans="12:15">
      <c r="L786" s="2"/>
      <c r="N786" s="2"/>
      <c r="O786" s="2"/>
    </row>
    <row r="787" spans="12:15">
      <c r="L787" s="2"/>
      <c r="N787" s="2"/>
      <c r="O787" s="2"/>
    </row>
    <row r="788" spans="12:15">
      <c r="L788" s="2"/>
      <c r="N788" s="2"/>
      <c r="O788" s="2"/>
    </row>
    <row r="789" spans="12:15">
      <c r="L789" s="2"/>
      <c r="N789" s="2"/>
      <c r="O789" s="2"/>
    </row>
    <row r="790" spans="12:15">
      <c r="L790" s="2"/>
      <c r="N790" s="2"/>
      <c r="O790" s="2"/>
    </row>
    <row r="791" spans="12:15">
      <c r="L791" s="2"/>
      <c r="N791" s="2"/>
      <c r="O791" s="2"/>
    </row>
    <row r="792" spans="12:15">
      <c r="L792" s="2"/>
      <c r="N792" s="2"/>
      <c r="O792" s="2"/>
    </row>
    <row r="793" spans="12:15">
      <c r="L793" s="2"/>
      <c r="N793" s="2"/>
      <c r="O793" s="2"/>
    </row>
    <row r="794" spans="12:15">
      <c r="L794" s="2"/>
      <c r="N794" s="2"/>
      <c r="O794" s="2"/>
    </row>
    <row r="795" spans="12:15">
      <c r="L795" s="2"/>
      <c r="N795" s="2"/>
      <c r="O795" s="2"/>
    </row>
    <row r="796" spans="12:15">
      <c r="L796" s="2"/>
      <c r="N796" s="2"/>
      <c r="O796" s="2"/>
    </row>
    <row r="797" spans="12:15">
      <c r="L797" s="2"/>
      <c r="N797" s="2"/>
      <c r="O797" s="2"/>
    </row>
    <row r="798" spans="12:15">
      <c r="L798" s="2"/>
      <c r="N798" s="2"/>
      <c r="O798" s="2"/>
    </row>
    <row r="799" spans="12:15">
      <c r="L799" s="2"/>
      <c r="N799" s="2"/>
      <c r="O799" s="2"/>
    </row>
    <row r="800" spans="12:15">
      <c r="L800" s="2"/>
      <c r="N800" s="2"/>
      <c r="O800" s="2"/>
    </row>
    <row r="801" spans="12:15">
      <c r="L801" s="2"/>
      <c r="N801" s="2"/>
      <c r="O801" s="2"/>
    </row>
    <row r="802" spans="12:15">
      <c r="L802" s="2"/>
      <c r="N802" s="2"/>
      <c r="O802" s="2"/>
    </row>
    <row r="803" spans="12:15">
      <c r="L803" s="2"/>
      <c r="N803" s="2"/>
      <c r="O803" s="2"/>
    </row>
    <row r="804" spans="12:15">
      <c r="L804" s="2"/>
      <c r="N804" s="2"/>
      <c r="O804" s="2"/>
    </row>
    <row r="805" spans="12:15">
      <c r="L805" s="2"/>
      <c r="N805" s="2"/>
      <c r="O805" s="2"/>
    </row>
    <row r="806" spans="12:15">
      <c r="L806" s="2"/>
      <c r="N806" s="2"/>
      <c r="O806" s="2"/>
    </row>
    <row r="807" spans="12:15">
      <c r="L807" s="2"/>
      <c r="N807" s="2"/>
      <c r="O807" s="2"/>
    </row>
    <row r="808" spans="12:15">
      <c r="L808" s="2"/>
      <c r="N808" s="2"/>
      <c r="O808" s="2"/>
    </row>
    <row r="809" spans="12:15">
      <c r="L809" s="2"/>
      <c r="N809" s="2"/>
      <c r="O809" s="2"/>
    </row>
    <row r="810" spans="12:15">
      <c r="L810" s="2"/>
      <c r="N810" s="2"/>
      <c r="O810" s="2"/>
    </row>
    <row r="811" spans="12:15">
      <c r="L811" s="2"/>
      <c r="N811" s="2"/>
      <c r="O811" s="2"/>
    </row>
    <row r="812" spans="12:15">
      <c r="L812" s="2"/>
      <c r="N812" s="2"/>
      <c r="O812" s="2"/>
    </row>
    <row r="813" spans="12:15">
      <c r="L813" s="2"/>
      <c r="N813" s="2"/>
      <c r="O813" s="2"/>
    </row>
    <row r="814" spans="12:15">
      <c r="L814" s="2"/>
      <c r="N814" s="2"/>
      <c r="O814" s="2"/>
    </row>
    <row r="815" spans="12:15">
      <c r="L815" s="2"/>
      <c r="N815" s="2"/>
      <c r="O815" s="2"/>
    </row>
    <row r="816" spans="12:15">
      <c r="L816" s="2"/>
      <c r="N816" s="2"/>
      <c r="O816" s="2"/>
    </row>
    <row r="817" spans="12:15">
      <c r="L817" s="2"/>
      <c r="N817" s="2"/>
      <c r="O817" s="2"/>
    </row>
    <row r="818" spans="12:15">
      <c r="L818" s="2"/>
      <c r="N818" s="2"/>
      <c r="O818" s="2"/>
    </row>
    <row r="819" spans="12:15">
      <c r="L819" s="2"/>
      <c r="N819" s="2"/>
      <c r="O819" s="2"/>
    </row>
    <row r="820" spans="12:15">
      <c r="L820" s="2"/>
      <c r="N820" s="2"/>
      <c r="O820" s="2"/>
    </row>
    <row r="821" spans="12:15">
      <c r="L821" s="2"/>
      <c r="N821" s="2"/>
      <c r="O821" s="2"/>
    </row>
    <row r="822" spans="12:15">
      <c r="L822" s="2"/>
      <c r="N822" s="2"/>
      <c r="O822" s="2"/>
    </row>
    <row r="823" spans="12:15">
      <c r="L823" s="2"/>
      <c r="N823" s="2"/>
      <c r="O823" s="2"/>
    </row>
    <row r="824" spans="12:15">
      <c r="L824" s="2"/>
      <c r="N824" s="2"/>
      <c r="O824" s="2"/>
    </row>
    <row r="825" spans="12:15">
      <c r="L825" s="2"/>
      <c r="N825" s="2"/>
      <c r="O825" s="2"/>
    </row>
    <row r="826" spans="12:15">
      <c r="L826" s="2"/>
      <c r="N826" s="2"/>
      <c r="O826" s="2"/>
    </row>
    <row r="827" spans="12:15">
      <c r="L827" s="2"/>
      <c r="N827" s="2"/>
      <c r="O827" s="2"/>
    </row>
    <row r="828" spans="12:15">
      <c r="L828" s="2"/>
      <c r="N828" s="2"/>
      <c r="O828" s="2"/>
    </row>
    <row r="829" spans="12:15">
      <c r="L829" s="2"/>
      <c r="N829" s="2"/>
      <c r="O829" s="2"/>
    </row>
    <row r="830" spans="12:15">
      <c r="L830" s="2"/>
      <c r="N830" s="2"/>
      <c r="O830" s="2"/>
    </row>
    <row r="831" spans="12:15">
      <c r="L831" s="2"/>
      <c r="N831" s="2"/>
      <c r="O831" s="2"/>
    </row>
    <row r="832" spans="12:15">
      <c r="L832" s="2"/>
      <c r="N832" s="2"/>
      <c r="O832" s="2"/>
    </row>
    <row r="833" spans="12:15">
      <c r="L833" s="2"/>
      <c r="N833" s="2"/>
      <c r="O833" s="2"/>
    </row>
    <row r="834" spans="12:15">
      <c r="L834" s="2"/>
      <c r="N834" s="2"/>
      <c r="O834" s="2"/>
    </row>
    <row r="835" spans="12:15">
      <c r="L835" s="2"/>
      <c r="N835" s="2"/>
      <c r="O835" s="2"/>
    </row>
    <row r="836" spans="12:15">
      <c r="L836" s="2"/>
      <c r="N836" s="2"/>
      <c r="O836" s="2"/>
    </row>
    <row r="837" spans="12:15">
      <c r="L837" s="2"/>
      <c r="N837" s="2"/>
      <c r="O837" s="2"/>
    </row>
    <row r="838" spans="12:15">
      <c r="L838" s="2"/>
      <c r="N838" s="2"/>
      <c r="O838" s="2"/>
    </row>
    <row r="839" spans="12:15">
      <c r="L839" s="2"/>
      <c r="N839" s="2"/>
      <c r="O839" s="2"/>
    </row>
    <row r="840" spans="12:15">
      <c r="L840" s="2"/>
      <c r="N840" s="2"/>
      <c r="O840" s="2"/>
    </row>
    <row r="841" spans="12:15">
      <c r="L841" s="2"/>
      <c r="N841" s="2"/>
      <c r="O841" s="2"/>
    </row>
    <row r="842" spans="12:15">
      <c r="L842" s="2"/>
      <c r="N842" s="2"/>
      <c r="O842" s="2"/>
    </row>
    <row r="843" spans="12:15">
      <c r="L843" s="2"/>
      <c r="N843" s="2"/>
      <c r="O843" s="2"/>
    </row>
    <row r="844" spans="12:15">
      <c r="L844" s="2"/>
      <c r="N844" s="2"/>
      <c r="O844" s="2"/>
    </row>
    <row r="845" spans="12:15">
      <c r="L845" s="2"/>
      <c r="N845" s="2"/>
      <c r="O845" s="2"/>
    </row>
    <row r="846" spans="12:15">
      <c r="L846" s="2"/>
      <c r="N846" s="2"/>
      <c r="O846" s="2"/>
    </row>
    <row r="847" spans="12:15">
      <c r="L847" s="2"/>
      <c r="N847" s="2"/>
      <c r="O847" s="2"/>
    </row>
    <row r="848" spans="12:15">
      <c r="L848" s="2"/>
      <c r="N848" s="2"/>
      <c r="O848" s="2"/>
    </row>
    <row r="849" spans="12:15">
      <c r="L849" s="2"/>
      <c r="N849" s="2"/>
      <c r="O849" s="2"/>
    </row>
    <row r="850" spans="12:15">
      <c r="L850" s="2"/>
      <c r="N850" s="2"/>
      <c r="O850" s="2"/>
    </row>
    <row r="851" spans="12:15">
      <c r="L851" s="2"/>
      <c r="N851" s="2"/>
      <c r="O851" s="2"/>
    </row>
    <row r="852" spans="12:15">
      <c r="L852" s="2"/>
      <c r="N852" s="2"/>
      <c r="O852" s="2"/>
    </row>
    <row r="853" spans="12:15">
      <c r="L853" s="2"/>
      <c r="N853" s="2"/>
      <c r="O853" s="2"/>
    </row>
    <row r="854" spans="12:15">
      <c r="L854" s="2"/>
      <c r="N854" s="2"/>
      <c r="O854" s="2"/>
    </row>
    <row r="855" spans="12:15">
      <c r="L855" s="2"/>
      <c r="N855" s="2"/>
      <c r="O855" s="2"/>
    </row>
    <row r="856" spans="12:15">
      <c r="L856" s="2"/>
      <c r="N856" s="2"/>
      <c r="O856" s="2"/>
    </row>
    <row r="857" spans="12:15">
      <c r="L857" s="2"/>
      <c r="N857" s="2"/>
      <c r="O857" s="2"/>
    </row>
    <row r="858" spans="12:15">
      <c r="L858" s="2"/>
      <c r="N858" s="2"/>
      <c r="O858" s="2"/>
    </row>
    <row r="859" spans="12:15">
      <c r="L859" s="2"/>
      <c r="N859" s="2"/>
      <c r="O859" s="2"/>
    </row>
    <row r="860" spans="12:15">
      <c r="L860" s="2"/>
      <c r="N860" s="2"/>
      <c r="O860" s="2"/>
    </row>
    <row r="861" spans="12:15">
      <c r="L861" s="2"/>
      <c r="N861" s="2"/>
      <c r="O861" s="2"/>
    </row>
    <row r="862" spans="12:15">
      <c r="L862" s="2"/>
      <c r="N862" s="2"/>
      <c r="O862" s="2"/>
    </row>
    <row r="863" spans="12:15">
      <c r="L863" s="2"/>
      <c r="N863" s="2"/>
      <c r="O863" s="2"/>
    </row>
    <row r="864" spans="12:15">
      <c r="L864" s="2"/>
      <c r="N864" s="2"/>
      <c r="O864" s="2"/>
    </row>
    <row r="865" spans="12:15">
      <c r="L865" s="2"/>
      <c r="N865" s="2"/>
      <c r="O865" s="2"/>
    </row>
    <row r="866" spans="12:15">
      <c r="L866" s="2"/>
      <c r="N866" s="2"/>
      <c r="O866" s="2"/>
    </row>
    <row r="867" spans="12:15">
      <c r="L867" s="2"/>
      <c r="N867" s="2"/>
      <c r="O867" s="2"/>
    </row>
    <row r="868" spans="12:15">
      <c r="L868" s="2"/>
      <c r="N868" s="2"/>
      <c r="O868" s="2"/>
    </row>
    <row r="869" spans="12:15">
      <c r="L869" s="2"/>
      <c r="N869" s="2"/>
      <c r="O869" s="2"/>
    </row>
    <row r="870" spans="12:15">
      <c r="L870" s="2"/>
      <c r="N870" s="2"/>
      <c r="O870" s="2"/>
    </row>
    <row r="871" spans="12:15">
      <c r="L871" s="2"/>
      <c r="N871" s="2"/>
      <c r="O871" s="2"/>
    </row>
    <row r="872" spans="12:15">
      <c r="L872" s="2"/>
      <c r="N872" s="2"/>
      <c r="O872" s="2"/>
    </row>
    <row r="873" spans="12:15">
      <c r="L873" s="2"/>
      <c r="N873" s="2"/>
      <c r="O873" s="2"/>
    </row>
    <row r="874" spans="12:15">
      <c r="L874" s="2"/>
      <c r="N874" s="2"/>
      <c r="O874" s="2"/>
    </row>
    <row r="875" spans="12:15">
      <c r="L875" s="2"/>
      <c r="N875" s="2"/>
      <c r="O875" s="2"/>
    </row>
    <row r="876" spans="12:15">
      <c r="L876" s="2"/>
      <c r="N876" s="2"/>
      <c r="O876" s="2"/>
    </row>
    <row r="877" spans="12:15">
      <c r="L877" s="2"/>
      <c r="N877" s="2"/>
      <c r="O877" s="2"/>
    </row>
    <row r="878" spans="12:15">
      <c r="L878" s="2"/>
      <c r="N878" s="2"/>
      <c r="O878" s="2"/>
    </row>
    <row r="879" spans="12:15">
      <c r="L879" s="2"/>
      <c r="N879" s="2"/>
      <c r="O879" s="2"/>
    </row>
    <row r="880" spans="12:15">
      <c r="L880" s="2"/>
      <c r="N880" s="2"/>
      <c r="O880" s="2"/>
    </row>
    <row r="881" spans="12:15">
      <c r="L881" s="2"/>
      <c r="N881" s="2"/>
      <c r="O881" s="2"/>
    </row>
    <row r="882" spans="12:15">
      <c r="L882" s="2"/>
      <c r="N882" s="2"/>
      <c r="O882" s="2"/>
    </row>
    <row r="883" spans="12:15">
      <c r="L883" s="2"/>
      <c r="N883" s="2"/>
      <c r="O883" s="2"/>
    </row>
    <row r="884" spans="12:15">
      <c r="L884" s="2"/>
      <c r="N884" s="2"/>
      <c r="O884" s="2"/>
    </row>
    <row r="885" spans="12:15">
      <c r="L885" s="2"/>
      <c r="N885" s="2"/>
      <c r="O885" s="2"/>
    </row>
    <row r="886" spans="12:15">
      <c r="L886" s="2"/>
      <c r="N886" s="2"/>
      <c r="O886" s="2"/>
    </row>
    <row r="887" spans="12:15">
      <c r="L887" s="2"/>
      <c r="N887" s="2"/>
      <c r="O887" s="2"/>
    </row>
    <row r="888" spans="12:15">
      <c r="L888" s="2"/>
      <c r="N888" s="2"/>
      <c r="O888" s="2"/>
    </row>
    <row r="889" spans="12:15">
      <c r="L889" s="2"/>
      <c r="N889" s="2"/>
      <c r="O889" s="2"/>
    </row>
    <row r="890" spans="12:15">
      <c r="L890" s="2"/>
      <c r="N890" s="2"/>
      <c r="O890" s="2"/>
    </row>
    <row r="891" spans="12:15">
      <c r="L891" s="2"/>
      <c r="N891" s="2"/>
      <c r="O891" s="2"/>
    </row>
    <row r="892" spans="12:15">
      <c r="L892" s="2"/>
      <c r="N892" s="2"/>
      <c r="O892" s="2"/>
    </row>
    <row r="893" spans="12:15">
      <c r="L893" s="2"/>
      <c r="N893" s="2"/>
      <c r="O893" s="2"/>
    </row>
    <row r="894" spans="12:15">
      <c r="L894" s="2"/>
      <c r="N894" s="2"/>
      <c r="O894" s="2"/>
    </row>
    <row r="895" spans="12:15">
      <c r="L895" s="2"/>
      <c r="N895" s="2"/>
      <c r="O895" s="2"/>
    </row>
    <row r="896" spans="12:15">
      <c r="L896" s="2"/>
      <c r="N896" s="2"/>
      <c r="O896" s="2"/>
    </row>
    <row r="897" spans="12:15">
      <c r="L897" s="2"/>
      <c r="N897" s="2"/>
      <c r="O897" s="2"/>
    </row>
    <row r="898" spans="12:15">
      <c r="L898" s="2"/>
      <c r="N898" s="2"/>
      <c r="O898" s="2"/>
    </row>
    <row r="899" spans="12:15">
      <c r="L899" s="2"/>
      <c r="N899" s="2"/>
      <c r="O899" s="2"/>
    </row>
    <row r="900" spans="12:15">
      <c r="L900" s="2"/>
      <c r="N900" s="2"/>
      <c r="O900" s="2"/>
    </row>
    <row r="901" spans="12:15">
      <c r="L901" s="2"/>
      <c r="N901" s="2"/>
      <c r="O901" s="2"/>
    </row>
    <row r="902" spans="12:15">
      <c r="L902" s="2"/>
      <c r="N902" s="2"/>
      <c r="O902" s="2"/>
    </row>
    <row r="903" spans="12:15">
      <c r="L903" s="2"/>
      <c r="N903" s="2"/>
      <c r="O903" s="2"/>
    </row>
    <row r="904" spans="12:15">
      <c r="L904" s="2"/>
      <c r="N904" s="2"/>
      <c r="O904" s="2"/>
    </row>
    <row r="905" spans="12:15">
      <c r="L905" s="2"/>
      <c r="N905" s="2"/>
      <c r="O905" s="2"/>
    </row>
    <row r="906" spans="12:15">
      <c r="L906" s="2"/>
      <c r="N906" s="2"/>
      <c r="O906" s="2"/>
    </row>
    <row r="907" spans="12:15">
      <c r="L907" s="2"/>
      <c r="N907" s="2"/>
      <c r="O907" s="2"/>
    </row>
    <row r="908" spans="12:15">
      <c r="L908" s="2"/>
      <c r="N908" s="2"/>
      <c r="O908" s="2"/>
    </row>
    <row r="909" spans="12:15">
      <c r="L909" s="2"/>
      <c r="N909" s="2"/>
      <c r="O909" s="2"/>
    </row>
    <row r="910" spans="12:15">
      <c r="L910" s="2"/>
      <c r="N910" s="2"/>
      <c r="O910" s="2"/>
    </row>
    <row r="911" spans="12:15">
      <c r="L911" s="2"/>
      <c r="N911" s="2"/>
      <c r="O911" s="2"/>
    </row>
    <row r="912" spans="12:15">
      <c r="L912" s="2"/>
      <c r="N912" s="2"/>
      <c r="O912" s="2"/>
    </row>
    <row r="913" spans="12:15">
      <c r="L913" s="2"/>
      <c r="N913" s="2"/>
      <c r="O913" s="2"/>
    </row>
    <row r="914" spans="12:15">
      <c r="L914" s="2"/>
      <c r="N914" s="2"/>
      <c r="O914" s="2"/>
    </row>
    <row r="915" spans="12:15">
      <c r="L915" s="2"/>
      <c r="N915" s="2"/>
      <c r="O915" s="2"/>
    </row>
    <row r="916" spans="12:15">
      <c r="L916" s="2"/>
      <c r="N916" s="2"/>
      <c r="O916" s="2"/>
    </row>
    <row r="917" spans="12:15">
      <c r="L917" s="2"/>
      <c r="N917" s="2"/>
      <c r="O917" s="2"/>
    </row>
    <row r="918" spans="12:15">
      <c r="L918" s="2"/>
      <c r="N918" s="2"/>
      <c r="O918" s="2"/>
    </row>
    <row r="919" spans="12:15">
      <c r="L919" s="2"/>
      <c r="N919" s="2"/>
      <c r="O919" s="2"/>
    </row>
    <row r="920" spans="12:15">
      <c r="L920" s="2"/>
      <c r="N920" s="2"/>
      <c r="O920" s="2"/>
    </row>
    <row r="921" spans="12:15">
      <c r="L921" s="2"/>
      <c r="N921" s="2"/>
      <c r="O921" s="2"/>
    </row>
    <row r="922" spans="12:15">
      <c r="L922" s="2"/>
      <c r="N922" s="2"/>
      <c r="O922" s="2"/>
    </row>
    <row r="923" spans="12:15">
      <c r="L923" s="2"/>
      <c r="N923" s="2"/>
      <c r="O923" s="2"/>
    </row>
    <row r="924" spans="12:15">
      <c r="L924" s="2"/>
      <c r="N924" s="2"/>
      <c r="O924" s="2"/>
    </row>
    <row r="925" spans="12:15">
      <c r="L925" s="2"/>
      <c r="N925" s="2"/>
      <c r="O925" s="2"/>
    </row>
    <row r="926" spans="12:15">
      <c r="L926" s="2"/>
      <c r="N926" s="2"/>
      <c r="O926" s="2"/>
    </row>
    <row r="927" spans="12:15">
      <c r="L927" s="2"/>
      <c r="N927" s="2"/>
      <c r="O927" s="2"/>
    </row>
    <row r="928" spans="12:15">
      <c r="L928" s="2"/>
      <c r="N928" s="2"/>
      <c r="O928" s="2"/>
    </row>
    <row r="929" spans="12:15">
      <c r="L929" s="2"/>
      <c r="N929" s="2"/>
      <c r="O929" s="2"/>
    </row>
    <row r="930" spans="12:15">
      <c r="L930" s="2"/>
      <c r="N930" s="2"/>
      <c r="O930" s="2"/>
    </row>
    <row r="931" spans="12:15">
      <c r="L931" s="2"/>
      <c r="N931" s="2"/>
      <c r="O931" s="2"/>
    </row>
    <row r="932" spans="12:15">
      <c r="L932" s="2"/>
      <c r="N932" s="2"/>
      <c r="O932" s="2"/>
    </row>
    <row r="933" spans="12:15">
      <c r="L933" s="2"/>
      <c r="N933" s="2"/>
      <c r="O933" s="2"/>
    </row>
    <row r="934" spans="12:15">
      <c r="L934" s="2"/>
      <c r="N934" s="2"/>
      <c r="O934" s="2"/>
    </row>
    <row r="935" spans="12:15">
      <c r="L935" s="2"/>
      <c r="N935" s="2"/>
      <c r="O935" s="2"/>
    </row>
    <row r="936" spans="12:15">
      <c r="L936" s="2"/>
      <c r="N936" s="2"/>
      <c r="O936" s="2"/>
    </row>
    <row r="937" spans="12:15">
      <c r="L937" s="2"/>
      <c r="N937" s="2"/>
      <c r="O937" s="2"/>
    </row>
    <row r="938" spans="12:15">
      <c r="L938" s="2"/>
      <c r="N938" s="2"/>
      <c r="O938" s="2"/>
    </row>
    <row r="939" spans="12:15">
      <c r="L939" s="2"/>
      <c r="N939" s="2"/>
      <c r="O939" s="2"/>
    </row>
    <row r="940" spans="12:15">
      <c r="L940" s="2"/>
      <c r="N940" s="2"/>
      <c r="O940" s="2"/>
    </row>
    <row r="941" spans="12:15">
      <c r="L941" s="2"/>
      <c r="N941" s="2"/>
      <c r="O941" s="2"/>
    </row>
    <row r="942" spans="12:15">
      <c r="L942" s="2"/>
      <c r="N942" s="2"/>
      <c r="O942" s="2"/>
    </row>
    <row r="943" spans="12:15">
      <c r="L943" s="2"/>
      <c r="N943" s="2"/>
      <c r="O943" s="2"/>
    </row>
    <row r="944" spans="12:15">
      <c r="L944" s="2"/>
      <c r="N944" s="2"/>
      <c r="O944" s="2"/>
    </row>
    <row r="945" spans="12:15">
      <c r="L945" s="2"/>
      <c r="N945" s="2"/>
      <c r="O945" s="2"/>
    </row>
    <row r="946" spans="12:15">
      <c r="L946" s="2"/>
      <c r="N946" s="2"/>
      <c r="O946" s="2"/>
    </row>
    <row r="947" spans="12:15">
      <c r="L947" s="2"/>
      <c r="N947" s="2"/>
      <c r="O947" s="2"/>
    </row>
    <row r="948" spans="12:15">
      <c r="L948" s="2"/>
      <c r="N948" s="2"/>
      <c r="O948" s="2"/>
    </row>
    <row r="949" spans="12:15">
      <c r="L949" s="2"/>
      <c r="N949" s="2"/>
      <c r="O949" s="2"/>
    </row>
    <row r="950" spans="12:15">
      <c r="L950" s="2"/>
      <c r="N950" s="2"/>
      <c r="O950" s="2"/>
    </row>
    <row r="951" spans="12:15">
      <c r="L951" s="2"/>
      <c r="N951" s="2"/>
      <c r="O951" s="2"/>
    </row>
    <row r="952" spans="12:15">
      <c r="L952" s="2"/>
      <c r="N952" s="2"/>
      <c r="O952" s="2"/>
    </row>
    <row r="953" spans="12:15">
      <c r="L953" s="2"/>
      <c r="N953" s="2"/>
      <c r="O953" s="2"/>
    </row>
    <row r="954" spans="12:15">
      <c r="L954" s="2"/>
      <c r="N954" s="2"/>
      <c r="O954" s="2"/>
    </row>
    <row r="955" spans="12:15">
      <c r="L955" s="2"/>
      <c r="N955" s="2"/>
      <c r="O955" s="2"/>
    </row>
    <row r="956" spans="12:15">
      <c r="L956" s="2"/>
      <c r="N956" s="2"/>
      <c r="O956" s="2"/>
    </row>
    <row r="957" spans="12:15">
      <c r="L957" s="2"/>
      <c r="N957" s="2"/>
      <c r="O957" s="2"/>
    </row>
    <row r="958" spans="12:15">
      <c r="L958" s="2"/>
      <c r="N958" s="2"/>
      <c r="O958" s="2"/>
    </row>
    <row r="959" spans="12:15">
      <c r="L959" s="2"/>
      <c r="N959" s="2"/>
      <c r="O959" s="2"/>
    </row>
    <row r="960" spans="12:15">
      <c r="L960" s="2"/>
      <c r="N960" s="2"/>
      <c r="O960" s="2"/>
    </row>
    <row r="961" spans="12:15">
      <c r="L961" s="2"/>
      <c r="N961" s="2"/>
      <c r="O961" s="2"/>
    </row>
    <row r="962" spans="12:15">
      <c r="L962" s="2"/>
      <c r="N962" s="2"/>
      <c r="O962" s="2"/>
    </row>
    <row r="963" spans="12:15">
      <c r="L963" s="2"/>
      <c r="N963" s="2"/>
      <c r="O963" s="2"/>
    </row>
    <row r="964" spans="12:15">
      <c r="L964" s="2"/>
      <c r="N964" s="2"/>
      <c r="O964" s="2"/>
    </row>
    <row r="965" spans="12:15">
      <c r="L965" s="2"/>
      <c r="N965" s="2"/>
      <c r="O965" s="2"/>
    </row>
    <row r="966" spans="12:15">
      <c r="L966" s="2"/>
      <c r="N966" s="2"/>
      <c r="O966" s="2"/>
    </row>
    <row r="967" spans="12:15">
      <c r="L967" s="2"/>
      <c r="N967" s="2"/>
      <c r="O967" s="2"/>
    </row>
    <row r="968" spans="12:15">
      <c r="L968" s="2"/>
      <c r="N968" s="2"/>
      <c r="O968" s="2"/>
    </row>
    <row r="969" spans="12:15">
      <c r="L969" s="2"/>
      <c r="N969" s="2"/>
      <c r="O969" s="2"/>
    </row>
    <row r="970" spans="12:15">
      <c r="L970" s="2"/>
      <c r="N970" s="2"/>
      <c r="O970" s="2"/>
    </row>
    <row r="971" spans="12:15">
      <c r="L971" s="2"/>
      <c r="N971" s="2"/>
      <c r="O971" s="2"/>
    </row>
    <row r="972" spans="12:15">
      <c r="L972" s="2"/>
      <c r="N972" s="2"/>
      <c r="O972" s="2"/>
    </row>
    <row r="973" spans="12:15">
      <c r="L973" s="2"/>
      <c r="N973" s="2"/>
      <c r="O973" s="2"/>
    </row>
    <row r="974" spans="12:15">
      <c r="L974" s="2"/>
      <c r="N974" s="2"/>
      <c r="O974" s="2"/>
    </row>
    <row r="975" spans="12:15">
      <c r="L975" s="2"/>
      <c r="N975" s="2"/>
      <c r="O975" s="2"/>
    </row>
    <row r="976" spans="12:15">
      <c r="L976" s="2"/>
      <c r="N976" s="2"/>
      <c r="O976" s="2"/>
    </row>
    <row r="977" spans="12:15">
      <c r="L977" s="2"/>
      <c r="N977" s="2"/>
      <c r="O977" s="2"/>
    </row>
    <row r="978" spans="12:15">
      <c r="L978" s="2"/>
      <c r="N978" s="2"/>
      <c r="O978" s="2"/>
    </row>
    <row r="979" spans="12:15">
      <c r="L979" s="2"/>
      <c r="N979" s="2"/>
      <c r="O979" s="2"/>
    </row>
    <row r="980" spans="12:15">
      <c r="L980" s="2"/>
      <c r="N980" s="2"/>
      <c r="O980" s="2"/>
    </row>
    <row r="981" spans="12:15">
      <c r="L981" s="2"/>
      <c r="N981" s="2"/>
      <c r="O981" s="2"/>
    </row>
    <row r="982" spans="12:15">
      <c r="L982" s="2"/>
      <c r="N982" s="2"/>
      <c r="O982" s="2"/>
    </row>
    <row r="983" spans="12:15">
      <c r="L983" s="2"/>
      <c r="N983" s="2"/>
      <c r="O983" s="2"/>
    </row>
    <row r="984" spans="12:15">
      <c r="L984" s="2"/>
      <c r="N984" s="2"/>
      <c r="O984" s="2"/>
    </row>
    <row r="985" spans="12:15">
      <c r="L985" s="2"/>
      <c r="N985" s="2"/>
      <c r="O985" s="2"/>
    </row>
    <row r="986" spans="12:15">
      <c r="L986" s="2"/>
      <c r="N986" s="2"/>
      <c r="O986" s="2"/>
    </row>
    <row r="987" spans="12:15">
      <c r="L987" s="2"/>
      <c r="N987" s="2"/>
      <c r="O987" s="2"/>
    </row>
    <row r="988" spans="12:15">
      <c r="L988" s="2"/>
      <c r="N988" s="2"/>
      <c r="O988" s="2"/>
    </row>
    <row r="989" spans="12:15">
      <c r="L989" s="2"/>
      <c r="N989" s="2"/>
      <c r="O989" s="2"/>
    </row>
    <row r="990" spans="12:15">
      <c r="L990" s="2"/>
      <c r="N990" s="2"/>
      <c r="O990" s="2"/>
    </row>
    <row r="991" spans="12:15">
      <c r="L991" s="2"/>
      <c r="N991" s="2"/>
      <c r="O991" s="2"/>
    </row>
    <row r="992" spans="12:15">
      <c r="L992" s="2"/>
      <c r="N992" s="2"/>
      <c r="O992" s="2"/>
    </row>
    <row r="993" spans="12:15">
      <c r="L993" s="2"/>
      <c r="N993" s="2"/>
      <c r="O993" s="2"/>
    </row>
    <row r="994" spans="12:15">
      <c r="L994" s="2"/>
      <c r="N994" s="2"/>
      <c r="O994" s="2"/>
    </row>
    <row r="995" spans="12:15">
      <c r="L995" s="2"/>
      <c r="N995" s="2"/>
      <c r="O995" s="2"/>
    </row>
    <row r="996" spans="12:15">
      <c r="L996" s="2"/>
      <c r="N996" s="2"/>
      <c r="O996" s="2"/>
    </row>
    <row r="997" spans="12:15">
      <c r="L997" s="2"/>
      <c r="N997" s="2"/>
      <c r="O997" s="2"/>
    </row>
    <row r="998" spans="12:15">
      <c r="L998" s="2"/>
      <c r="N998" s="2"/>
      <c r="O998" s="2"/>
    </row>
    <row r="999" spans="12:15">
      <c r="L999" s="2"/>
      <c r="N999" s="2"/>
      <c r="O999" s="2"/>
    </row>
    <row r="1000" spans="12:15">
      <c r="L1000" s="2"/>
      <c r="N1000" s="2"/>
      <c r="O1000" s="2"/>
    </row>
    <row r="1001" spans="12:15">
      <c r="L1001" s="2"/>
      <c r="N1001" s="2"/>
      <c r="O1001" s="2"/>
    </row>
    <row r="1002" spans="12:15">
      <c r="L1002" s="2"/>
      <c r="N1002" s="2"/>
      <c r="O1002" s="2"/>
    </row>
    <row r="1003" spans="12:15">
      <c r="L1003" s="2"/>
      <c r="N1003" s="2"/>
      <c r="O1003" s="2"/>
    </row>
    <row r="1004" spans="12:15">
      <c r="L1004" s="2"/>
      <c r="N1004" s="2"/>
      <c r="O1004" s="2"/>
    </row>
    <row r="1005" spans="12:15">
      <c r="L1005" s="2"/>
      <c r="N1005" s="2"/>
      <c r="O1005" s="2"/>
    </row>
    <row r="1006" spans="12:15">
      <c r="L1006" s="2"/>
      <c r="N1006" s="2"/>
      <c r="O1006" s="2"/>
    </row>
    <row r="1007" spans="12:15">
      <c r="L1007" s="2"/>
      <c r="N1007" s="2"/>
      <c r="O1007" s="2"/>
    </row>
    <row r="1008" spans="12:15">
      <c r="L1008" s="2"/>
      <c r="N1008" s="2"/>
      <c r="O1008" s="2"/>
    </row>
    <row r="1009" spans="12:15">
      <c r="L1009" s="2"/>
      <c r="N1009" s="2"/>
      <c r="O1009" s="2"/>
    </row>
    <row r="1010" spans="12:15">
      <c r="L1010" s="2"/>
      <c r="N1010" s="2"/>
      <c r="O1010" s="2"/>
    </row>
    <row r="1011" spans="12:15">
      <c r="L1011" s="2"/>
      <c r="N1011" s="2"/>
      <c r="O1011" s="2"/>
    </row>
    <row r="1012" spans="12:15">
      <c r="L1012" s="2"/>
      <c r="N1012" s="2"/>
      <c r="O1012" s="2"/>
    </row>
    <row r="1013" spans="12:15">
      <c r="L1013" s="2"/>
      <c r="N1013" s="2"/>
      <c r="O1013" s="2"/>
    </row>
    <row r="1014" spans="12:15">
      <c r="L1014" s="2"/>
      <c r="N1014" s="2"/>
      <c r="O1014" s="2"/>
    </row>
    <row r="1015" spans="12:15">
      <c r="L1015" s="2"/>
      <c r="N1015" s="2"/>
      <c r="O1015" s="2"/>
    </row>
    <row r="1016" spans="12:15">
      <c r="L1016" s="2"/>
      <c r="N1016" s="2"/>
      <c r="O1016" s="2"/>
    </row>
    <row r="1017" spans="12:15">
      <c r="L1017" s="2"/>
      <c r="N1017" s="2"/>
      <c r="O1017" s="2"/>
    </row>
    <row r="1018" spans="12:15">
      <c r="L1018" s="2"/>
      <c r="N1018" s="2"/>
      <c r="O1018" s="2"/>
    </row>
    <row r="1019" spans="12:15">
      <c r="L1019" s="2"/>
      <c r="N1019" s="2"/>
      <c r="O1019" s="2"/>
    </row>
    <row r="1020" spans="12:15">
      <c r="L1020" s="2"/>
      <c r="N1020" s="2"/>
      <c r="O1020" s="2"/>
    </row>
    <row r="1021" spans="12:15">
      <c r="L1021" s="2"/>
      <c r="N1021" s="2"/>
      <c r="O1021" s="2"/>
    </row>
    <row r="1022" spans="12:15">
      <c r="L1022" s="2"/>
      <c r="N1022" s="2"/>
      <c r="O1022" s="2"/>
    </row>
    <row r="1023" spans="12:15">
      <c r="L1023" s="2"/>
      <c r="N1023" s="2"/>
      <c r="O1023" s="2"/>
    </row>
    <row r="1024" spans="12:15">
      <c r="L1024" s="2"/>
      <c r="N1024" s="2"/>
      <c r="O1024" s="2"/>
    </row>
    <row r="1025" spans="12:15">
      <c r="L1025" s="2"/>
      <c r="N1025" s="2"/>
      <c r="O1025" s="2"/>
    </row>
    <row r="1026" spans="12:15">
      <c r="L1026" s="2"/>
      <c r="N1026" s="2"/>
      <c r="O1026" s="2"/>
    </row>
    <row r="1027" spans="12:15">
      <c r="L1027" s="2"/>
      <c r="N1027" s="2"/>
      <c r="O1027" s="2"/>
    </row>
    <row r="1028" spans="12:15">
      <c r="L1028" s="2"/>
      <c r="N1028" s="2"/>
      <c r="O1028" s="2"/>
    </row>
    <row r="1029" spans="12:15">
      <c r="L1029" s="2"/>
      <c r="N1029" s="2"/>
      <c r="O1029" s="2"/>
    </row>
    <row r="1030" spans="12:15">
      <c r="L1030" s="2"/>
      <c r="N1030" s="2"/>
      <c r="O1030" s="2"/>
    </row>
    <row r="1031" spans="12:15">
      <c r="L1031" s="2"/>
      <c r="N1031" s="2"/>
      <c r="O1031" s="2"/>
    </row>
    <row r="1032" spans="12:15">
      <c r="L1032" s="2"/>
      <c r="N1032" s="2"/>
      <c r="O1032" s="2"/>
    </row>
    <row r="1033" spans="12:15">
      <c r="L1033" s="2"/>
      <c r="N1033" s="2"/>
      <c r="O1033" s="2"/>
    </row>
    <row r="1034" spans="12:15">
      <c r="L1034" s="2"/>
      <c r="N1034" s="2"/>
      <c r="O1034" s="2"/>
    </row>
    <row r="1035" spans="12:15">
      <c r="L1035" s="2"/>
      <c r="N1035" s="2"/>
      <c r="O1035" s="2"/>
    </row>
    <row r="1036" spans="12:15">
      <c r="L1036" s="2"/>
      <c r="N1036" s="2"/>
      <c r="O1036" s="2"/>
    </row>
    <row r="1037" spans="12:15">
      <c r="L1037" s="2"/>
      <c r="N1037" s="2"/>
      <c r="O1037" s="2"/>
    </row>
    <row r="1038" spans="12:15">
      <c r="L1038" s="2"/>
      <c r="N1038" s="2"/>
      <c r="O1038" s="2"/>
    </row>
    <row r="1039" spans="12:15">
      <c r="L1039" s="2"/>
      <c r="N1039" s="2"/>
      <c r="O1039" s="2"/>
    </row>
    <row r="1040" spans="12:15">
      <c r="L1040" s="2"/>
      <c r="N1040" s="2"/>
      <c r="O1040" s="2"/>
    </row>
    <row r="1041" spans="12:15">
      <c r="L1041" s="2"/>
      <c r="N1041" s="2"/>
      <c r="O1041" s="2"/>
    </row>
    <row r="1042" spans="12:15">
      <c r="L1042" s="2"/>
      <c r="N1042" s="2"/>
      <c r="O1042" s="2"/>
    </row>
    <row r="1043" spans="12:15">
      <c r="L1043" s="2"/>
      <c r="N1043" s="2"/>
      <c r="O1043" s="2"/>
    </row>
    <row r="1044" spans="12:15">
      <c r="L1044" s="2"/>
      <c r="N1044" s="2"/>
      <c r="O1044" s="2"/>
    </row>
    <row r="1045" spans="12:15">
      <c r="L1045" s="2"/>
      <c r="N1045" s="2"/>
      <c r="O1045" s="2"/>
    </row>
    <row r="1046" spans="12:15">
      <c r="L1046" s="2"/>
      <c r="N1046" s="2"/>
      <c r="O1046" s="2"/>
    </row>
    <row r="1047" spans="12:15">
      <c r="L1047" s="2"/>
      <c r="N1047" s="2"/>
      <c r="O1047" s="2"/>
    </row>
    <row r="1048" spans="12:15">
      <c r="L1048" s="2"/>
      <c r="N1048" s="2"/>
      <c r="O1048" s="2"/>
    </row>
    <row r="1049" spans="12:15">
      <c r="L1049" s="2"/>
      <c r="N1049" s="2"/>
      <c r="O1049" s="2"/>
    </row>
    <row r="1050" spans="12:15">
      <c r="L1050" s="2"/>
      <c r="N1050" s="2"/>
      <c r="O1050" s="2"/>
    </row>
    <row r="1051" spans="12:15">
      <c r="L1051" s="2"/>
      <c r="N1051" s="2"/>
      <c r="O1051" s="2"/>
    </row>
    <row r="1052" spans="12:15">
      <c r="L1052" s="2"/>
      <c r="N1052" s="2"/>
      <c r="O1052" s="2"/>
    </row>
    <row r="1053" spans="12:15">
      <c r="L1053" s="2"/>
      <c r="N1053" s="2"/>
      <c r="O1053" s="2"/>
    </row>
    <row r="1054" spans="12:15">
      <c r="L1054" s="2"/>
      <c r="N1054" s="2"/>
      <c r="O1054" s="2"/>
    </row>
    <row r="1055" spans="12:15">
      <c r="L1055" s="2"/>
      <c r="N1055" s="2"/>
      <c r="O1055" s="2"/>
    </row>
    <row r="1056" spans="12:15">
      <c r="L1056" s="2"/>
      <c r="N1056" s="2"/>
      <c r="O1056" s="2"/>
    </row>
    <row r="1057" spans="12:15">
      <c r="L1057" s="2"/>
      <c r="N1057" s="2"/>
      <c r="O1057" s="2"/>
    </row>
    <row r="1058" spans="12:15">
      <c r="L1058" s="2"/>
      <c r="N1058" s="2"/>
      <c r="O1058" s="2"/>
    </row>
    <row r="1059" spans="12:15">
      <c r="L1059" s="2"/>
      <c r="N1059" s="2"/>
      <c r="O1059" s="2"/>
    </row>
    <row r="1060" spans="12:15">
      <c r="L1060" s="2"/>
      <c r="N1060" s="2"/>
      <c r="O1060" s="2"/>
    </row>
    <row r="1061" spans="12:15">
      <c r="L1061" s="2"/>
      <c r="N1061" s="2"/>
      <c r="O1061" s="2"/>
    </row>
    <row r="1062" spans="12:15">
      <c r="L1062" s="2"/>
      <c r="N1062" s="2"/>
      <c r="O1062" s="2"/>
    </row>
    <row r="1063" spans="12:15">
      <c r="L1063" s="2"/>
      <c r="N1063" s="2"/>
      <c r="O1063" s="2"/>
    </row>
    <row r="1064" spans="12:15">
      <c r="L1064" s="2"/>
      <c r="N1064" s="2"/>
      <c r="O1064" s="2"/>
    </row>
    <row r="1065" spans="12:15">
      <c r="L1065" s="2"/>
      <c r="N1065" s="2"/>
      <c r="O1065" s="2"/>
    </row>
    <row r="1066" spans="12:15">
      <c r="L1066" s="2"/>
      <c r="N1066" s="2"/>
      <c r="O1066" s="2"/>
    </row>
    <row r="1067" spans="12:15">
      <c r="L1067" s="2"/>
      <c r="N1067" s="2"/>
      <c r="O1067" s="2"/>
    </row>
    <row r="1068" spans="12:15">
      <c r="L1068" s="2"/>
      <c r="N1068" s="2"/>
      <c r="O1068" s="2"/>
    </row>
    <row r="1069" spans="12:15">
      <c r="L1069" s="2"/>
      <c r="N1069" s="2"/>
      <c r="O1069" s="2"/>
    </row>
    <row r="1070" spans="12:15">
      <c r="L1070" s="2"/>
      <c r="N1070" s="2"/>
      <c r="O1070" s="2"/>
    </row>
    <row r="1071" spans="12:15">
      <c r="L1071" s="2"/>
      <c r="N1071" s="2"/>
      <c r="O1071" s="2"/>
    </row>
    <row r="1072" spans="12:15">
      <c r="L1072" s="2"/>
      <c r="N1072" s="2"/>
      <c r="O1072" s="2"/>
    </row>
    <row r="1073" spans="12:15">
      <c r="L1073" s="2"/>
      <c r="N1073" s="2"/>
      <c r="O1073" s="2"/>
    </row>
    <row r="1074" spans="12:15">
      <c r="L1074" s="2"/>
      <c r="N1074" s="2"/>
      <c r="O1074" s="2"/>
    </row>
    <row r="1075" spans="12:15">
      <c r="L1075" s="2"/>
      <c r="N1075" s="2"/>
      <c r="O1075" s="2"/>
    </row>
    <row r="1076" spans="12:15">
      <c r="L1076" s="2"/>
      <c r="N1076" s="2"/>
      <c r="O1076" s="2"/>
    </row>
    <row r="1077" spans="12:15">
      <c r="L1077" s="2"/>
      <c r="N1077" s="2"/>
      <c r="O1077" s="2"/>
    </row>
    <row r="1078" spans="12:15">
      <c r="L1078" s="2"/>
      <c r="N1078" s="2"/>
      <c r="O1078" s="2"/>
    </row>
    <row r="1079" spans="12:15">
      <c r="L1079" s="2"/>
      <c r="N1079" s="2"/>
      <c r="O1079" s="2"/>
    </row>
    <row r="1080" spans="12:15">
      <c r="L1080" s="2"/>
      <c r="N1080" s="2"/>
      <c r="O1080" s="2"/>
    </row>
    <row r="1081" spans="12:15">
      <c r="L1081" s="2"/>
      <c r="N1081" s="2"/>
      <c r="O1081" s="2"/>
    </row>
    <row r="1082" spans="12:15">
      <c r="L1082" s="2"/>
      <c r="N1082" s="2"/>
      <c r="O1082" s="2"/>
    </row>
    <row r="1083" spans="12:15">
      <c r="L1083" s="2"/>
      <c r="N1083" s="2"/>
      <c r="O1083" s="2"/>
    </row>
    <row r="1084" spans="12:15">
      <c r="L1084" s="2"/>
      <c r="N1084" s="2"/>
      <c r="O1084" s="2"/>
    </row>
    <row r="1085" spans="12:15">
      <c r="L1085" s="2"/>
      <c r="N1085" s="2"/>
      <c r="O1085" s="2"/>
    </row>
    <row r="1086" spans="12:15">
      <c r="L1086" s="2"/>
      <c r="N1086" s="2"/>
      <c r="O1086" s="2"/>
    </row>
    <row r="1087" spans="12:15">
      <c r="L1087" s="2"/>
      <c r="N1087" s="2"/>
      <c r="O1087" s="2"/>
    </row>
    <row r="1088" spans="12:15">
      <c r="L1088" s="2"/>
      <c r="N1088" s="2"/>
      <c r="O1088" s="2"/>
    </row>
    <row r="1089" spans="12:15">
      <c r="L1089" s="2"/>
      <c r="N1089" s="2"/>
      <c r="O1089" s="2"/>
    </row>
    <row r="1090" spans="12:15">
      <c r="L1090" s="2"/>
      <c r="N1090" s="2"/>
      <c r="O1090" s="2"/>
    </row>
    <row r="1091" spans="12:15">
      <c r="L1091" s="2"/>
      <c r="N1091" s="2"/>
      <c r="O1091" s="2"/>
    </row>
    <row r="1092" spans="12:15">
      <c r="L1092" s="2"/>
      <c r="N1092" s="2"/>
      <c r="O1092" s="2"/>
    </row>
    <row r="1093" spans="12:15">
      <c r="L1093" s="2"/>
      <c r="N1093" s="2"/>
      <c r="O1093" s="2"/>
    </row>
    <row r="1094" spans="12:15">
      <c r="L1094" s="2"/>
      <c r="N1094" s="2"/>
      <c r="O1094" s="2"/>
    </row>
    <row r="1095" spans="12:15">
      <c r="L1095" s="2"/>
      <c r="N1095" s="2"/>
      <c r="O1095" s="2"/>
    </row>
    <row r="1096" spans="12:15">
      <c r="L1096" s="2"/>
      <c r="N1096" s="2"/>
      <c r="O1096" s="2"/>
    </row>
    <row r="1097" spans="12:15">
      <c r="L1097" s="2"/>
      <c r="N1097" s="2"/>
      <c r="O1097" s="2"/>
    </row>
    <row r="1098" spans="12:15">
      <c r="L1098" s="2"/>
      <c r="N1098" s="2"/>
      <c r="O1098" s="2"/>
    </row>
    <row r="1099" spans="12:15">
      <c r="L1099" s="2"/>
      <c r="N1099" s="2"/>
      <c r="O1099" s="2"/>
    </row>
    <row r="1100" spans="12:15">
      <c r="L1100" s="2"/>
      <c r="N1100" s="2"/>
      <c r="O1100" s="2"/>
    </row>
    <row r="1101" spans="12:15">
      <c r="L1101" s="2"/>
      <c r="N1101" s="2"/>
      <c r="O1101" s="2"/>
    </row>
    <row r="1102" spans="12:15">
      <c r="L1102" s="2"/>
      <c r="N1102" s="2"/>
      <c r="O1102" s="2"/>
    </row>
    <row r="1103" spans="12:15">
      <c r="L1103" s="2"/>
      <c r="N1103" s="2"/>
      <c r="O1103" s="2"/>
    </row>
    <row r="1104" spans="12:15">
      <c r="L1104" s="2"/>
      <c r="N1104" s="2"/>
      <c r="O1104" s="2"/>
    </row>
    <row r="1105" spans="12:15">
      <c r="L1105" s="2"/>
      <c r="N1105" s="2"/>
      <c r="O1105" s="2"/>
    </row>
    <row r="1106" spans="12:15">
      <c r="L1106" s="2"/>
      <c r="N1106" s="2"/>
      <c r="O1106" s="2"/>
    </row>
    <row r="1107" spans="12:15">
      <c r="L1107" s="2"/>
      <c r="N1107" s="2"/>
      <c r="O1107" s="2"/>
    </row>
    <row r="1108" spans="12:15">
      <c r="L1108" s="2"/>
      <c r="N1108" s="2"/>
      <c r="O1108" s="2"/>
    </row>
    <row r="1109" spans="12:15">
      <c r="L1109" s="2"/>
      <c r="N1109" s="2"/>
      <c r="O1109" s="2"/>
    </row>
    <row r="1110" spans="12:15">
      <c r="L1110" s="2"/>
      <c r="N1110" s="2"/>
      <c r="O1110" s="2"/>
    </row>
    <row r="1111" spans="12:15">
      <c r="L1111" s="2"/>
      <c r="N1111" s="2"/>
      <c r="O1111" s="2"/>
    </row>
    <row r="1112" spans="12:15">
      <c r="L1112" s="2"/>
      <c r="N1112" s="2"/>
      <c r="O1112" s="2"/>
    </row>
    <row r="1113" spans="12:15">
      <c r="L1113" s="2"/>
      <c r="N1113" s="2"/>
      <c r="O1113" s="2"/>
    </row>
    <row r="1114" spans="12:15">
      <c r="L1114" s="2"/>
      <c r="N1114" s="2"/>
      <c r="O1114" s="2"/>
    </row>
    <row r="1115" spans="12:15">
      <c r="L1115" s="2"/>
      <c r="N1115" s="2"/>
      <c r="O1115" s="2"/>
    </row>
    <row r="1116" spans="12:15">
      <c r="L1116" s="2"/>
      <c r="N1116" s="2"/>
      <c r="O1116" s="2"/>
    </row>
    <row r="1117" spans="12:15">
      <c r="L1117" s="2"/>
      <c r="N1117" s="2"/>
      <c r="O1117" s="2"/>
    </row>
    <row r="1118" spans="12:15">
      <c r="L1118" s="2"/>
      <c r="N1118" s="2"/>
      <c r="O1118" s="2"/>
    </row>
    <row r="1119" spans="12:15">
      <c r="L1119" s="2"/>
      <c r="N1119" s="2"/>
      <c r="O1119" s="2"/>
    </row>
    <row r="1120" spans="12:15">
      <c r="L1120" s="2"/>
      <c r="N1120" s="2"/>
      <c r="O1120" s="2"/>
    </row>
    <row r="1121" spans="12:15">
      <c r="L1121" s="2"/>
      <c r="N1121" s="2"/>
      <c r="O1121" s="2"/>
    </row>
    <row r="1122" spans="12:15">
      <c r="L1122" s="2"/>
      <c r="N1122" s="2"/>
      <c r="O1122" s="2"/>
    </row>
    <row r="1123" spans="12:15">
      <c r="L1123" s="2"/>
      <c r="N1123" s="2"/>
      <c r="O1123" s="2"/>
    </row>
    <row r="1124" spans="12:15">
      <c r="L1124" s="2"/>
      <c r="N1124" s="2"/>
      <c r="O1124" s="2"/>
    </row>
    <row r="1125" spans="12:15">
      <c r="L1125" s="2"/>
      <c r="N1125" s="2"/>
      <c r="O1125" s="2"/>
    </row>
    <row r="1126" spans="12:15">
      <c r="L1126" s="2"/>
      <c r="N1126" s="2"/>
      <c r="O1126" s="2"/>
    </row>
    <row r="1127" spans="12:15">
      <c r="L1127" s="2"/>
      <c r="N1127" s="2"/>
      <c r="O1127" s="2"/>
    </row>
    <row r="1128" spans="12:15">
      <c r="L1128" s="2"/>
      <c r="N1128" s="2"/>
      <c r="O1128" s="2"/>
    </row>
    <row r="1129" spans="12:15">
      <c r="L1129" s="2"/>
      <c r="N1129" s="2"/>
      <c r="O1129" s="2"/>
    </row>
    <row r="1130" spans="12:15">
      <c r="L1130" s="2"/>
      <c r="N1130" s="2"/>
      <c r="O1130" s="2"/>
    </row>
    <row r="1131" spans="12:15">
      <c r="L1131" s="2"/>
      <c r="N1131" s="2"/>
      <c r="O1131" s="2"/>
    </row>
    <row r="1132" spans="12:15">
      <c r="L1132" s="2"/>
      <c r="N1132" s="2"/>
      <c r="O1132" s="2"/>
    </row>
    <row r="1133" spans="12:15">
      <c r="L1133" s="2"/>
      <c r="N1133" s="2"/>
      <c r="O1133" s="2"/>
    </row>
    <row r="1134" spans="12:15">
      <c r="L1134" s="2"/>
      <c r="N1134" s="2"/>
      <c r="O1134" s="2"/>
    </row>
    <row r="1135" spans="12:15">
      <c r="L1135" s="2"/>
      <c r="N1135" s="2"/>
      <c r="O1135" s="2"/>
    </row>
    <row r="1136" spans="12:15">
      <c r="L1136" s="2"/>
      <c r="N1136" s="2"/>
      <c r="O1136" s="2"/>
    </row>
    <row r="1137" spans="12:15">
      <c r="L1137" s="2"/>
      <c r="N1137" s="2"/>
      <c r="O1137" s="2"/>
    </row>
    <row r="1138" spans="12:15">
      <c r="L1138" s="2"/>
      <c r="N1138" s="2"/>
      <c r="O1138" s="2"/>
    </row>
    <row r="1139" spans="12:15">
      <c r="L1139" s="2"/>
      <c r="N1139" s="2"/>
      <c r="O1139" s="2"/>
    </row>
    <row r="1140" spans="12:15">
      <c r="L1140" s="2"/>
      <c r="N1140" s="2"/>
      <c r="O1140" s="2"/>
    </row>
    <row r="1141" spans="12:15">
      <c r="L1141" s="2"/>
      <c r="N1141" s="2"/>
      <c r="O1141" s="2"/>
    </row>
    <row r="1142" spans="12:15">
      <c r="L1142" s="2"/>
      <c r="N1142" s="2"/>
      <c r="O1142" s="2"/>
    </row>
    <row r="1143" spans="12:15">
      <c r="L1143" s="2"/>
      <c r="N1143" s="2"/>
      <c r="O1143" s="2"/>
    </row>
    <row r="1144" spans="12:15">
      <c r="L1144" s="2"/>
      <c r="N1144" s="2"/>
      <c r="O1144" s="2"/>
    </row>
    <row r="1145" spans="12:15">
      <c r="L1145" s="2"/>
      <c r="N1145" s="2"/>
      <c r="O1145" s="2"/>
    </row>
    <row r="1146" spans="12:15">
      <c r="L1146" s="2"/>
      <c r="N1146" s="2"/>
      <c r="O1146" s="2"/>
    </row>
    <row r="1147" spans="12:15">
      <c r="L1147" s="2"/>
      <c r="N1147" s="2"/>
      <c r="O1147" s="2"/>
    </row>
    <row r="1148" spans="12:15">
      <c r="L1148" s="2"/>
      <c r="N1148" s="2"/>
      <c r="O1148" s="2"/>
    </row>
    <row r="1149" spans="12:15">
      <c r="L1149" s="2"/>
      <c r="N1149" s="2"/>
      <c r="O1149" s="2"/>
    </row>
    <row r="1150" spans="12:15">
      <c r="L1150" s="2"/>
      <c r="N1150" s="2"/>
      <c r="O1150" s="2"/>
    </row>
    <row r="1151" spans="12:15">
      <c r="L1151" s="2"/>
      <c r="N1151" s="2"/>
      <c r="O1151" s="2"/>
    </row>
    <row r="1152" spans="12:15">
      <c r="L1152" s="2"/>
      <c r="N1152" s="2"/>
      <c r="O1152" s="2"/>
    </row>
    <row r="1153" spans="12:15">
      <c r="L1153" s="2"/>
      <c r="N1153" s="2"/>
      <c r="O1153" s="2"/>
    </row>
    <row r="1154" spans="12:15">
      <c r="L1154" s="2"/>
      <c r="N1154" s="2"/>
      <c r="O1154" s="2"/>
    </row>
    <row r="1155" spans="12:15">
      <c r="L1155" s="2"/>
      <c r="N1155" s="2"/>
      <c r="O1155" s="2"/>
    </row>
    <row r="1156" spans="12:15">
      <c r="L1156" s="2"/>
      <c r="N1156" s="2"/>
      <c r="O1156" s="2"/>
    </row>
    <row r="1157" spans="12:15">
      <c r="L1157" s="2"/>
      <c r="N1157" s="2"/>
      <c r="O1157" s="2"/>
    </row>
    <row r="1158" spans="12:15">
      <c r="L1158" s="2"/>
      <c r="N1158" s="2"/>
      <c r="O1158" s="2"/>
    </row>
    <row r="1159" spans="12:15">
      <c r="L1159" s="2"/>
      <c r="N1159" s="2"/>
      <c r="O1159" s="2"/>
    </row>
    <row r="1160" spans="12:15">
      <c r="L1160" s="2"/>
      <c r="N1160" s="2"/>
      <c r="O1160" s="2"/>
    </row>
    <row r="1161" spans="12:15">
      <c r="L1161" s="2"/>
      <c r="N1161" s="2"/>
      <c r="O1161" s="2"/>
    </row>
    <row r="1162" spans="12:15">
      <c r="L1162" s="2"/>
      <c r="N1162" s="2"/>
      <c r="O1162" s="2"/>
    </row>
    <row r="1163" spans="12:15">
      <c r="L1163" s="2"/>
      <c r="N1163" s="2"/>
      <c r="O1163" s="2"/>
    </row>
    <row r="1164" spans="12:15">
      <c r="L1164" s="2"/>
      <c r="N1164" s="2"/>
      <c r="O1164" s="2"/>
    </row>
    <row r="1165" spans="12:15">
      <c r="L1165" s="2"/>
      <c r="N1165" s="2"/>
      <c r="O1165" s="2"/>
    </row>
    <row r="1166" spans="12:15">
      <c r="L1166" s="2"/>
      <c r="N1166" s="2"/>
      <c r="O1166" s="2"/>
    </row>
    <row r="1167" spans="12:15">
      <c r="L1167" s="2"/>
      <c r="N1167" s="2"/>
      <c r="O1167" s="2"/>
    </row>
    <row r="1168" spans="12:15">
      <c r="L1168" s="2"/>
      <c r="N1168" s="2"/>
      <c r="O1168" s="2"/>
    </row>
    <row r="1169" spans="12:15">
      <c r="L1169" s="2"/>
      <c r="N1169" s="2"/>
      <c r="O1169" s="2"/>
    </row>
    <row r="1170" spans="12:15">
      <c r="L1170" s="2"/>
      <c r="N1170" s="2"/>
      <c r="O1170" s="2"/>
    </row>
    <row r="1171" spans="12:15">
      <c r="L1171" s="2"/>
      <c r="N1171" s="2"/>
      <c r="O1171" s="2"/>
    </row>
    <row r="1172" spans="12:15">
      <c r="L1172" s="2"/>
      <c r="N1172" s="2"/>
      <c r="O1172" s="2"/>
    </row>
    <row r="1173" spans="12:15">
      <c r="L1173" s="2"/>
      <c r="N1173" s="2"/>
      <c r="O1173" s="2"/>
    </row>
    <row r="1174" spans="12:15">
      <c r="L1174" s="2"/>
      <c r="N1174" s="2"/>
      <c r="O1174" s="2"/>
    </row>
    <row r="1175" spans="12:15">
      <c r="L1175" s="2"/>
      <c r="N1175" s="2"/>
      <c r="O1175" s="2"/>
    </row>
    <row r="1176" spans="12:15">
      <c r="L1176" s="2"/>
      <c r="N1176" s="2"/>
      <c r="O1176" s="2"/>
    </row>
    <row r="1177" spans="12:15">
      <c r="L1177" s="2"/>
      <c r="N1177" s="2"/>
      <c r="O1177" s="2"/>
    </row>
    <row r="1178" spans="12:15">
      <c r="L1178" s="2"/>
      <c r="N1178" s="2"/>
      <c r="O1178" s="2"/>
    </row>
    <row r="1179" spans="12:15">
      <c r="L1179" s="2"/>
      <c r="N1179" s="2"/>
      <c r="O1179" s="2"/>
    </row>
    <row r="1180" spans="12:15">
      <c r="L1180" s="2"/>
      <c r="N1180" s="2"/>
      <c r="O1180" s="2"/>
    </row>
    <row r="1181" spans="12:15">
      <c r="L1181" s="2"/>
      <c r="N1181" s="2"/>
      <c r="O1181" s="2"/>
    </row>
    <row r="1182" spans="12:15">
      <c r="L1182" s="2"/>
      <c r="N1182" s="2"/>
      <c r="O1182" s="2"/>
    </row>
    <row r="1183" spans="12:15">
      <c r="L1183" s="2"/>
      <c r="N1183" s="2"/>
      <c r="O1183" s="2"/>
    </row>
    <row r="1184" spans="12:15">
      <c r="L1184" s="2"/>
      <c r="N1184" s="2"/>
      <c r="O1184" s="2"/>
    </row>
    <row r="1185" spans="12:15">
      <c r="L1185" s="2"/>
      <c r="N1185" s="2"/>
      <c r="O1185" s="2"/>
    </row>
    <row r="1186" spans="12:15">
      <c r="L1186" s="2"/>
      <c r="N1186" s="2"/>
      <c r="O1186" s="2"/>
    </row>
    <row r="1187" spans="12:15">
      <c r="L1187" s="2"/>
      <c r="N1187" s="2"/>
      <c r="O1187" s="2"/>
    </row>
    <row r="1188" spans="12:15">
      <c r="L1188" s="2"/>
      <c r="N1188" s="2"/>
      <c r="O1188" s="2"/>
    </row>
    <row r="1189" spans="12:15">
      <c r="L1189" s="2"/>
      <c r="N1189" s="2"/>
      <c r="O1189" s="2"/>
    </row>
    <row r="1190" spans="12:15">
      <c r="L1190" s="2"/>
      <c r="N1190" s="2"/>
      <c r="O1190" s="2"/>
    </row>
    <row r="1191" spans="12:15">
      <c r="L1191" s="2"/>
      <c r="N1191" s="2"/>
      <c r="O1191" s="2"/>
    </row>
    <row r="1192" spans="12:15">
      <c r="L1192" s="2"/>
      <c r="N1192" s="2"/>
      <c r="O1192" s="2"/>
    </row>
    <row r="1193" spans="12:15">
      <c r="L1193" s="2"/>
      <c r="N1193" s="2"/>
      <c r="O1193" s="2"/>
    </row>
    <row r="1194" spans="12:15">
      <c r="L1194" s="2"/>
      <c r="N1194" s="2"/>
      <c r="O1194" s="2"/>
    </row>
    <row r="1195" spans="12:15">
      <c r="L1195" s="2"/>
      <c r="N1195" s="2"/>
      <c r="O1195" s="2"/>
    </row>
    <row r="1196" spans="12:15">
      <c r="L1196" s="2"/>
      <c r="N1196" s="2"/>
      <c r="O1196" s="2"/>
    </row>
    <row r="1197" spans="12:15">
      <c r="L1197" s="2"/>
      <c r="N1197" s="2"/>
      <c r="O1197" s="2"/>
    </row>
    <row r="1198" spans="12:15">
      <c r="L1198" s="2"/>
      <c r="N1198" s="2"/>
      <c r="O1198" s="2"/>
    </row>
    <row r="1199" spans="12:15">
      <c r="L1199" s="2"/>
      <c r="N1199" s="2"/>
      <c r="O1199" s="2"/>
    </row>
    <row r="1200" spans="12:15">
      <c r="L1200" s="2"/>
      <c r="N1200" s="2"/>
      <c r="O1200" s="2"/>
    </row>
    <row r="1201" spans="12:15">
      <c r="L1201" s="2"/>
      <c r="N1201" s="2"/>
      <c r="O1201" s="2"/>
    </row>
    <row r="1202" spans="12:15">
      <c r="L1202" s="2"/>
      <c r="N1202" s="2"/>
      <c r="O1202" s="2"/>
    </row>
    <row r="1203" spans="12:15">
      <c r="L1203" s="2"/>
      <c r="N1203" s="2"/>
      <c r="O1203" s="2"/>
    </row>
    <row r="1204" spans="12:15">
      <c r="L1204" s="2"/>
      <c r="N1204" s="2"/>
      <c r="O1204" s="2"/>
    </row>
    <row r="1205" spans="12:15">
      <c r="L1205" s="2"/>
      <c r="N1205" s="2"/>
      <c r="O1205" s="2"/>
    </row>
    <row r="1206" spans="12:15">
      <c r="L1206" s="2"/>
      <c r="N1206" s="2"/>
      <c r="O1206" s="2"/>
    </row>
    <row r="1207" spans="12:15">
      <c r="L1207" s="2"/>
      <c r="N1207" s="2"/>
      <c r="O1207" s="2"/>
    </row>
    <row r="1208" spans="12:15">
      <c r="L1208" s="2"/>
      <c r="N1208" s="2"/>
      <c r="O1208" s="2"/>
    </row>
    <row r="1209" spans="12:15">
      <c r="L1209" s="2"/>
      <c r="N1209" s="2"/>
      <c r="O1209" s="2"/>
    </row>
    <row r="1210" spans="12:15">
      <c r="L1210" s="2"/>
      <c r="N1210" s="2"/>
      <c r="O1210" s="2"/>
    </row>
    <row r="1211" spans="12:15">
      <c r="L1211" s="2"/>
      <c r="N1211" s="2"/>
      <c r="O1211" s="2"/>
    </row>
    <row r="1212" spans="12:15">
      <c r="L1212" s="2"/>
      <c r="N1212" s="2"/>
      <c r="O1212" s="2"/>
    </row>
    <row r="1213" spans="12:15">
      <c r="L1213" s="2"/>
      <c r="N1213" s="2"/>
      <c r="O1213" s="2"/>
    </row>
    <row r="1214" spans="12:15">
      <c r="L1214" s="2"/>
      <c r="N1214" s="2"/>
      <c r="O1214" s="2"/>
    </row>
    <row r="1215" spans="12:15">
      <c r="L1215" s="2"/>
      <c r="N1215" s="2"/>
      <c r="O1215" s="2"/>
    </row>
    <row r="1216" spans="12:15">
      <c r="L1216" s="2"/>
      <c r="N1216" s="2"/>
      <c r="O1216" s="2"/>
    </row>
    <row r="1217" spans="12:15">
      <c r="L1217" s="2"/>
      <c r="N1217" s="2"/>
      <c r="O1217" s="2"/>
    </row>
    <row r="1218" spans="12:15">
      <c r="L1218" s="2"/>
      <c r="N1218" s="2"/>
      <c r="O1218" s="2"/>
    </row>
    <row r="1219" spans="12:15">
      <c r="L1219" s="2"/>
      <c r="N1219" s="2"/>
      <c r="O1219" s="2"/>
    </row>
    <row r="1220" spans="12:15">
      <c r="L1220" s="2"/>
      <c r="N1220" s="2"/>
      <c r="O1220" s="2"/>
    </row>
    <row r="1221" spans="12:15">
      <c r="L1221" s="2"/>
      <c r="N1221" s="2"/>
      <c r="O1221" s="2"/>
    </row>
    <row r="1222" spans="12:15">
      <c r="L1222" s="2"/>
      <c r="N1222" s="2"/>
      <c r="O1222" s="2"/>
    </row>
    <row r="1223" spans="12:15">
      <c r="L1223" s="2"/>
      <c r="N1223" s="2"/>
      <c r="O1223" s="2"/>
    </row>
    <row r="1224" spans="12:15">
      <c r="L1224" s="2"/>
      <c r="N1224" s="2"/>
      <c r="O1224" s="2"/>
    </row>
    <row r="1225" spans="12:15">
      <c r="L1225" s="2"/>
      <c r="N1225" s="2"/>
      <c r="O1225" s="2"/>
    </row>
    <row r="1226" spans="12:15">
      <c r="L1226" s="2"/>
      <c r="N1226" s="2"/>
      <c r="O1226" s="2"/>
    </row>
    <row r="1227" spans="12:15">
      <c r="L1227" s="2"/>
      <c r="N1227" s="2"/>
      <c r="O1227" s="2"/>
    </row>
    <row r="1228" spans="12:15">
      <c r="L1228" s="2"/>
      <c r="N1228" s="2"/>
      <c r="O1228" s="2"/>
    </row>
    <row r="1229" spans="12:15">
      <c r="N1229" s="3"/>
      <c r="O1229" s="3"/>
    </row>
    <row r="1230" spans="12:15">
      <c r="L1230" s="2"/>
      <c r="N1230" s="2"/>
      <c r="O1230" s="2"/>
    </row>
    <row r="1231" spans="12:15">
      <c r="L1231" s="2"/>
      <c r="N1231" s="2"/>
      <c r="O1231" s="2"/>
    </row>
    <row r="1232" spans="12:15">
      <c r="L1232" s="2"/>
      <c r="N1232" s="2"/>
      <c r="O1232" s="2"/>
    </row>
    <row r="1233" spans="12:15">
      <c r="L1233" s="2"/>
      <c r="N1233" s="2"/>
      <c r="O1233" s="2"/>
    </row>
    <row r="1234" spans="12:15">
      <c r="L1234" s="2"/>
      <c r="N1234" s="2"/>
      <c r="O1234" s="2"/>
    </row>
    <row r="1235" spans="12:15">
      <c r="L1235" s="2"/>
      <c r="N1235" s="2"/>
      <c r="O1235" s="2"/>
    </row>
    <row r="1236" spans="12:15">
      <c r="L1236" s="2"/>
      <c r="N1236" s="2"/>
      <c r="O1236" s="2"/>
    </row>
    <row r="1237" spans="12:15">
      <c r="L1237" s="2"/>
      <c r="N1237" s="2"/>
      <c r="O1237" s="2"/>
    </row>
    <row r="1238" spans="12:15">
      <c r="L1238" s="2"/>
      <c r="N1238" s="2"/>
      <c r="O1238" s="2"/>
    </row>
    <row r="1239" spans="12:15">
      <c r="L1239" s="2"/>
      <c r="N1239" s="2"/>
      <c r="O1239" s="2"/>
    </row>
    <row r="1240" spans="12:15">
      <c r="L1240" s="2"/>
      <c r="N1240" s="2"/>
      <c r="O1240" s="2"/>
    </row>
    <row r="1241" spans="12:15">
      <c r="L1241" s="2"/>
      <c r="N1241" s="2"/>
      <c r="O1241" s="2"/>
    </row>
    <row r="1242" spans="12:15">
      <c r="L1242" s="2"/>
      <c r="N1242" s="2"/>
      <c r="O1242" s="2"/>
    </row>
    <row r="1243" spans="12:15">
      <c r="L1243" s="2"/>
      <c r="N1243" s="2"/>
      <c r="O1243" s="2"/>
    </row>
    <row r="1244" spans="12:15">
      <c r="L1244" s="2"/>
      <c r="N1244" s="2"/>
      <c r="O1244" s="2"/>
    </row>
    <row r="1245" spans="12:15">
      <c r="L1245" s="2"/>
      <c r="N1245" s="2"/>
      <c r="O1245" s="2"/>
    </row>
    <row r="1246" spans="12:15">
      <c r="L1246" s="2"/>
      <c r="N1246" s="2"/>
      <c r="O1246" s="2"/>
    </row>
    <row r="1247" spans="12:15">
      <c r="L1247" s="2"/>
      <c r="N1247" s="2"/>
      <c r="O1247" s="2"/>
    </row>
    <row r="1248" spans="12:15">
      <c r="L1248" s="2"/>
      <c r="N1248" s="2"/>
      <c r="O1248" s="2"/>
    </row>
    <row r="1249" spans="12:15">
      <c r="L1249" s="2"/>
      <c r="N1249" s="2"/>
      <c r="O1249" s="2"/>
    </row>
    <row r="1250" spans="12:15">
      <c r="L1250" s="2"/>
      <c r="N1250" s="2"/>
      <c r="O1250" s="2"/>
    </row>
    <row r="1251" spans="12:15">
      <c r="L1251" s="2"/>
      <c r="N1251" s="2"/>
      <c r="O1251" s="2"/>
    </row>
    <row r="1252" spans="12:15">
      <c r="L1252" s="2"/>
      <c r="N1252" s="2"/>
      <c r="O1252" s="2"/>
    </row>
    <row r="1253" spans="12:15">
      <c r="L1253" s="2"/>
      <c r="N1253" s="2"/>
      <c r="O1253" s="2"/>
    </row>
    <row r="1254" spans="12:15">
      <c r="L1254" s="2"/>
      <c r="N1254" s="2"/>
      <c r="O1254" s="2"/>
    </row>
    <row r="1255" spans="12:15">
      <c r="L1255" s="2"/>
      <c r="N1255" s="2"/>
      <c r="O1255" s="2"/>
    </row>
    <row r="1256" spans="12:15">
      <c r="L1256" s="2"/>
      <c r="N1256" s="2"/>
      <c r="O1256" s="2"/>
    </row>
    <row r="1257" spans="12:15">
      <c r="L1257" s="2"/>
      <c r="N1257" s="2"/>
      <c r="O1257" s="2"/>
    </row>
    <row r="1258" spans="12:15">
      <c r="L1258" s="2"/>
      <c r="N1258" s="2"/>
      <c r="O1258" s="2"/>
    </row>
    <row r="1259" spans="12:15">
      <c r="L1259" s="2"/>
      <c r="N1259" s="2"/>
      <c r="O1259" s="2"/>
    </row>
    <row r="1260" spans="12:15">
      <c r="L1260" s="2"/>
      <c r="N1260" s="2"/>
      <c r="O1260" s="2"/>
    </row>
    <row r="1261" spans="12:15">
      <c r="L1261" s="2"/>
      <c r="N1261" s="2"/>
      <c r="O1261" s="2"/>
    </row>
    <row r="1262" spans="12:15">
      <c r="L1262" s="2"/>
      <c r="N1262" s="2"/>
      <c r="O1262" s="2"/>
    </row>
    <row r="1263" spans="12:15">
      <c r="L1263" s="2"/>
      <c r="N1263" s="2"/>
      <c r="O1263" s="2"/>
    </row>
    <row r="1264" spans="12:15">
      <c r="L1264" s="2"/>
      <c r="N1264" s="2"/>
      <c r="O1264" s="2"/>
    </row>
    <row r="1265" spans="12:15">
      <c r="L1265" s="2"/>
      <c r="N1265" s="2"/>
      <c r="O1265" s="2"/>
    </row>
    <row r="1266" spans="12:15">
      <c r="L1266" s="2"/>
      <c r="N1266" s="2"/>
      <c r="O1266" s="2"/>
    </row>
    <row r="1267" spans="12:15">
      <c r="L1267" s="2"/>
      <c r="N1267" s="2"/>
      <c r="O1267" s="2"/>
    </row>
    <row r="1268" spans="12:15">
      <c r="L1268" s="2"/>
      <c r="N1268" s="2"/>
      <c r="O1268" s="2"/>
    </row>
    <row r="1269" spans="12:15">
      <c r="L1269" s="2"/>
      <c r="N1269" s="2"/>
      <c r="O1269" s="2"/>
    </row>
    <row r="1270" spans="12:15">
      <c r="L1270" s="2"/>
      <c r="N1270" s="2"/>
      <c r="O1270" s="2"/>
    </row>
    <row r="1271" spans="12:15">
      <c r="L1271" s="2"/>
      <c r="N1271" s="2"/>
      <c r="O1271" s="2"/>
    </row>
    <row r="1272" spans="12:15">
      <c r="L1272" s="2"/>
      <c r="N1272" s="2"/>
      <c r="O1272" s="2"/>
    </row>
    <row r="1273" spans="12:15">
      <c r="L1273" s="2"/>
      <c r="N1273" s="2"/>
      <c r="O1273" s="2"/>
    </row>
    <row r="1274" spans="12:15">
      <c r="L1274" s="2"/>
      <c r="N1274" s="2"/>
      <c r="O1274" s="2"/>
    </row>
    <row r="1275" spans="12:15">
      <c r="L1275" s="2"/>
      <c r="N1275" s="2"/>
      <c r="O1275" s="2"/>
    </row>
    <row r="1276" spans="12:15">
      <c r="L1276" s="2"/>
      <c r="N1276" s="2"/>
      <c r="O1276" s="2"/>
    </row>
    <row r="1277" spans="12:15">
      <c r="L1277" s="2"/>
      <c r="N1277" s="2"/>
      <c r="O1277" s="2"/>
    </row>
    <row r="1278" spans="12:15">
      <c r="L1278" s="2"/>
      <c r="N1278" s="2"/>
      <c r="O1278" s="2"/>
    </row>
    <row r="1279" spans="12:15">
      <c r="L1279" s="2"/>
      <c r="N1279" s="2"/>
      <c r="O1279" s="2"/>
    </row>
    <row r="1280" spans="12:15">
      <c r="L1280" s="2"/>
      <c r="N1280" s="2"/>
      <c r="O1280" s="2"/>
    </row>
    <row r="1281" spans="12:15">
      <c r="L1281" s="2"/>
      <c r="N1281" s="2"/>
      <c r="O1281" s="2"/>
    </row>
    <row r="1282" spans="12:15">
      <c r="L1282" s="2"/>
      <c r="N1282" s="2"/>
      <c r="O1282" s="2"/>
    </row>
    <row r="1283" spans="12:15">
      <c r="L1283" s="2"/>
      <c r="N1283" s="2"/>
      <c r="O1283" s="2"/>
    </row>
    <row r="1284" spans="12:15">
      <c r="L1284" s="2"/>
      <c r="N1284" s="2"/>
      <c r="O1284" s="2"/>
    </row>
    <row r="1285" spans="12:15">
      <c r="L1285" s="2"/>
      <c r="N1285" s="2"/>
      <c r="O1285" s="2"/>
    </row>
    <row r="1286" spans="12:15">
      <c r="L1286" s="2"/>
      <c r="N1286" s="2"/>
      <c r="O1286" s="2"/>
    </row>
    <row r="1287" spans="12:15">
      <c r="L1287" s="2"/>
      <c r="N1287" s="2"/>
      <c r="O1287" s="2"/>
    </row>
    <row r="1288" spans="12:15">
      <c r="L1288" s="2"/>
      <c r="N1288" s="2"/>
      <c r="O1288" s="2"/>
    </row>
    <row r="1289" spans="12:15">
      <c r="L1289" s="2"/>
      <c r="N1289" s="2"/>
      <c r="O1289" s="2"/>
    </row>
    <row r="1290" spans="12:15">
      <c r="L1290" s="2"/>
      <c r="N1290" s="2"/>
      <c r="O1290" s="2"/>
    </row>
    <row r="1291" spans="12:15">
      <c r="L1291" s="2"/>
      <c r="N1291" s="2"/>
      <c r="O1291" s="2"/>
    </row>
    <row r="1292" spans="12:15">
      <c r="L1292" s="2"/>
      <c r="N1292" s="2"/>
      <c r="O1292" s="2"/>
    </row>
    <row r="1293" spans="12:15">
      <c r="L1293" s="2"/>
      <c r="N1293" s="2"/>
      <c r="O1293" s="2"/>
    </row>
    <row r="1294" spans="12:15">
      <c r="L1294" s="2"/>
      <c r="N1294" s="2"/>
      <c r="O1294" s="2"/>
    </row>
    <row r="1295" spans="12:15">
      <c r="L1295" s="2"/>
      <c r="N1295" s="2"/>
      <c r="O1295" s="2"/>
    </row>
    <row r="1296" spans="12:15">
      <c r="L1296" s="2"/>
      <c r="N1296" s="2"/>
      <c r="O1296" s="2"/>
    </row>
    <row r="1297" spans="12:15">
      <c r="L1297" s="2"/>
      <c r="N1297" s="2"/>
      <c r="O1297" s="2"/>
    </row>
    <row r="1298" spans="12:15">
      <c r="L1298" s="2"/>
      <c r="N1298" s="2"/>
      <c r="O1298" s="2"/>
    </row>
    <row r="1299" spans="12:15">
      <c r="L1299" s="2"/>
      <c r="N1299" s="2"/>
      <c r="O1299" s="2"/>
    </row>
    <row r="1300" spans="12:15">
      <c r="L1300" s="2"/>
      <c r="N1300" s="2"/>
      <c r="O1300" s="2"/>
    </row>
    <row r="1301" spans="12:15">
      <c r="L1301" s="2"/>
      <c r="N1301" s="2"/>
      <c r="O1301" s="2"/>
    </row>
    <row r="1302" spans="12:15">
      <c r="L1302" s="2"/>
      <c r="N1302" s="2"/>
      <c r="O1302" s="2"/>
    </row>
    <row r="1303" spans="12:15">
      <c r="L1303" s="2"/>
      <c r="N1303" s="2"/>
      <c r="O1303" s="2"/>
    </row>
    <row r="1304" spans="12:15">
      <c r="L1304" s="2"/>
      <c r="N1304" s="2"/>
      <c r="O1304" s="2"/>
    </row>
    <row r="1305" spans="12:15">
      <c r="L1305" s="2"/>
      <c r="N1305" s="2"/>
      <c r="O1305" s="2"/>
    </row>
    <row r="1306" spans="12:15">
      <c r="L1306" s="2"/>
      <c r="N1306" s="2"/>
      <c r="O1306" s="2"/>
    </row>
    <row r="1307" spans="12:15">
      <c r="L1307" s="2"/>
      <c r="N1307" s="2"/>
      <c r="O1307" s="2"/>
    </row>
    <row r="1308" spans="12:15">
      <c r="L1308" s="2"/>
      <c r="N1308" s="2"/>
      <c r="O1308" s="2"/>
    </row>
    <row r="1309" spans="12:15">
      <c r="L1309" s="2"/>
      <c r="N1309" s="2"/>
      <c r="O1309" s="2"/>
    </row>
    <row r="1310" spans="12:15">
      <c r="L1310" s="2"/>
      <c r="N1310" s="2"/>
      <c r="O1310" s="2"/>
    </row>
    <row r="1311" spans="12:15">
      <c r="L1311" s="2"/>
      <c r="N1311" s="2"/>
      <c r="O1311" s="2"/>
    </row>
    <row r="1312" spans="12:15">
      <c r="L1312" s="2"/>
      <c r="N1312" s="2"/>
      <c r="O1312" s="2"/>
    </row>
    <row r="1313" spans="12:15">
      <c r="L1313" s="2"/>
      <c r="N1313" s="2"/>
      <c r="O1313" s="2"/>
    </row>
    <row r="1314" spans="12:15">
      <c r="L1314" s="2"/>
      <c r="N1314" s="2"/>
      <c r="O1314" s="2"/>
    </row>
    <row r="1315" spans="12:15">
      <c r="L1315" s="2"/>
      <c r="N1315" s="2"/>
      <c r="O1315" s="2"/>
    </row>
    <row r="1316" spans="12:15">
      <c r="L1316" s="2"/>
      <c r="N1316" s="2"/>
      <c r="O1316" s="2"/>
    </row>
    <row r="1317" spans="12:15">
      <c r="L1317" s="2"/>
      <c r="N1317" s="2"/>
      <c r="O1317" s="2"/>
    </row>
    <row r="1318" spans="12:15">
      <c r="L1318" s="2"/>
      <c r="N1318" s="2"/>
      <c r="O1318" s="2"/>
    </row>
    <row r="1319" spans="12:15">
      <c r="L1319" s="2"/>
      <c r="N1319" s="2"/>
      <c r="O1319" s="2"/>
    </row>
    <row r="1320" spans="12:15">
      <c r="L1320" s="2"/>
      <c r="N1320" s="2"/>
      <c r="O1320" s="2"/>
    </row>
    <row r="1321" spans="12:15">
      <c r="L1321" s="2"/>
      <c r="N1321" s="2"/>
      <c r="O1321" s="2"/>
    </row>
    <row r="1322" spans="12:15">
      <c r="L1322" s="2"/>
      <c r="N1322" s="2"/>
      <c r="O1322" s="2"/>
    </row>
    <row r="1323" spans="12:15">
      <c r="L1323" s="2"/>
      <c r="N1323" s="2"/>
      <c r="O1323" s="2"/>
    </row>
    <row r="1324" spans="12:15">
      <c r="L1324" s="2"/>
      <c r="N1324" s="2"/>
      <c r="O1324" s="2"/>
    </row>
    <row r="1325" spans="12:15">
      <c r="L1325" s="2"/>
      <c r="N1325" s="2"/>
      <c r="O1325" s="2"/>
    </row>
    <row r="1326" spans="12:15">
      <c r="L1326" s="2"/>
      <c r="N1326" s="2"/>
      <c r="O1326" s="2"/>
    </row>
    <row r="1327" spans="12:15">
      <c r="L1327" s="2"/>
      <c r="N1327" s="2"/>
      <c r="O1327" s="2"/>
    </row>
    <row r="1328" spans="12:15">
      <c r="L1328" s="2"/>
      <c r="N1328" s="2"/>
      <c r="O1328" s="2"/>
    </row>
    <row r="1329" spans="12:15">
      <c r="L1329" s="2"/>
      <c r="N1329" s="2"/>
      <c r="O1329" s="2"/>
    </row>
    <row r="1330" spans="12:15">
      <c r="L1330" s="2"/>
      <c r="N1330" s="2"/>
      <c r="O1330" s="2"/>
    </row>
    <row r="1331" spans="12:15">
      <c r="L1331" s="2"/>
      <c r="N1331" s="2"/>
      <c r="O1331" s="2"/>
    </row>
    <row r="1332" spans="12:15">
      <c r="L1332" s="2"/>
      <c r="N1332" s="2"/>
      <c r="O1332" s="2"/>
    </row>
    <row r="1333" spans="12:15">
      <c r="L1333" s="2"/>
      <c r="N1333" s="2"/>
      <c r="O1333" s="2"/>
    </row>
    <row r="1334" spans="12:15">
      <c r="L1334" s="2"/>
      <c r="N1334" s="2"/>
      <c r="O1334" s="2"/>
    </row>
    <row r="1335" spans="12:15">
      <c r="L1335" s="2"/>
      <c r="N1335" s="2"/>
      <c r="O1335" s="2"/>
    </row>
    <row r="1336" spans="12:15">
      <c r="L1336" s="2"/>
      <c r="N1336" s="2"/>
      <c r="O1336" s="2"/>
    </row>
    <row r="1337" spans="12:15">
      <c r="L1337" s="2"/>
      <c r="N1337" s="2"/>
      <c r="O1337" s="2"/>
    </row>
    <row r="1338" spans="12:15">
      <c r="L1338" s="2"/>
      <c r="N1338" s="2"/>
      <c r="O1338" s="2"/>
    </row>
    <row r="1339" spans="12:15">
      <c r="L1339" s="2"/>
      <c r="N1339" s="2"/>
      <c r="O1339" s="2"/>
    </row>
    <row r="1340" spans="12:15">
      <c r="L1340" s="2"/>
      <c r="N1340" s="2"/>
      <c r="O1340" s="2"/>
    </row>
    <row r="1341" spans="12:15">
      <c r="L1341" s="2"/>
      <c r="N1341" s="2"/>
      <c r="O1341" s="2"/>
    </row>
    <row r="1342" spans="12:15">
      <c r="L1342" s="2"/>
      <c r="N1342" s="2"/>
      <c r="O1342" s="2"/>
    </row>
    <row r="1343" spans="12:15">
      <c r="L1343" s="2"/>
      <c r="N1343" s="2"/>
      <c r="O1343" s="2"/>
    </row>
    <row r="1344" spans="12:15">
      <c r="L1344" s="2"/>
      <c r="N1344" s="2"/>
      <c r="O1344" s="2"/>
    </row>
    <row r="1345" spans="12:15">
      <c r="L1345" s="2"/>
      <c r="N1345" s="2"/>
      <c r="O1345" s="2"/>
    </row>
    <row r="1346" spans="12:15">
      <c r="L1346" s="2"/>
      <c r="N1346" s="2"/>
      <c r="O1346" s="2"/>
    </row>
    <row r="1347" spans="12:15">
      <c r="L1347" s="2"/>
      <c r="N1347" s="2"/>
      <c r="O1347" s="2"/>
    </row>
    <row r="1348" spans="12:15">
      <c r="L1348" s="2"/>
      <c r="N1348" s="2"/>
      <c r="O1348" s="2"/>
    </row>
    <row r="1349" spans="12:15">
      <c r="L1349" s="2"/>
      <c r="N1349" s="2"/>
      <c r="O1349" s="2"/>
    </row>
    <row r="1350" spans="12:15">
      <c r="L1350" s="2"/>
      <c r="N1350" s="2"/>
      <c r="O1350" s="2"/>
    </row>
    <row r="1351" spans="12:15">
      <c r="L1351" s="2"/>
      <c r="N1351" s="2"/>
      <c r="O1351" s="2"/>
    </row>
    <row r="1352" spans="12:15">
      <c r="L1352" s="2"/>
      <c r="N1352" s="2"/>
      <c r="O1352" s="2"/>
    </row>
    <row r="1353" spans="12:15">
      <c r="L1353" s="2"/>
      <c r="N1353" s="2"/>
      <c r="O1353" s="2"/>
    </row>
    <row r="1354" spans="12:15">
      <c r="L1354" s="2"/>
      <c r="N1354" s="2"/>
      <c r="O1354" s="2"/>
    </row>
    <row r="1355" spans="12:15">
      <c r="L1355" s="2"/>
      <c r="N1355" s="2"/>
      <c r="O1355" s="2"/>
    </row>
    <row r="1356" spans="12:15">
      <c r="L1356" s="2"/>
      <c r="N1356" s="2"/>
      <c r="O1356" s="2"/>
    </row>
    <row r="1357" spans="12:15">
      <c r="L1357" s="2"/>
      <c r="N1357" s="2"/>
      <c r="O1357" s="2"/>
    </row>
    <row r="1358" spans="12:15">
      <c r="L1358" s="2"/>
      <c r="N1358" s="2"/>
      <c r="O1358" s="2"/>
    </row>
    <row r="1359" spans="12:15">
      <c r="L1359" s="2"/>
      <c r="N1359" s="2"/>
      <c r="O1359" s="2"/>
    </row>
    <row r="1360" spans="12:15">
      <c r="L1360" s="2"/>
      <c r="N1360" s="2"/>
      <c r="O1360" s="2"/>
    </row>
    <row r="1361" spans="12:15">
      <c r="L1361" s="2"/>
      <c r="N1361" s="2"/>
      <c r="O1361" s="2"/>
    </row>
    <row r="1362" spans="12:15">
      <c r="L1362" s="2"/>
      <c r="N1362" s="2"/>
      <c r="O1362" s="2"/>
    </row>
    <row r="1363" spans="12:15">
      <c r="L1363" s="2"/>
      <c r="N1363" s="2"/>
      <c r="O1363" s="2"/>
    </row>
    <row r="1364" spans="12:15">
      <c r="L1364" s="2"/>
      <c r="N1364" s="2"/>
      <c r="O1364" s="2"/>
    </row>
    <row r="1365" spans="12:15">
      <c r="L1365" s="2"/>
      <c r="N1365" s="2"/>
      <c r="O1365" s="2"/>
    </row>
    <row r="1366" spans="12:15">
      <c r="L1366" s="2"/>
      <c r="N1366" s="2"/>
      <c r="O1366" s="2"/>
    </row>
    <row r="1367" spans="12:15">
      <c r="L1367" s="2"/>
      <c r="N1367" s="2"/>
      <c r="O1367" s="2"/>
    </row>
    <row r="1368" spans="12:15">
      <c r="L1368" s="2"/>
      <c r="N1368" s="2"/>
      <c r="O1368" s="2"/>
    </row>
    <row r="1369" spans="12:15">
      <c r="L1369" s="2"/>
      <c r="N1369" s="2"/>
      <c r="O1369" s="2"/>
    </row>
    <row r="1370" spans="12:15">
      <c r="L1370" s="2"/>
      <c r="N1370" s="2"/>
      <c r="O1370" s="2"/>
    </row>
    <row r="1371" spans="12:15">
      <c r="L1371" s="2"/>
      <c r="N1371" s="2"/>
      <c r="O1371" s="2"/>
    </row>
    <row r="1372" spans="12:15">
      <c r="L1372" s="2"/>
      <c r="N1372" s="2"/>
      <c r="O1372" s="2"/>
    </row>
    <row r="1373" spans="12:15">
      <c r="L1373" s="2"/>
      <c r="N1373" s="2"/>
      <c r="O1373" s="2"/>
    </row>
    <row r="1374" spans="12:15">
      <c r="L1374" s="2"/>
      <c r="N1374" s="2"/>
      <c r="O1374" s="2"/>
    </row>
    <row r="1375" spans="12:15">
      <c r="L1375" s="2"/>
      <c r="N1375" s="2"/>
      <c r="O1375" s="2"/>
    </row>
    <row r="1376" spans="12:15">
      <c r="L1376" s="2"/>
      <c r="N1376" s="2"/>
      <c r="O1376" s="2"/>
    </row>
    <row r="1377" spans="12:15">
      <c r="L1377" s="2"/>
      <c r="N1377" s="2"/>
      <c r="O1377" s="2"/>
    </row>
    <row r="1378" spans="12:15">
      <c r="L1378" s="2"/>
      <c r="N1378" s="2"/>
      <c r="O1378" s="2"/>
    </row>
    <row r="1379" spans="12:15">
      <c r="L1379" s="2"/>
      <c r="N1379" s="2"/>
      <c r="O1379" s="2"/>
    </row>
    <row r="1380" spans="12:15">
      <c r="L1380" s="2"/>
      <c r="N1380" s="2"/>
      <c r="O1380" s="2"/>
    </row>
    <row r="1381" spans="12:15">
      <c r="L1381" s="2"/>
      <c r="N1381" s="2"/>
      <c r="O1381" s="2"/>
    </row>
    <row r="1382" spans="12:15">
      <c r="L1382" s="2"/>
      <c r="N1382" s="2"/>
      <c r="O1382" s="2"/>
    </row>
    <row r="1383" spans="12:15">
      <c r="L1383" s="2"/>
      <c r="N1383" s="2"/>
      <c r="O1383" s="2"/>
    </row>
    <row r="1384" spans="12:15">
      <c r="L1384" s="2"/>
      <c r="N1384" s="2"/>
      <c r="O1384" s="2"/>
    </row>
    <row r="1385" spans="12:15">
      <c r="L1385" s="2"/>
      <c r="N1385" s="2"/>
      <c r="O1385" s="2"/>
    </row>
    <row r="1386" spans="12:15">
      <c r="L1386" s="2"/>
      <c r="N1386" s="2"/>
      <c r="O1386" s="2"/>
    </row>
    <row r="1387" spans="12:15">
      <c r="L1387" s="2"/>
      <c r="N1387" s="2"/>
      <c r="O1387" s="2"/>
    </row>
    <row r="1388" spans="12:15">
      <c r="L1388" s="2"/>
      <c r="N1388" s="2"/>
      <c r="O1388" s="2"/>
    </row>
    <row r="1389" spans="12:15">
      <c r="L1389" s="2"/>
      <c r="N1389" s="2"/>
      <c r="O1389" s="2"/>
    </row>
    <row r="1390" spans="12:15">
      <c r="L1390" s="2"/>
      <c r="N1390" s="2"/>
      <c r="O1390" s="2"/>
    </row>
    <row r="1391" spans="12:15">
      <c r="L1391" s="2"/>
      <c r="N1391" s="2"/>
      <c r="O1391" s="2"/>
    </row>
    <row r="1392" spans="12:15">
      <c r="L1392" s="2"/>
      <c r="N1392" s="2"/>
      <c r="O1392" s="2"/>
    </row>
    <row r="1393" spans="12:15">
      <c r="L1393" s="2"/>
      <c r="N1393" s="2"/>
      <c r="O1393" s="2"/>
    </row>
    <row r="1394" spans="12:15">
      <c r="L1394" s="2"/>
      <c r="N1394" s="2"/>
      <c r="O1394" s="2"/>
    </row>
    <row r="1395" spans="12:15">
      <c r="L1395" s="2"/>
      <c r="N1395" s="2"/>
      <c r="O1395" s="2"/>
    </row>
    <row r="1396" spans="12:15">
      <c r="L1396" s="2"/>
      <c r="N1396" s="2"/>
      <c r="O1396" s="2"/>
    </row>
    <row r="1397" spans="12:15">
      <c r="L1397" s="2"/>
      <c r="N1397" s="2"/>
      <c r="O1397" s="2"/>
    </row>
    <row r="1398" spans="12:15">
      <c r="L1398" s="2"/>
      <c r="N1398" s="2"/>
      <c r="O1398" s="2"/>
    </row>
    <row r="1399" spans="12:15">
      <c r="L1399" s="2"/>
      <c r="N1399" s="2"/>
      <c r="O1399" s="2"/>
    </row>
    <row r="1400" spans="12:15">
      <c r="L1400" s="2"/>
      <c r="N1400" s="2"/>
      <c r="O1400" s="2"/>
    </row>
    <row r="1401" spans="12:15">
      <c r="L1401" s="2"/>
      <c r="N1401" s="2"/>
      <c r="O1401" s="2"/>
    </row>
    <row r="1402" spans="12:15">
      <c r="L1402" s="2"/>
      <c r="N1402" s="2"/>
      <c r="O1402" s="2"/>
    </row>
    <row r="1403" spans="12:15">
      <c r="L1403" s="2"/>
      <c r="N1403" s="2"/>
      <c r="O1403" s="2"/>
    </row>
    <row r="1404" spans="12:15">
      <c r="L1404" s="2"/>
      <c r="N1404" s="2"/>
      <c r="O1404" s="2"/>
    </row>
    <row r="1405" spans="12:15">
      <c r="L1405" s="2"/>
      <c r="N1405" s="2"/>
      <c r="O1405" s="2"/>
    </row>
    <row r="1406" spans="12:15">
      <c r="L1406" s="2"/>
      <c r="N1406" s="2"/>
      <c r="O1406" s="2"/>
    </row>
    <row r="1407" spans="12:15">
      <c r="L1407" s="2"/>
      <c r="N1407" s="2"/>
      <c r="O1407" s="2"/>
    </row>
    <row r="1408" spans="12:15">
      <c r="L1408" s="2"/>
      <c r="N1408" s="2"/>
      <c r="O1408" s="2"/>
    </row>
    <row r="1409" spans="12:15">
      <c r="L1409" s="2"/>
      <c r="N1409" s="2"/>
      <c r="O1409" s="2"/>
    </row>
    <row r="1410" spans="12:15">
      <c r="L1410" s="2"/>
      <c r="N1410" s="2"/>
      <c r="O1410" s="2"/>
    </row>
    <row r="1411" spans="12:15">
      <c r="L1411" s="2"/>
      <c r="N1411" s="2"/>
      <c r="O1411" s="2"/>
    </row>
    <row r="1412" spans="12:15">
      <c r="L1412" s="2"/>
      <c r="N1412" s="2"/>
      <c r="O1412" s="2"/>
    </row>
    <row r="1413" spans="12:15">
      <c r="L1413" s="2"/>
      <c r="N1413" s="2"/>
      <c r="O1413" s="2"/>
    </row>
    <row r="1414" spans="12:15">
      <c r="L1414" s="2"/>
      <c r="N1414" s="2"/>
      <c r="O1414" s="2"/>
    </row>
    <row r="1415" spans="12:15">
      <c r="L1415" s="2"/>
      <c r="N1415" s="2"/>
      <c r="O1415" s="2"/>
    </row>
    <row r="1416" spans="12:15">
      <c r="L1416" s="2"/>
      <c r="N1416" s="2"/>
      <c r="O1416" s="2"/>
    </row>
    <row r="1417" spans="12:15">
      <c r="L1417" s="2"/>
      <c r="N1417" s="2"/>
      <c r="O1417" s="2"/>
    </row>
    <row r="1418" spans="12:15">
      <c r="L1418" s="2"/>
      <c r="N1418" s="2"/>
      <c r="O1418" s="2"/>
    </row>
    <row r="1419" spans="12:15">
      <c r="L1419" s="2"/>
      <c r="N1419" s="2"/>
      <c r="O1419" s="2"/>
    </row>
    <row r="1420" spans="12:15">
      <c r="L1420" s="2"/>
      <c r="N1420" s="2"/>
      <c r="O1420" s="2"/>
    </row>
    <row r="1421" spans="12:15">
      <c r="L1421" s="2"/>
      <c r="N1421" s="2"/>
      <c r="O1421" s="2"/>
    </row>
    <row r="1422" spans="12:15">
      <c r="L1422" s="2"/>
      <c r="N1422" s="2"/>
      <c r="O1422" s="2"/>
    </row>
    <row r="1423" spans="12:15">
      <c r="L1423" s="2"/>
      <c r="N1423" s="2"/>
      <c r="O1423" s="2"/>
    </row>
    <row r="1424" spans="12:15">
      <c r="L1424" s="2"/>
      <c r="N1424" s="2"/>
      <c r="O1424" s="2"/>
    </row>
    <row r="1425" spans="12:15">
      <c r="L1425" s="2"/>
      <c r="N1425" s="2"/>
      <c r="O1425" s="2"/>
    </row>
    <row r="1426" spans="12:15">
      <c r="L1426" s="2"/>
      <c r="N1426" s="2"/>
      <c r="O1426" s="2"/>
    </row>
    <row r="1427" spans="12:15">
      <c r="L1427" s="2"/>
      <c r="N1427" s="2"/>
      <c r="O1427" s="2"/>
    </row>
    <row r="1428" spans="12:15">
      <c r="L1428" s="2"/>
      <c r="N1428" s="2"/>
      <c r="O1428" s="2"/>
    </row>
    <row r="1429" spans="12:15">
      <c r="L1429" s="2"/>
      <c r="N1429" s="2"/>
      <c r="O1429" s="2"/>
    </row>
    <row r="1430" spans="12:15">
      <c r="L1430" s="2"/>
      <c r="N1430" s="2"/>
      <c r="O1430" s="2"/>
    </row>
    <row r="1431" spans="12:15">
      <c r="L1431" s="2"/>
      <c r="N1431" s="2"/>
      <c r="O1431" s="2"/>
    </row>
    <row r="1432" spans="12:15">
      <c r="L1432" s="2"/>
      <c r="N1432" s="2"/>
      <c r="O1432" s="2"/>
    </row>
    <row r="1433" spans="12:15">
      <c r="L1433" s="2"/>
      <c r="N1433" s="2"/>
      <c r="O1433" s="2"/>
    </row>
    <row r="1434" spans="12:15">
      <c r="L1434" s="2"/>
      <c r="N1434" s="2"/>
      <c r="O1434" s="2"/>
    </row>
    <row r="1435" spans="12:15">
      <c r="L1435" s="2"/>
      <c r="N1435" s="2"/>
      <c r="O1435" s="2"/>
    </row>
    <row r="1436" spans="12:15">
      <c r="L1436" s="2"/>
      <c r="N1436" s="2"/>
      <c r="O1436" s="2"/>
    </row>
    <row r="1437" spans="12:15">
      <c r="L1437" s="2"/>
      <c r="N1437" s="2"/>
      <c r="O1437" s="2"/>
    </row>
    <row r="1438" spans="12:15">
      <c r="L1438" s="2"/>
      <c r="N1438" s="2"/>
      <c r="O1438" s="2"/>
    </row>
    <row r="1439" spans="12:15">
      <c r="L1439" s="2"/>
      <c r="N1439" s="2"/>
      <c r="O1439" s="2"/>
    </row>
    <row r="1440" spans="12:15">
      <c r="L1440" s="2"/>
      <c r="N1440" s="2"/>
      <c r="O1440" s="2"/>
    </row>
    <row r="1441" spans="12:15">
      <c r="L1441" s="2"/>
      <c r="N1441" s="2"/>
      <c r="O1441" s="2"/>
    </row>
    <row r="1442" spans="12:15">
      <c r="L1442" s="2"/>
      <c r="N1442" s="2"/>
      <c r="O1442" s="2"/>
    </row>
    <row r="1443" spans="12:15">
      <c r="L1443" s="2"/>
      <c r="N1443" s="2"/>
      <c r="O1443" s="2"/>
    </row>
    <row r="1444" spans="12:15">
      <c r="L1444" s="2"/>
      <c r="N1444" s="2"/>
      <c r="O1444" s="2"/>
    </row>
    <row r="1445" spans="12:15">
      <c r="L1445" s="2"/>
      <c r="N1445" s="2"/>
      <c r="O1445" s="2"/>
    </row>
    <row r="1446" spans="12:15">
      <c r="L1446" s="2"/>
      <c r="N1446" s="2"/>
      <c r="O1446" s="2"/>
    </row>
    <row r="1447" spans="12:15">
      <c r="L1447" s="2"/>
      <c r="N1447" s="2"/>
      <c r="O1447" s="2"/>
    </row>
    <row r="1448" spans="12:15">
      <c r="L1448" s="2"/>
      <c r="N1448" s="2"/>
      <c r="O1448" s="2"/>
    </row>
    <row r="1449" spans="12:15">
      <c r="L1449" s="2"/>
      <c r="N1449" s="2"/>
      <c r="O1449" s="2"/>
    </row>
    <row r="1450" spans="12:15">
      <c r="L1450" s="2"/>
      <c r="N1450" s="2"/>
      <c r="O1450" s="2"/>
    </row>
    <row r="1451" spans="12:15">
      <c r="L1451" s="2"/>
      <c r="N1451" s="2"/>
      <c r="O1451" s="2"/>
    </row>
    <row r="1452" spans="12:15">
      <c r="L1452" s="2"/>
      <c r="N1452" s="2"/>
      <c r="O1452" s="2"/>
    </row>
    <row r="1453" spans="12:15">
      <c r="L1453" s="2"/>
      <c r="N1453" s="2"/>
      <c r="O1453" s="2"/>
    </row>
    <row r="1454" spans="12:15">
      <c r="L1454" s="2"/>
      <c r="N1454" s="2"/>
      <c r="O1454" s="2"/>
    </row>
    <row r="1455" spans="12:15">
      <c r="L1455" s="2"/>
      <c r="N1455" s="2"/>
      <c r="O1455" s="2"/>
    </row>
    <row r="1456" spans="12:15">
      <c r="L1456" s="2"/>
      <c r="N1456" s="2"/>
      <c r="O1456" s="2"/>
    </row>
    <row r="1457" spans="12:15">
      <c r="L1457" s="2"/>
      <c r="N1457" s="2"/>
      <c r="O1457" s="2"/>
    </row>
    <row r="1458" spans="12:15">
      <c r="L1458" s="2"/>
      <c r="N1458" s="2"/>
      <c r="O1458" s="2"/>
    </row>
    <row r="1459" spans="12:15">
      <c r="L1459" s="2"/>
      <c r="N1459" s="2"/>
      <c r="O1459" s="2"/>
    </row>
    <row r="1460" spans="12:15">
      <c r="L1460" s="2"/>
      <c r="N1460" s="2"/>
      <c r="O1460" s="2"/>
    </row>
    <row r="1461" spans="12:15">
      <c r="L1461" s="2"/>
      <c r="N1461" s="2"/>
      <c r="O1461" s="2"/>
    </row>
    <row r="1462" spans="12:15">
      <c r="L1462" s="2"/>
      <c r="N1462" s="2"/>
      <c r="O1462" s="2"/>
    </row>
    <row r="1463" spans="12:15">
      <c r="L1463" s="2"/>
      <c r="N1463" s="2"/>
      <c r="O1463" s="2"/>
    </row>
    <row r="1464" spans="12:15">
      <c r="L1464" s="2"/>
      <c r="N1464" s="2"/>
      <c r="O1464" s="2"/>
    </row>
    <row r="1465" spans="12:15">
      <c r="L1465" s="2"/>
      <c r="N1465" s="2"/>
      <c r="O1465" s="2"/>
    </row>
    <row r="1466" spans="12:15">
      <c r="L1466" s="2"/>
      <c r="N1466" s="2"/>
      <c r="O1466" s="2"/>
    </row>
    <row r="1467" spans="12:15">
      <c r="L1467" s="2"/>
      <c r="N1467" s="2"/>
      <c r="O1467" s="2"/>
    </row>
    <row r="1468" spans="12:15">
      <c r="L1468" s="2"/>
      <c r="N1468" s="2"/>
      <c r="O1468" s="2"/>
    </row>
    <row r="1469" spans="12:15">
      <c r="L1469" s="2"/>
      <c r="N1469" s="2"/>
      <c r="O1469" s="2"/>
    </row>
    <row r="1470" spans="12:15">
      <c r="L1470" s="2"/>
      <c r="N1470" s="2"/>
      <c r="O1470" s="2"/>
    </row>
    <row r="1471" spans="12:15">
      <c r="L1471" s="2"/>
      <c r="N1471" s="2"/>
      <c r="O1471" s="2"/>
    </row>
    <row r="1472" spans="12:15">
      <c r="L1472" s="2"/>
      <c r="N1472" s="2"/>
      <c r="O1472" s="2"/>
    </row>
    <row r="1473" spans="12:15">
      <c r="L1473" s="2"/>
      <c r="N1473" s="2"/>
      <c r="O1473" s="2"/>
    </row>
    <row r="1474" spans="12:15">
      <c r="L1474" s="2"/>
      <c r="N1474" s="2"/>
      <c r="O1474" s="2"/>
    </row>
    <row r="1475" spans="12:15">
      <c r="L1475" s="2"/>
      <c r="N1475" s="2"/>
      <c r="O1475" s="2"/>
    </row>
    <row r="1476" spans="12:15">
      <c r="L1476" s="2"/>
      <c r="N1476" s="2"/>
      <c r="O1476" s="2"/>
    </row>
    <row r="1477" spans="12:15">
      <c r="L1477" s="2"/>
      <c r="N1477" s="2"/>
      <c r="O1477" s="2"/>
    </row>
    <row r="1478" spans="12:15">
      <c r="L1478" s="2"/>
      <c r="N1478" s="2"/>
      <c r="O1478" s="2"/>
    </row>
    <row r="1479" spans="12:15">
      <c r="L1479" s="2"/>
      <c r="N1479" s="2"/>
      <c r="O1479" s="2"/>
    </row>
    <row r="1480" spans="12:15">
      <c r="L1480" s="2"/>
      <c r="N1480" s="2"/>
      <c r="O1480" s="2"/>
    </row>
    <row r="1481" spans="12:15">
      <c r="L1481" s="2"/>
      <c r="N1481" s="2"/>
      <c r="O1481" s="2"/>
    </row>
    <row r="1482" spans="12:15">
      <c r="L1482" s="2"/>
      <c r="N1482" s="2"/>
      <c r="O1482" s="2"/>
    </row>
    <row r="1483" spans="12:15">
      <c r="L1483" s="2"/>
      <c r="N1483" s="2"/>
      <c r="O1483" s="2"/>
    </row>
    <row r="1484" spans="12:15">
      <c r="L1484" s="2"/>
      <c r="N1484" s="2"/>
      <c r="O1484" s="2"/>
    </row>
    <row r="1485" spans="12:15">
      <c r="L1485" s="2"/>
      <c r="N1485" s="2"/>
      <c r="O1485" s="2"/>
    </row>
    <row r="1486" spans="12:15">
      <c r="L1486" s="2"/>
      <c r="N1486" s="2"/>
      <c r="O1486" s="2"/>
    </row>
    <row r="1487" spans="12:15">
      <c r="L1487" s="2"/>
      <c r="N1487" s="2"/>
      <c r="O1487" s="2"/>
    </row>
    <row r="1488" spans="12:15">
      <c r="L1488" s="2"/>
      <c r="N1488" s="2"/>
      <c r="O1488" s="2"/>
    </row>
    <row r="1489" spans="12:15">
      <c r="L1489" s="2"/>
      <c r="N1489" s="2"/>
      <c r="O1489" s="2"/>
    </row>
    <row r="1490" spans="12:15">
      <c r="L1490" s="2"/>
      <c r="N1490" s="2"/>
      <c r="O1490" s="2"/>
    </row>
    <row r="1491" spans="12:15">
      <c r="L1491" s="2"/>
      <c r="N1491" s="2"/>
      <c r="O1491" s="2"/>
    </row>
    <row r="1492" spans="12:15">
      <c r="L1492" s="2"/>
      <c r="N1492" s="2"/>
      <c r="O1492" s="2"/>
    </row>
    <row r="1493" spans="12:15">
      <c r="L1493" s="2"/>
      <c r="N1493" s="2"/>
      <c r="O1493" s="2"/>
    </row>
    <row r="1494" spans="12:15">
      <c r="L1494" s="2"/>
      <c r="N1494" s="2"/>
      <c r="O1494" s="2"/>
    </row>
    <row r="1495" spans="12:15">
      <c r="L1495" s="2"/>
      <c r="N1495" s="2"/>
      <c r="O1495" s="2"/>
    </row>
    <row r="1496" spans="12:15">
      <c r="L1496" s="2"/>
      <c r="N1496" s="2"/>
      <c r="O1496" s="2"/>
    </row>
    <row r="1497" spans="12:15">
      <c r="L1497" s="2"/>
      <c r="N1497" s="2"/>
      <c r="O1497" s="2"/>
    </row>
    <row r="1498" spans="12:15">
      <c r="L1498" s="2"/>
      <c r="N1498" s="2"/>
      <c r="O1498" s="2"/>
    </row>
    <row r="1499" spans="12:15">
      <c r="L1499" s="2"/>
      <c r="N1499" s="2"/>
      <c r="O1499" s="2"/>
    </row>
    <row r="1500" spans="12:15">
      <c r="L1500" s="2"/>
      <c r="N1500" s="2"/>
      <c r="O1500" s="2"/>
    </row>
    <row r="1501" spans="12:15">
      <c r="L1501" s="2"/>
      <c r="N1501" s="2"/>
      <c r="O1501" s="2"/>
    </row>
    <row r="1502" spans="12:15">
      <c r="L1502" s="2"/>
      <c r="N1502" s="2"/>
      <c r="O1502" s="2"/>
    </row>
    <row r="1503" spans="12:15">
      <c r="L1503" s="2"/>
      <c r="N1503" s="2"/>
      <c r="O1503" s="2"/>
    </row>
    <row r="1504" spans="12:15">
      <c r="L1504" s="2"/>
      <c r="N1504" s="2"/>
      <c r="O1504" s="2"/>
    </row>
    <row r="1505" spans="12:15">
      <c r="L1505" s="2"/>
      <c r="N1505" s="2"/>
      <c r="O1505" s="2"/>
    </row>
    <row r="1506" spans="12:15">
      <c r="L1506" s="2"/>
      <c r="N1506" s="2"/>
      <c r="O1506" s="2"/>
    </row>
    <row r="1507" spans="12:15">
      <c r="L1507" s="2"/>
      <c r="N1507" s="2"/>
      <c r="O1507" s="2"/>
    </row>
    <row r="1508" spans="12:15">
      <c r="L1508" s="2"/>
      <c r="N1508" s="2"/>
      <c r="O1508" s="2"/>
    </row>
    <row r="1509" spans="12:15">
      <c r="L1509" s="2"/>
      <c r="N1509" s="2"/>
      <c r="O1509" s="2"/>
    </row>
    <row r="1510" spans="12:15">
      <c r="L1510" s="2"/>
      <c r="N1510" s="2"/>
      <c r="O1510" s="2"/>
    </row>
    <row r="1511" spans="12:15">
      <c r="L1511" s="2"/>
      <c r="N1511" s="2"/>
      <c r="O1511" s="2"/>
    </row>
    <row r="1512" spans="12:15">
      <c r="L1512" s="2"/>
      <c r="N1512" s="2"/>
      <c r="O1512" s="2"/>
    </row>
    <row r="1513" spans="12:15">
      <c r="L1513" s="2"/>
      <c r="N1513" s="2"/>
      <c r="O1513" s="2"/>
    </row>
    <row r="1514" spans="12:15">
      <c r="L1514" s="2"/>
      <c r="N1514" s="2"/>
      <c r="O1514" s="2"/>
    </row>
    <row r="1515" spans="12:15">
      <c r="L1515" s="2"/>
      <c r="N1515" s="2"/>
      <c r="O1515" s="2"/>
    </row>
    <row r="1516" spans="12:15">
      <c r="L1516" s="2"/>
      <c r="N1516" s="2"/>
      <c r="O1516" s="2"/>
    </row>
    <row r="1517" spans="12:15">
      <c r="L1517" s="2"/>
      <c r="N1517" s="2"/>
      <c r="O1517" s="2"/>
    </row>
    <row r="1518" spans="12:15">
      <c r="L1518" s="2"/>
      <c r="N1518" s="2"/>
      <c r="O1518" s="2"/>
    </row>
    <row r="1519" spans="12:15">
      <c r="L1519" s="2"/>
      <c r="N1519" s="2"/>
      <c r="O1519" s="2"/>
    </row>
    <row r="1520" spans="12:15">
      <c r="L1520" s="2"/>
      <c r="N1520" s="2"/>
      <c r="O1520" s="2"/>
    </row>
    <row r="1521" spans="12:15">
      <c r="L1521" s="2"/>
      <c r="N1521" s="2"/>
      <c r="O1521" s="2"/>
    </row>
    <row r="1522" spans="12:15">
      <c r="L1522" s="2"/>
      <c r="N1522" s="2"/>
      <c r="O1522" s="2"/>
    </row>
    <row r="1523" spans="12:15">
      <c r="L1523" s="2"/>
      <c r="N1523" s="2"/>
      <c r="O1523" s="2"/>
    </row>
    <row r="1524" spans="12:15">
      <c r="L1524" s="2"/>
      <c r="N1524" s="2"/>
      <c r="O1524" s="2"/>
    </row>
    <row r="1525" spans="12:15">
      <c r="L1525" s="2"/>
      <c r="N1525" s="2"/>
      <c r="O1525" s="2"/>
    </row>
    <row r="1526" spans="12:15">
      <c r="L1526" s="2"/>
      <c r="N1526" s="2"/>
      <c r="O1526" s="2"/>
    </row>
    <row r="1527" spans="12:15">
      <c r="L1527" s="2"/>
      <c r="N1527" s="2"/>
      <c r="O1527" s="2"/>
    </row>
    <row r="1528" spans="12:15">
      <c r="L1528" s="2"/>
      <c r="N1528" s="2"/>
      <c r="O1528" s="2"/>
    </row>
    <row r="1529" spans="12:15">
      <c r="L1529" s="2"/>
      <c r="N1529" s="2"/>
      <c r="O1529" s="2"/>
    </row>
    <row r="1530" spans="12:15">
      <c r="L1530" s="2"/>
      <c r="N1530" s="2"/>
      <c r="O1530" s="2"/>
    </row>
    <row r="1531" spans="12:15">
      <c r="L1531" s="2"/>
      <c r="N1531" s="2"/>
      <c r="O1531" s="2"/>
    </row>
    <row r="1532" spans="12:15">
      <c r="L1532" s="2"/>
      <c r="N1532" s="2"/>
      <c r="O1532" s="2"/>
    </row>
    <row r="1533" spans="12:15">
      <c r="L1533" s="2"/>
      <c r="N1533" s="2"/>
      <c r="O1533" s="2"/>
    </row>
    <row r="1534" spans="12:15">
      <c r="L1534" s="2"/>
      <c r="N1534" s="2"/>
      <c r="O1534" s="2"/>
    </row>
    <row r="1535" spans="12:15">
      <c r="L1535" s="2"/>
      <c r="N1535" s="2"/>
      <c r="O1535" s="2"/>
    </row>
    <row r="1536" spans="12:15">
      <c r="L1536" s="2"/>
      <c r="N1536" s="2"/>
      <c r="O1536" s="2"/>
    </row>
    <row r="1537" spans="12:15">
      <c r="L1537" s="2"/>
      <c r="N1537" s="2"/>
      <c r="O1537" s="2"/>
    </row>
    <row r="1538" spans="12:15">
      <c r="L1538" s="2"/>
      <c r="N1538" s="2"/>
      <c r="O1538" s="2"/>
    </row>
    <row r="1539" spans="12:15">
      <c r="L1539" s="2"/>
      <c r="N1539" s="2"/>
      <c r="O1539" s="2"/>
    </row>
    <row r="1540" spans="12:15">
      <c r="L1540" s="2"/>
      <c r="N1540" s="2"/>
      <c r="O1540" s="2"/>
    </row>
    <row r="1541" spans="12:15">
      <c r="L1541" s="2"/>
      <c r="N1541" s="2"/>
      <c r="O1541" s="2"/>
    </row>
    <row r="1542" spans="12:15">
      <c r="L1542" s="2"/>
      <c r="N1542" s="2"/>
      <c r="O1542" s="2"/>
    </row>
    <row r="1543" spans="12:15">
      <c r="L1543" s="2"/>
      <c r="N1543" s="2"/>
      <c r="O1543" s="2"/>
    </row>
    <row r="1544" spans="12:15">
      <c r="L1544" s="2"/>
      <c r="N1544" s="2"/>
      <c r="O1544" s="2"/>
    </row>
    <row r="1545" spans="12:15">
      <c r="L1545" s="2"/>
      <c r="N1545" s="2"/>
      <c r="O1545" s="2"/>
    </row>
    <row r="1546" spans="12:15">
      <c r="L1546" s="2"/>
      <c r="N1546" s="2"/>
      <c r="O1546" s="2"/>
    </row>
    <row r="1547" spans="12:15">
      <c r="L1547" s="2"/>
      <c r="N1547" s="2"/>
      <c r="O1547" s="2"/>
    </row>
    <row r="1548" spans="12:15">
      <c r="L1548" s="2"/>
      <c r="N1548" s="2"/>
      <c r="O1548" s="2"/>
    </row>
    <row r="1549" spans="12:15">
      <c r="L1549" s="2"/>
      <c r="N1549" s="2"/>
      <c r="O1549" s="2"/>
    </row>
    <row r="1550" spans="12:15">
      <c r="L1550" s="2"/>
      <c r="N1550" s="2"/>
      <c r="O1550" s="2"/>
    </row>
    <row r="1551" spans="12:15">
      <c r="L1551" s="2"/>
      <c r="N1551" s="2"/>
      <c r="O1551" s="2"/>
    </row>
    <row r="1552" spans="12:15">
      <c r="L1552" s="2"/>
      <c r="N1552" s="2"/>
      <c r="O1552" s="2"/>
    </row>
    <row r="1553" spans="12:15">
      <c r="L1553" s="2"/>
      <c r="N1553" s="2"/>
      <c r="O1553" s="2"/>
    </row>
    <row r="1554" spans="12:15">
      <c r="L1554" s="2"/>
      <c r="N1554" s="2"/>
      <c r="O1554" s="2"/>
    </row>
    <row r="1555" spans="12:15">
      <c r="L1555" s="2"/>
      <c r="N1555" s="2"/>
      <c r="O1555" s="2"/>
    </row>
    <row r="1556" spans="12:15">
      <c r="L1556" s="2"/>
      <c r="N1556" s="2"/>
      <c r="O1556" s="2"/>
    </row>
    <row r="1557" spans="12:15">
      <c r="L1557" s="2"/>
      <c r="N1557" s="2"/>
      <c r="O1557" s="2"/>
    </row>
    <row r="1558" spans="12:15">
      <c r="L1558" s="2"/>
      <c r="N1558" s="2"/>
      <c r="O1558" s="2"/>
    </row>
    <row r="1559" spans="12:15">
      <c r="L1559" s="2"/>
      <c r="N1559" s="2"/>
      <c r="O1559" s="2"/>
    </row>
    <row r="1560" spans="12:15">
      <c r="L1560" s="2"/>
      <c r="N1560" s="2"/>
      <c r="O1560" s="2"/>
    </row>
    <row r="1561" spans="12:15">
      <c r="L1561" s="2"/>
      <c r="N1561" s="2"/>
      <c r="O1561" s="2"/>
    </row>
    <row r="1562" spans="12:15">
      <c r="L1562" s="2"/>
      <c r="N1562" s="2"/>
      <c r="O1562" s="2"/>
    </row>
    <row r="1563" spans="12:15">
      <c r="L1563" s="2"/>
      <c r="N1563" s="2"/>
      <c r="O1563" s="2"/>
    </row>
    <row r="1564" spans="12:15">
      <c r="L1564" s="2"/>
      <c r="N1564" s="2"/>
      <c r="O1564" s="2"/>
    </row>
    <row r="1565" spans="12:15">
      <c r="L1565" s="2"/>
      <c r="N1565" s="2"/>
      <c r="O1565" s="2"/>
    </row>
    <row r="1566" spans="12:15">
      <c r="L1566" s="2"/>
      <c r="N1566" s="2"/>
      <c r="O1566" s="2"/>
    </row>
    <row r="1567" spans="12:15">
      <c r="L1567" s="2"/>
      <c r="N1567" s="2"/>
      <c r="O1567" s="2"/>
    </row>
    <row r="1568" spans="12:15">
      <c r="L1568" s="2"/>
      <c r="N1568" s="2"/>
      <c r="O1568" s="2"/>
    </row>
    <row r="1569" spans="12:15">
      <c r="L1569" s="2"/>
      <c r="N1569" s="2"/>
      <c r="O1569" s="2"/>
    </row>
    <row r="1570" spans="12:15">
      <c r="L1570" s="2"/>
      <c r="N1570" s="2"/>
      <c r="O1570" s="2"/>
    </row>
    <row r="1571" spans="12:15">
      <c r="L1571" s="2"/>
      <c r="N1571" s="2"/>
      <c r="O1571" s="2"/>
    </row>
    <row r="1572" spans="12:15">
      <c r="L1572" s="2"/>
      <c r="N1572" s="2"/>
      <c r="O1572" s="2"/>
    </row>
    <row r="1573" spans="12:15">
      <c r="L1573" s="2"/>
      <c r="N1573" s="2"/>
      <c r="O1573" s="2"/>
    </row>
    <row r="1574" spans="12:15">
      <c r="L1574" s="2"/>
      <c r="N1574" s="2"/>
      <c r="O1574" s="2"/>
    </row>
    <row r="1575" spans="12:15">
      <c r="L1575" s="2"/>
      <c r="N1575" s="2"/>
      <c r="O1575" s="2"/>
    </row>
    <row r="1576" spans="12:15">
      <c r="L1576" s="2"/>
      <c r="N1576" s="2"/>
      <c r="O1576" s="2"/>
    </row>
    <row r="1577" spans="12:15">
      <c r="L1577" s="2"/>
      <c r="N1577" s="2"/>
      <c r="O1577" s="2"/>
    </row>
    <row r="1578" spans="12:15">
      <c r="L1578" s="2"/>
      <c r="N1578" s="2"/>
      <c r="O1578" s="2"/>
    </row>
    <row r="1579" spans="12:15">
      <c r="L1579" s="2"/>
      <c r="N1579" s="2"/>
      <c r="O1579" s="2"/>
    </row>
    <row r="1580" spans="12:15">
      <c r="L1580" s="2"/>
      <c r="N1580" s="2"/>
      <c r="O1580" s="2"/>
    </row>
    <row r="1581" spans="12:15">
      <c r="L1581" s="2"/>
      <c r="N1581" s="2"/>
      <c r="O1581" s="2"/>
    </row>
    <row r="1582" spans="12:15">
      <c r="L1582" s="2"/>
      <c r="N1582" s="2"/>
      <c r="O1582" s="2"/>
    </row>
    <row r="1583" spans="12:15">
      <c r="L1583" s="2"/>
      <c r="N1583" s="2"/>
      <c r="O1583" s="2"/>
    </row>
    <row r="1584" spans="12:15">
      <c r="L1584" s="2"/>
      <c r="N1584" s="2"/>
      <c r="O1584" s="2"/>
    </row>
    <row r="1585" spans="12:15">
      <c r="L1585" s="2"/>
      <c r="N1585" s="2"/>
      <c r="O1585" s="2"/>
    </row>
    <row r="1586" spans="12:15">
      <c r="L1586" s="2"/>
      <c r="N1586" s="2"/>
      <c r="O1586" s="2"/>
    </row>
    <row r="1587" spans="12:15">
      <c r="L1587" s="2"/>
      <c r="N1587" s="2"/>
      <c r="O1587" s="2"/>
    </row>
    <row r="1588" spans="12:15">
      <c r="L1588" s="2"/>
      <c r="N1588" s="2"/>
      <c r="O1588" s="2"/>
    </row>
    <row r="1589" spans="12:15">
      <c r="L1589" s="2"/>
      <c r="N1589" s="2"/>
      <c r="O1589" s="2"/>
    </row>
    <row r="1590" spans="12:15">
      <c r="L1590" s="2"/>
      <c r="N1590" s="2"/>
      <c r="O1590" s="2"/>
    </row>
    <row r="1591" spans="12:15">
      <c r="L1591" s="2"/>
      <c r="N1591" s="2"/>
      <c r="O1591" s="2"/>
    </row>
    <row r="1592" spans="12:15">
      <c r="L1592" s="2"/>
      <c r="N1592" s="2"/>
      <c r="O1592" s="2"/>
    </row>
    <row r="1593" spans="12:15">
      <c r="L1593" s="2"/>
      <c r="N1593" s="2"/>
      <c r="O1593" s="2"/>
    </row>
    <row r="1594" spans="12:15">
      <c r="L1594" s="2"/>
      <c r="N1594" s="2"/>
      <c r="O1594" s="2"/>
    </row>
    <row r="1595" spans="12:15">
      <c r="L1595" s="2"/>
      <c r="N1595" s="2"/>
      <c r="O1595" s="2"/>
    </row>
    <row r="1596" spans="12:15">
      <c r="L1596" s="2"/>
      <c r="N1596" s="2"/>
      <c r="O1596" s="2"/>
    </row>
    <row r="1597" spans="12:15">
      <c r="L1597" s="2"/>
      <c r="N1597" s="2"/>
      <c r="O1597" s="2"/>
    </row>
    <row r="1598" spans="12:15">
      <c r="L1598" s="2"/>
      <c r="N1598" s="2"/>
      <c r="O1598" s="2"/>
    </row>
    <row r="1599" spans="12:15">
      <c r="L1599" s="2"/>
      <c r="N1599" s="2"/>
      <c r="O1599" s="2"/>
    </row>
    <row r="1600" spans="12:15">
      <c r="L1600" s="2"/>
      <c r="N1600" s="2"/>
      <c r="O1600" s="2"/>
    </row>
    <row r="1601" spans="12:15">
      <c r="L1601" s="2"/>
      <c r="N1601" s="2"/>
      <c r="O1601" s="2"/>
    </row>
    <row r="1602" spans="12:15">
      <c r="L1602" s="2"/>
      <c r="N1602" s="2"/>
      <c r="O1602" s="2"/>
    </row>
    <row r="1603" spans="12:15">
      <c r="L1603" s="2"/>
      <c r="N1603" s="2"/>
      <c r="O1603" s="2"/>
    </row>
    <row r="1604" spans="12:15">
      <c r="L1604" s="2"/>
      <c r="N1604" s="2"/>
      <c r="O1604" s="2"/>
    </row>
    <row r="1605" spans="12:15">
      <c r="L1605" s="2"/>
      <c r="N1605" s="2"/>
      <c r="O1605" s="2"/>
    </row>
    <row r="1606" spans="12:15">
      <c r="L1606" s="2"/>
      <c r="N1606" s="2"/>
      <c r="O1606" s="2"/>
    </row>
    <row r="1607" spans="12:15">
      <c r="L1607" s="2"/>
      <c r="N1607" s="2"/>
      <c r="O1607" s="2"/>
    </row>
    <row r="1608" spans="12:15">
      <c r="L1608" s="2"/>
      <c r="N1608" s="2"/>
      <c r="O1608" s="2"/>
    </row>
    <row r="1609" spans="12:15">
      <c r="L1609" s="2"/>
      <c r="N1609" s="2"/>
      <c r="O1609" s="2"/>
    </row>
    <row r="1610" spans="12:15">
      <c r="L1610" s="2"/>
      <c r="N1610" s="2"/>
      <c r="O1610" s="2"/>
    </row>
    <row r="1611" spans="12:15">
      <c r="L1611" s="2"/>
      <c r="N1611" s="2"/>
      <c r="O1611" s="2"/>
    </row>
    <row r="1612" spans="12:15">
      <c r="L1612" s="2"/>
      <c r="N1612" s="2"/>
      <c r="O1612" s="2"/>
    </row>
    <row r="1613" spans="12:15">
      <c r="L1613" s="2"/>
      <c r="N1613" s="2"/>
      <c r="O1613" s="2"/>
    </row>
    <row r="1614" spans="12:15">
      <c r="L1614" s="2"/>
      <c r="N1614" s="2"/>
      <c r="O1614" s="2"/>
    </row>
    <row r="1615" spans="12:15">
      <c r="L1615" s="2"/>
      <c r="N1615" s="2"/>
      <c r="O1615" s="2"/>
    </row>
    <row r="1616" spans="12:15">
      <c r="L1616" s="2"/>
      <c r="N1616" s="2"/>
      <c r="O1616" s="2"/>
    </row>
    <row r="1617" spans="12:15">
      <c r="L1617" s="2"/>
      <c r="N1617" s="2"/>
      <c r="O1617" s="2"/>
    </row>
    <row r="1618" spans="12:15">
      <c r="L1618" s="2"/>
      <c r="N1618" s="2"/>
      <c r="O1618" s="2"/>
    </row>
    <row r="1619" spans="12:15">
      <c r="L1619" s="2"/>
      <c r="N1619" s="2"/>
      <c r="O1619" s="2"/>
    </row>
    <row r="1620" spans="12:15">
      <c r="L1620" s="2"/>
      <c r="N1620" s="2"/>
      <c r="O1620" s="2"/>
    </row>
    <row r="1621" spans="12:15">
      <c r="L1621" s="2"/>
      <c r="N1621" s="2"/>
      <c r="O1621" s="2"/>
    </row>
    <row r="1622" spans="12:15">
      <c r="L1622" s="2"/>
      <c r="N1622" s="2"/>
      <c r="O1622" s="2"/>
    </row>
    <row r="1623" spans="12:15">
      <c r="L1623" s="2"/>
      <c r="N1623" s="2"/>
      <c r="O1623" s="2"/>
    </row>
    <row r="1624" spans="12:15">
      <c r="L1624" s="2"/>
      <c r="N1624" s="2"/>
      <c r="O1624" s="2"/>
    </row>
    <row r="1625" spans="12:15">
      <c r="L1625" s="2"/>
      <c r="N1625" s="2"/>
      <c r="O1625" s="2"/>
    </row>
    <row r="1626" spans="12:15">
      <c r="L1626" s="2"/>
      <c r="N1626" s="2"/>
      <c r="O1626" s="2"/>
    </row>
    <row r="1627" spans="12:15">
      <c r="L1627" s="2"/>
      <c r="N1627" s="2"/>
      <c r="O1627" s="2"/>
    </row>
    <row r="1628" spans="12:15">
      <c r="L1628" s="2"/>
      <c r="N1628" s="2"/>
      <c r="O1628" s="2"/>
    </row>
    <row r="1629" spans="12:15">
      <c r="L1629" s="2"/>
      <c r="N1629" s="2"/>
      <c r="O1629" s="2"/>
    </row>
    <row r="1630" spans="12:15">
      <c r="L1630" s="2"/>
      <c r="N1630" s="2"/>
      <c r="O1630" s="2"/>
    </row>
    <row r="1631" spans="12:15">
      <c r="L1631" s="2"/>
      <c r="N1631" s="2"/>
      <c r="O1631" s="2"/>
    </row>
    <row r="1632" spans="12:15">
      <c r="L1632" s="2"/>
      <c r="N1632" s="2"/>
      <c r="O1632" s="2"/>
    </row>
    <row r="1633" spans="12:15">
      <c r="L1633" s="2"/>
      <c r="N1633" s="2"/>
      <c r="O1633" s="2"/>
    </row>
    <row r="1634" spans="12:15">
      <c r="L1634" s="2"/>
      <c r="N1634" s="2"/>
      <c r="O1634" s="2"/>
    </row>
    <row r="1635" spans="12:15">
      <c r="L1635" s="2"/>
      <c r="N1635" s="2"/>
      <c r="O1635" s="2"/>
    </row>
    <row r="1636" spans="12:15">
      <c r="L1636" s="2"/>
      <c r="N1636" s="2"/>
      <c r="O1636" s="2"/>
    </row>
    <row r="1637" spans="12:15">
      <c r="L1637" s="2"/>
      <c r="N1637" s="2"/>
      <c r="O1637" s="2"/>
    </row>
    <row r="1638" spans="12:15">
      <c r="L1638" s="2"/>
      <c r="N1638" s="2"/>
      <c r="O1638" s="2"/>
    </row>
    <row r="1639" spans="12:15">
      <c r="L1639" s="2"/>
      <c r="N1639" s="2"/>
      <c r="O1639" s="2"/>
    </row>
    <row r="1640" spans="12:15">
      <c r="L1640" s="2"/>
      <c r="N1640" s="2"/>
      <c r="O1640" s="2"/>
    </row>
    <row r="1641" spans="12:15">
      <c r="L1641" s="2"/>
      <c r="N1641" s="2"/>
      <c r="O1641" s="2"/>
    </row>
    <row r="1642" spans="12:15">
      <c r="L1642" s="2"/>
      <c r="N1642" s="2"/>
      <c r="O1642" s="2"/>
    </row>
    <row r="1643" spans="12:15">
      <c r="L1643" s="2"/>
      <c r="N1643" s="2"/>
      <c r="O1643" s="2"/>
    </row>
    <row r="1644" spans="12:15">
      <c r="L1644" s="2"/>
      <c r="N1644" s="2"/>
      <c r="O1644" s="2"/>
    </row>
    <row r="1645" spans="12:15">
      <c r="L1645" s="2"/>
      <c r="N1645" s="2"/>
      <c r="O1645" s="2"/>
    </row>
    <row r="1646" spans="12:15">
      <c r="L1646" s="2"/>
      <c r="N1646" s="2"/>
      <c r="O1646" s="2"/>
    </row>
    <row r="1647" spans="12:15">
      <c r="L1647" s="2"/>
      <c r="N1647" s="2"/>
      <c r="O1647" s="2"/>
    </row>
    <row r="1648" spans="12:15">
      <c r="L1648" s="2"/>
      <c r="N1648" s="2"/>
      <c r="O1648" s="2"/>
    </row>
    <row r="1649" spans="12:15">
      <c r="L1649" s="2"/>
      <c r="N1649" s="2"/>
      <c r="O1649" s="2"/>
    </row>
    <row r="1650" spans="12:15">
      <c r="L1650" s="2"/>
      <c r="N1650" s="2"/>
      <c r="O1650" s="2"/>
    </row>
    <row r="1651" spans="12:15">
      <c r="L1651" s="2"/>
      <c r="N1651" s="2"/>
      <c r="O1651" s="2"/>
    </row>
    <row r="1652" spans="12:15">
      <c r="L1652" s="2"/>
      <c r="N1652" s="2"/>
      <c r="O1652" s="2"/>
    </row>
    <row r="1653" spans="12:15">
      <c r="L1653" s="2"/>
      <c r="N1653" s="2"/>
      <c r="O1653" s="2"/>
    </row>
    <row r="1654" spans="12:15">
      <c r="L1654" s="2"/>
      <c r="N1654" s="2"/>
      <c r="O1654" s="2"/>
    </row>
    <row r="1655" spans="12:15">
      <c r="L1655" s="2"/>
      <c r="N1655" s="2"/>
      <c r="O1655" s="2"/>
    </row>
    <row r="1656" spans="12:15">
      <c r="L1656" s="2"/>
      <c r="N1656" s="2"/>
      <c r="O1656" s="2"/>
    </row>
    <row r="1657" spans="12:15">
      <c r="L1657" s="2"/>
      <c r="N1657" s="2"/>
      <c r="O1657" s="2"/>
    </row>
    <row r="1658" spans="12:15">
      <c r="L1658" s="2"/>
      <c r="N1658" s="2"/>
      <c r="O1658" s="2"/>
    </row>
    <row r="1659" spans="12:15">
      <c r="L1659" s="2"/>
      <c r="N1659" s="2"/>
      <c r="O1659" s="2"/>
    </row>
    <row r="1660" spans="12:15">
      <c r="L1660" s="2"/>
      <c r="N1660" s="2"/>
      <c r="O1660" s="2"/>
    </row>
    <row r="1661" spans="12:15">
      <c r="L1661" s="2"/>
      <c r="N1661" s="2"/>
      <c r="O1661" s="2"/>
    </row>
    <row r="1662" spans="12:15">
      <c r="L1662" s="2"/>
      <c r="N1662" s="2"/>
      <c r="O1662" s="2"/>
    </row>
    <row r="1663" spans="12:15">
      <c r="L1663" s="2"/>
      <c r="N1663" s="2"/>
      <c r="O1663" s="2"/>
    </row>
    <row r="1664" spans="12:15">
      <c r="L1664" s="2"/>
      <c r="N1664" s="2"/>
      <c r="O1664" s="2"/>
    </row>
    <row r="1665" spans="12:15">
      <c r="L1665" s="2"/>
      <c r="N1665" s="2"/>
      <c r="O1665" s="2"/>
    </row>
    <row r="1666" spans="12:15">
      <c r="L1666" s="2"/>
      <c r="N1666" s="2"/>
      <c r="O1666" s="2"/>
    </row>
    <row r="1667" spans="12:15">
      <c r="L1667" s="2"/>
      <c r="N1667" s="2"/>
      <c r="O1667" s="2"/>
    </row>
    <row r="1668" spans="12:15">
      <c r="L1668" s="2"/>
      <c r="N1668" s="2"/>
      <c r="O1668" s="2"/>
    </row>
    <row r="1669" spans="12:15">
      <c r="L1669" s="2"/>
      <c r="N1669" s="2"/>
      <c r="O1669" s="2"/>
    </row>
    <row r="1670" spans="12:15">
      <c r="L1670" s="2"/>
      <c r="N1670" s="2"/>
      <c r="O1670" s="2"/>
    </row>
    <row r="1671" spans="12:15">
      <c r="L1671" s="2"/>
      <c r="N1671" s="2"/>
      <c r="O1671" s="2"/>
    </row>
    <row r="1672" spans="12:15">
      <c r="L1672" s="2"/>
      <c r="N1672" s="2"/>
      <c r="O1672" s="2"/>
    </row>
    <row r="1673" spans="12:15">
      <c r="L1673" s="2"/>
      <c r="N1673" s="2"/>
      <c r="O1673" s="2"/>
    </row>
    <row r="1674" spans="12:15">
      <c r="L1674" s="2"/>
      <c r="N1674" s="2"/>
      <c r="O1674" s="2"/>
    </row>
    <row r="1675" spans="12:15">
      <c r="L1675" s="2"/>
      <c r="N1675" s="2"/>
      <c r="O1675" s="2"/>
    </row>
    <row r="1676" spans="12:15">
      <c r="L1676" s="2"/>
      <c r="N1676" s="2"/>
      <c r="O1676" s="2"/>
    </row>
    <row r="1677" spans="12:15">
      <c r="L1677" s="2"/>
      <c r="N1677" s="2"/>
      <c r="O1677" s="2"/>
    </row>
    <row r="1678" spans="12:15">
      <c r="L1678" s="2"/>
      <c r="N1678" s="2"/>
      <c r="O1678" s="2"/>
    </row>
    <row r="1679" spans="12:15">
      <c r="L1679" s="2"/>
      <c r="N1679" s="2"/>
      <c r="O1679" s="2"/>
    </row>
    <row r="1680" spans="12:15">
      <c r="L1680" s="2"/>
      <c r="N1680" s="2"/>
      <c r="O1680" s="2"/>
    </row>
    <row r="1681" spans="12:15">
      <c r="L1681" s="2"/>
      <c r="N1681" s="2"/>
      <c r="O1681" s="2"/>
    </row>
    <row r="1682" spans="12:15">
      <c r="L1682" s="2"/>
      <c r="N1682" s="2"/>
      <c r="O1682" s="2"/>
    </row>
    <row r="1683" spans="12:15">
      <c r="L1683" s="2"/>
      <c r="N1683" s="2"/>
      <c r="O1683" s="2"/>
    </row>
    <row r="1684" spans="12:15">
      <c r="L1684" s="2"/>
      <c r="N1684" s="2"/>
      <c r="O1684" s="2"/>
    </row>
    <row r="1685" spans="12:15">
      <c r="L1685" s="2"/>
      <c r="N1685" s="2"/>
      <c r="O1685" s="2"/>
    </row>
    <row r="1686" spans="12:15">
      <c r="L1686" s="2"/>
      <c r="N1686" s="2"/>
      <c r="O1686" s="2"/>
    </row>
    <row r="1687" spans="12:15">
      <c r="L1687" s="2"/>
      <c r="N1687" s="2"/>
      <c r="O1687" s="2"/>
    </row>
    <row r="1688" spans="12:15">
      <c r="L1688" s="2"/>
      <c r="N1688" s="2"/>
      <c r="O1688" s="2"/>
    </row>
    <row r="1689" spans="12:15">
      <c r="L1689" s="2"/>
      <c r="N1689" s="2"/>
      <c r="O1689" s="2"/>
    </row>
    <row r="1690" spans="12:15">
      <c r="L1690" s="2"/>
      <c r="N1690" s="2"/>
      <c r="O1690" s="2"/>
    </row>
    <row r="1691" spans="12:15">
      <c r="L1691" s="2"/>
      <c r="N1691" s="2"/>
      <c r="O1691" s="2"/>
    </row>
    <row r="1692" spans="12:15">
      <c r="L1692" s="2"/>
      <c r="N1692" s="2"/>
      <c r="O1692" s="2"/>
    </row>
    <row r="1693" spans="12:15">
      <c r="L1693" s="2"/>
      <c r="N1693" s="2"/>
      <c r="O1693" s="2"/>
    </row>
    <row r="1694" spans="12:15">
      <c r="L1694" s="2"/>
      <c r="N1694" s="2"/>
      <c r="O1694" s="2"/>
    </row>
    <row r="1695" spans="12:15">
      <c r="L1695" s="2"/>
      <c r="N1695" s="2"/>
      <c r="O1695" s="2"/>
    </row>
    <row r="1696" spans="12:15">
      <c r="L1696" s="2"/>
      <c r="N1696" s="2"/>
      <c r="O1696" s="2"/>
    </row>
    <row r="1697" spans="12:15">
      <c r="L1697" s="2"/>
      <c r="N1697" s="2"/>
      <c r="O1697" s="2"/>
    </row>
    <row r="1698" spans="12:15">
      <c r="L1698" s="2"/>
      <c r="N1698" s="2"/>
      <c r="O1698" s="2"/>
    </row>
    <row r="1699" spans="12:15">
      <c r="L1699" s="2"/>
      <c r="N1699" s="2"/>
      <c r="O1699" s="2"/>
    </row>
    <row r="1700" spans="12:15">
      <c r="L1700" s="2"/>
      <c r="N1700" s="2"/>
      <c r="O1700" s="2"/>
    </row>
    <row r="1701" spans="12:15">
      <c r="L1701" s="2"/>
      <c r="N1701" s="2"/>
      <c r="O1701" s="2"/>
    </row>
    <row r="1702" spans="12:15">
      <c r="L1702" s="2"/>
      <c r="N1702" s="2"/>
      <c r="O1702" s="2"/>
    </row>
    <row r="1703" spans="12:15">
      <c r="L1703" s="2"/>
      <c r="N1703" s="2"/>
      <c r="O1703" s="2"/>
    </row>
    <row r="1704" spans="12:15">
      <c r="L1704" s="2"/>
      <c r="N1704" s="2"/>
      <c r="O1704" s="2"/>
    </row>
    <row r="1705" spans="12:15">
      <c r="L1705" s="2"/>
      <c r="N1705" s="2"/>
      <c r="O1705" s="2"/>
    </row>
    <row r="1706" spans="12:15">
      <c r="L1706" s="2"/>
      <c r="N1706" s="2"/>
      <c r="O1706" s="2"/>
    </row>
    <row r="1707" spans="12:15">
      <c r="L1707" s="2"/>
      <c r="N1707" s="2"/>
      <c r="O1707" s="2"/>
    </row>
    <row r="1708" spans="12:15">
      <c r="L1708" s="2"/>
      <c r="N1708" s="2"/>
      <c r="O1708" s="2"/>
    </row>
    <row r="1709" spans="12:15">
      <c r="L1709" s="2"/>
      <c r="N1709" s="2"/>
      <c r="O1709" s="2"/>
    </row>
    <row r="1710" spans="12:15">
      <c r="L1710" s="2"/>
      <c r="N1710" s="2"/>
      <c r="O1710" s="2"/>
    </row>
    <row r="1711" spans="12:15">
      <c r="L1711" s="2"/>
      <c r="N1711" s="2"/>
      <c r="O1711" s="2"/>
    </row>
    <row r="1712" spans="12:15">
      <c r="L1712" s="2"/>
      <c r="N1712" s="2"/>
      <c r="O1712" s="2"/>
    </row>
    <row r="1713" spans="12:15">
      <c r="L1713" s="2"/>
      <c r="N1713" s="2"/>
      <c r="O1713" s="2"/>
    </row>
    <row r="1714" spans="12:15">
      <c r="L1714" s="2"/>
      <c r="N1714" s="2"/>
      <c r="O1714" s="2"/>
    </row>
    <row r="1715" spans="12:15">
      <c r="L1715" s="2"/>
      <c r="N1715" s="2"/>
      <c r="O1715" s="2"/>
    </row>
    <row r="1716" spans="12:15">
      <c r="L1716" s="2"/>
      <c r="N1716" s="2"/>
      <c r="O1716" s="2"/>
    </row>
    <row r="1717" spans="12:15">
      <c r="L1717" s="2"/>
      <c r="N1717" s="2"/>
      <c r="O1717" s="2"/>
    </row>
    <row r="1718" spans="12:15">
      <c r="L1718" s="2"/>
      <c r="N1718" s="2"/>
      <c r="O1718" s="2"/>
    </row>
    <row r="1719" spans="12:15">
      <c r="L1719" s="2"/>
      <c r="N1719" s="2"/>
      <c r="O1719" s="2"/>
    </row>
    <row r="1720" spans="12:15">
      <c r="L1720" s="2"/>
      <c r="N1720" s="2"/>
      <c r="O1720" s="2"/>
    </row>
    <row r="1721" spans="12:15">
      <c r="L1721" s="2"/>
      <c r="N1721" s="2"/>
      <c r="O1721" s="2"/>
    </row>
    <row r="1722" spans="12:15">
      <c r="L1722" s="2"/>
      <c r="N1722" s="2"/>
      <c r="O1722" s="2"/>
    </row>
    <row r="1723" spans="12:15">
      <c r="L1723" s="2"/>
      <c r="N1723" s="2"/>
      <c r="O1723" s="2"/>
    </row>
    <row r="1724" spans="12:15">
      <c r="L1724" s="2"/>
      <c r="N1724" s="2"/>
      <c r="O1724" s="2"/>
    </row>
    <row r="1725" spans="12:15">
      <c r="L1725" s="2"/>
      <c r="N1725" s="2"/>
      <c r="O1725" s="2"/>
    </row>
    <row r="1726" spans="12:15">
      <c r="L1726" s="2"/>
      <c r="N1726" s="2"/>
      <c r="O1726" s="2"/>
    </row>
    <row r="1727" spans="12:15">
      <c r="L1727" s="2"/>
      <c r="N1727" s="2"/>
      <c r="O1727" s="2"/>
    </row>
    <row r="1728" spans="12:15">
      <c r="L1728" s="2"/>
      <c r="N1728" s="2"/>
      <c r="O1728" s="2"/>
    </row>
    <row r="1729" spans="12:15">
      <c r="L1729" s="2"/>
      <c r="N1729" s="2"/>
      <c r="O1729" s="2"/>
    </row>
    <row r="1730" spans="12:15">
      <c r="L1730" s="2"/>
      <c r="N1730" s="2"/>
      <c r="O1730" s="2"/>
    </row>
    <row r="1731" spans="12:15">
      <c r="L1731" s="2"/>
      <c r="N1731" s="2"/>
      <c r="O1731" s="2"/>
    </row>
    <row r="1732" spans="12:15">
      <c r="L1732" s="2"/>
      <c r="N1732" s="2"/>
      <c r="O1732" s="2"/>
    </row>
    <row r="1733" spans="12:15">
      <c r="L1733" s="2"/>
      <c r="N1733" s="2"/>
      <c r="O1733" s="2"/>
    </row>
    <row r="1734" spans="12:15">
      <c r="L1734" s="2"/>
      <c r="N1734" s="2"/>
      <c r="O1734" s="2"/>
    </row>
    <row r="1735" spans="12:15">
      <c r="L1735" s="2"/>
      <c r="N1735" s="2"/>
      <c r="O1735" s="2"/>
    </row>
    <row r="1736" spans="12:15">
      <c r="L1736" s="2"/>
      <c r="N1736" s="2"/>
      <c r="O1736" s="2"/>
    </row>
    <row r="1737" spans="12:15">
      <c r="L1737" s="2"/>
      <c r="N1737" s="2"/>
      <c r="O1737" s="2"/>
    </row>
    <row r="1738" spans="12:15">
      <c r="L1738" s="2"/>
      <c r="N1738" s="2"/>
      <c r="O1738" s="2"/>
    </row>
    <row r="1739" spans="12:15">
      <c r="L1739" s="2"/>
      <c r="N1739" s="2"/>
      <c r="O1739" s="2"/>
    </row>
    <row r="1740" spans="12:15">
      <c r="L1740" s="2"/>
      <c r="N1740" s="2"/>
      <c r="O1740" s="2"/>
    </row>
    <row r="1741" spans="12:15">
      <c r="L1741" s="2"/>
      <c r="N1741" s="2"/>
      <c r="O1741" s="2"/>
    </row>
    <row r="1742" spans="12:15">
      <c r="L1742" s="2"/>
      <c r="N1742" s="2"/>
      <c r="O1742" s="2"/>
    </row>
    <row r="1743" spans="12:15">
      <c r="L1743" s="2"/>
      <c r="N1743" s="2"/>
      <c r="O1743" s="2"/>
    </row>
    <row r="1744" spans="12:15">
      <c r="L1744" s="2"/>
      <c r="N1744" s="2"/>
      <c r="O1744" s="2"/>
    </row>
    <row r="1745" spans="12:15">
      <c r="L1745" s="2"/>
      <c r="N1745" s="2"/>
      <c r="O1745" s="2"/>
    </row>
    <row r="1746" spans="12:15">
      <c r="L1746" s="2"/>
      <c r="N1746" s="2"/>
      <c r="O1746" s="2"/>
    </row>
    <row r="1747" spans="12:15">
      <c r="L1747" s="2"/>
      <c r="N1747" s="2"/>
      <c r="O1747" s="2"/>
    </row>
    <row r="1748" spans="12:15">
      <c r="L1748" s="2"/>
      <c r="N1748" s="2"/>
      <c r="O1748" s="2"/>
    </row>
    <row r="1749" spans="12:15">
      <c r="L1749" s="2"/>
      <c r="N1749" s="2"/>
      <c r="O1749" s="2"/>
    </row>
    <row r="1750" spans="12:15">
      <c r="L1750" s="2"/>
      <c r="N1750" s="2"/>
      <c r="O1750" s="2"/>
    </row>
    <row r="1751" spans="12:15">
      <c r="L1751" s="2"/>
      <c r="N1751" s="2"/>
      <c r="O1751" s="2"/>
    </row>
    <row r="1752" spans="12:15">
      <c r="L1752" s="2"/>
      <c r="N1752" s="2"/>
      <c r="O1752" s="2"/>
    </row>
    <row r="1753" spans="12:15">
      <c r="L1753" s="2"/>
      <c r="N1753" s="2"/>
      <c r="O1753" s="2"/>
    </row>
    <row r="1754" spans="12:15">
      <c r="L1754" s="2"/>
      <c r="N1754" s="2"/>
      <c r="O1754" s="2"/>
    </row>
    <row r="1755" spans="12:15">
      <c r="L1755" s="2"/>
      <c r="N1755" s="2"/>
      <c r="O1755" s="2"/>
    </row>
    <row r="1756" spans="12:15">
      <c r="L1756" s="2"/>
      <c r="N1756" s="2"/>
      <c r="O1756" s="2"/>
    </row>
    <row r="1757" spans="12:15">
      <c r="L1757" s="2"/>
      <c r="N1757" s="2"/>
      <c r="O1757" s="2"/>
    </row>
    <row r="1758" spans="12:15">
      <c r="L1758" s="2"/>
      <c r="N1758" s="2"/>
      <c r="O1758" s="2"/>
    </row>
    <row r="1759" spans="12:15">
      <c r="L1759" s="2"/>
      <c r="N1759" s="2"/>
      <c r="O1759" s="2"/>
    </row>
    <row r="1760" spans="12:15">
      <c r="L1760" s="2"/>
      <c r="N1760" s="2"/>
      <c r="O1760" s="2"/>
    </row>
    <row r="1761" spans="12:15">
      <c r="L1761" s="2"/>
      <c r="N1761" s="2"/>
      <c r="O1761" s="2"/>
    </row>
    <row r="1762" spans="12:15">
      <c r="L1762" s="2"/>
      <c r="N1762" s="2"/>
      <c r="O1762" s="2"/>
    </row>
    <row r="1763" spans="12:15">
      <c r="L1763" s="2"/>
      <c r="N1763" s="2"/>
      <c r="O1763" s="2"/>
    </row>
    <row r="1764" spans="12:15">
      <c r="L1764" s="2"/>
      <c r="N1764" s="2"/>
      <c r="O1764" s="2"/>
    </row>
    <row r="1765" spans="12:15">
      <c r="L1765" s="2"/>
      <c r="N1765" s="2"/>
      <c r="O1765" s="2"/>
    </row>
    <row r="1766" spans="12:15">
      <c r="L1766" s="2"/>
      <c r="N1766" s="2"/>
      <c r="O1766" s="2"/>
    </row>
    <row r="1767" spans="12:15">
      <c r="L1767" s="2"/>
      <c r="N1767" s="2"/>
      <c r="O1767" s="2"/>
    </row>
    <row r="1768" spans="12:15">
      <c r="L1768" s="2"/>
      <c r="N1768" s="2"/>
      <c r="O1768" s="2"/>
    </row>
    <row r="1769" spans="12:15">
      <c r="L1769" s="2"/>
      <c r="N1769" s="2"/>
      <c r="O1769" s="2"/>
    </row>
    <row r="1770" spans="12:15">
      <c r="L1770" s="2"/>
      <c r="N1770" s="2"/>
      <c r="O1770" s="2"/>
    </row>
    <row r="1771" spans="12:15">
      <c r="L1771" s="2"/>
      <c r="N1771" s="2"/>
      <c r="O1771" s="2"/>
    </row>
    <row r="1772" spans="12:15">
      <c r="L1772" s="2"/>
      <c r="N1772" s="2"/>
      <c r="O1772" s="2"/>
    </row>
    <row r="1773" spans="12:15">
      <c r="L1773" s="2"/>
      <c r="N1773" s="2"/>
      <c r="O1773" s="2"/>
    </row>
    <row r="1774" spans="12:15">
      <c r="L1774" s="2"/>
      <c r="N1774" s="2"/>
      <c r="O1774" s="2"/>
    </row>
    <row r="1775" spans="12:15">
      <c r="L1775" s="2"/>
      <c r="N1775" s="2"/>
      <c r="O1775" s="2"/>
    </row>
    <row r="1776" spans="12:15">
      <c r="L1776" s="2"/>
      <c r="N1776" s="2"/>
      <c r="O1776" s="2"/>
    </row>
    <row r="1777" spans="12:15">
      <c r="L1777" s="2"/>
      <c r="N1777" s="2"/>
      <c r="O1777" s="2"/>
    </row>
    <row r="1778" spans="12:15">
      <c r="L1778" s="2"/>
      <c r="N1778" s="2"/>
      <c r="O1778" s="2"/>
    </row>
    <row r="1779" spans="12:15">
      <c r="L1779" s="2"/>
      <c r="N1779" s="2"/>
      <c r="O1779" s="2"/>
    </row>
    <row r="1780" spans="12:15">
      <c r="L1780" s="2"/>
      <c r="N1780" s="2"/>
      <c r="O1780" s="2"/>
    </row>
    <row r="1781" spans="12:15">
      <c r="L1781" s="2"/>
      <c r="N1781" s="2"/>
      <c r="O1781" s="2"/>
    </row>
    <row r="1782" spans="12:15">
      <c r="L1782" s="2"/>
      <c r="N1782" s="2"/>
      <c r="O1782" s="2"/>
    </row>
    <row r="1783" spans="12:15">
      <c r="L1783" s="2"/>
      <c r="N1783" s="2"/>
      <c r="O1783" s="2"/>
    </row>
    <row r="1784" spans="12:15">
      <c r="L1784" s="2"/>
      <c r="N1784" s="2"/>
      <c r="O1784" s="2"/>
    </row>
    <row r="1785" spans="12:15">
      <c r="L1785" s="2"/>
      <c r="N1785" s="2"/>
      <c r="O1785" s="2"/>
    </row>
    <row r="1786" spans="12:15">
      <c r="L1786" s="2"/>
      <c r="N1786" s="2"/>
      <c r="O1786" s="2"/>
    </row>
    <row r="1787" spans="12:15">
      <c r="L1787" s="2"/>
      <c r="N1787" s="2"/>
      <c r="O1787" s="2"/>
    </row>
    <row r="1788" spans="12:15">
      <c r="L1788" s="2"/>
      <c r="N1788" s="2"/>
      <c r="O1788" s="2"/>
    </row>
    <row r="1789" spans="12:15">
      <c r="L1789" s="2"/>
      <c r="N1789" s="2"/>
      <c r="O1789" s="2"/>
    </row>
    <row r="1790" spans="12:15">
      <c r="L1790" s="2"/>
      <c r="N1790" s="2"/>
      <c r="O1790" s="2"/>
    </row>
    <row r="1791" spans="12:15">
      <c r="L1791" s="2"/>
      <c r="N1791" s="2"/>
      <c r="O1791" s="2"/>
    </row>
    <row r="1792" spans="12:15">
      <c r="L1792" s="2"/>
      <c r="N1792" s="2"/>
      <c r="O1792" s="2"/>
    </row>
    <row r="1793" spans="12:15">
      <c r="L1793" s="2"/>
      <c r="N1793" s="2"/>
      <c r="O1793" s="2"/>
    </row>
    <row r="1794" spans="12:15">
      <c r="L1794" s="2"/>
      <c r="N1794" s="2"/>
      <c r="O1794" s="2"/>
    </row>
    <row r="1795" spans="12:15">
      <c r="L1795" s="2"/>
      <c r="N1795" s="2"/>
      <c r="O1795" s="2"/>
    </row>
    <row r="1796" spans="12:15">
      <c r="L1796" s="2"/>
      <c r="N1796" s="2"/>
      <c r="O1796" s="2"/>
    </row>
    <row r="1797" spans="12:15">
      <c r="L1797" s="2"/>
      <c r="N1797" s="2"/>
      <c r="O1797" s="2"/>
    </row>
    <row r="1798" spans="12:15">
      <c r="L1798" s="2"/>
      <c r="N1798" s="2"/>
      <c r="O1798" s="2"/>
    </row>
    <row r="1799" spans="12:15">
      <c r="L1799" s="2"/>
      <c r="N1799" s="2"/>
      <c r="O1799" s="2"/>
    </row>
    <row r="1800" spans="12:15">
      <c r="L1800" s="2"/>
      <c r="N1800" s="2"/>
      <c r="O1800" s="2"/>
    </row>
    <row r="1801" spans="12:15">
      <c r="L1801" s="2"/>
      <c r="N1801" s="2"/>
      <c r="O1801" s="2"/>
    </row>
    <row r="1802" spans="12:15">
      <c r="L1802" s="2"/>
      <c r="N1802" s="2"/>
      <c r="O1802" s="2"/>
    </row>
    <row r="1803" spans="12:15">
      <c r="L1803" s="2"/>
      <c r="N1803" s="2"/>
      <c r="O1803" s="2"/>
    </row>
    <row r="1804" spans="12:15">
      <c r="L1804" s="2"/>
      <c r="N1804" s="2"/>
      <c r="O1804" s="2"/>
    </row>
    <row r="1805" spans="12:15">
      <c r="L1805" s="2"/>
      <c r="N1805" s="2"/>
      <c r="O1805" s="2"/>
    </row>
    <row r="1806" spans="12:15">
      <c r="L1806" s="2"/>
      <c r="N1806" s="2"/>
      <c r="O1806" s="2"/>
    </row>
    <row r="1807" spans="12:15">
      <c r="L1807" s="2"/>
      <c r="N1807" s="2"/>
      <c r="O1807" s="2"/>
    </row>
    <row r="1808" spans="12:15">
      <c r="L1808" s="2"/>
      <c r="N1808" s="2"/>
      <c r="O1808" s="2"/>
    </row>
    <row r="1809" spans="12:15">
      <c r="L1809" s="2"/>
      <c r="N1809" s="2"/>
      <c r="O1809" s="2"/>
    </row>
    <row r="1810" spans="12:15">
      <c r="L1810" s="2"/>
      <c r="N1810" s="2"/>
      <c r="O1810" s="2"/>
    </row>
    <row r="1811" spans="12:15">
      <c r="L1811" s="2"/>
      <c r="N1811" s="2"/>
      <c r="O1811" s="2"/>
    </row>
    <row r="1812" spans="12:15">
      <c r="L1812" s="2"/>
      <c r="N1812" s="2"/>
      <c r="O1812" s="2"/>
    </row>
    <row r="1813" spans="12:15">
      <c r="L1813" s="2"/>
      <c r="N1813" s="2"/>
      <c r="O1813" s="2"/>
    </row>
    <row r="1814" spans="12:15">
      <c r="L1814" s="2"/>
      <c r="N1814" s="2"/>
      <c r="O1814" s="2"/>
    </row>
    <row r="1815" spans="12:15">
      <c r="L1815" s="2"/>
      <c r="N1815" s="2"/>
      <c r="O1815" s="2"/>
    </row>
    <row r="1816" spans="12:15">
      <c r="L1816" s="2"/>
      <c r="N1816" s="2"/>
      <c r="O1816" s="2"/>
    </row>
    <row r="1817" spans="12:15">
      <c r="L1817" s="2"/>
      <c r="N1817" s="2"/>
      <c r="O1817" s="2"/>
    </row>
    <row r="1818" spans="12:15">
      <c r="L1818" s="2"/>
      <c r="N1818" s="2"/>
      <c r="O1818" s="2"/>
    </row>
    <row r="1819" spans="12:15">
      <c r="L1819" s="2"/>
      <c r="N1819" s="2"/>
      <c r="O1819" s="2"/>
    </row>
    <row r="1820" spans="12:15">
      <c r="L1820" s="2"/>
      <c r="N1820" s="2"/>
      <c r="O1820" s="2"/>
    </row>
    <row r="1821" spans="12:15">
      <c r="L1821" s="2"/>
      <c r="N1821" s="2"/>
      <c r="O1821" s="2"/>
    </row>
    <row r="1822" spans="12:15">
      <c r="L1822" s="2"/>
      <c r="N1822" s="2"/>
      <c r="O1822" s="2"/>
    </row>
    <row r="1823" spans="12:15">
      <c r="L1823" s="2"/>
      <c r="N1823" s="2"/>
      <c r="O1823" s="2"/>
    </row>
    <row r="1824" spans="12:15">
      <c r="L1824" s="2"/>
      <c r="N1824" s="2"/>
      <c r="O1824" s="2"/>
    </row>
    <row r="1825" spans="12:15">
      <c r="L1825" s="2"/>
      <c r="N1825" s="2"/>
      <c r="O1825" s="2"/>
    </row>
    <row r="1826" spans="12:15">
      <c r="L1826" s="2"/>
      <c r="N1826" s="2"/>
      <c r="O1826" s="2"/>
    </row>
    <row r="1827" spans="12:15">
      <c r="L1827" s="2"/>
      <c r="N1827" s="2"/>
      <c r="O1827" s="2"/>
    </row>
    <row r="1828" spans="12:15">
      <c r="L1828" s="2"/>
      <c r="N1828" s="2"/>
      <c r="O1828" s="2"/>
    </row>
    <row r="1829" spans="12:15">
      <c r="L1829" s="2"/>
      <c r="N1829" s="2"/>
      <c r="O1829" s="2"/>
    </row>
    <row r="1830" spans="12:15">
      <c r="L1830" s="2"/>
      <c r="N1830" s="2"/>
      <c r="O1830" s="2"/>
    </row>
    <row r="1831" spans="12:15">
      <c r="L1831" s="2"/>
      <c r="N1831" s="2"/>
      <c r="O1831" s="2"/>
    </row>
    <row r="1832" spans="12:15">
      <c r="L1832" s="2"/>
      <c r="N1832" s="2"/>
      <c r="O1832" s="2"/>
    </row>
    <row r="1833" spans="12:15">
      <c r="L1833" s="2"/>
      <c r="N1833" s="2"/>
      <c r="O1833" s="2"/>
    </row>
    <row r="1834" spans="12:15">
      <c r="L1834" s="2"/>
      <c r="N1834" s="2"/>
      <c r="O1834" s="2"/>
    </row>
    <row r="1835" spans="12:15">
      <c r="L1835" s="2"/>
      <c r="N1835" s="2"/>
      <c r="O1835" s="2"/>
    </row>
    <row r="1836" spans="12:15">
      <c r="L1836" s="2"/>
      <c r="N1836" s="2"/>
      <c r="O1836" s="2"/>
    </row>
    <row r="1837" spans="12:15">
      <c r="L1837" s="2"/>
      <c r="N1837" s="2"/>
      <c r="O1837" s="2"/>
    </row>
    <row r="1838" spans="12:15">
      <c r="L1838" s="2"/>
      <c r="N1838" s="2"/>
      <c r="O1838" s="2"/>
    </row>
    <row r="1839" spans="12:15">
      <c r="L1839" s="2"/>
      <c r="N1839" s="2"/>
      <c r="O1839" s="2"/>
    </row>
    <row r="1840" spans="12:15">
      <c r="L1840" s="2"/>
      <c r="N1840" s="2"/>
      <c r="O1840" s="2"/>
    </row>
    <row r="1841" spans="12:15">
      <c r="L1841" s="2"/>
      <c r="N1841" s="2"/>
      <c r="O1841" s="2"/>
    </row>
    <row r="1842" spans="12:15">
      <c r="L1842" s="2"/>
      <c r="N1842" s="2"/>
      <c r="O1842" s="2"/>
    </row>
    <row r="1843" spans="12:15">
      <c r="L1843" s="2"/>
      <c r="N1843" s="2"/>
      <c r="O1843" s="2"/>
    </row>
    <row r="1844" spans="12:15">
      <c r="L1844" s="2"/>
      <c r="N1844" s="2"/>
      <c r="O1844" s="2"/>
    </row>
    <row r="1845" spans="12:15">
      <c r="L1845" s="2"/>
      <c r="N1845" s="2"/>
      <c r="O1845" s="2"/>
    </row>
    <row r="1846" spans="12:15">
      <c r="L1846" s="2"/>
      <c r="N1846" s="2"/>
      <c r="O1846" s="2"/>
    </row>
    <row r="1847" spans="12:15">
      <c r="L1847" s="2"/>
      <c r="N1847" s="2"/>
      <c r="O1847" s="2"/>
    </row>
    <row r="1848" spans="12:15">
      <c r="L1848" s="2"/>
      <c r="N1848" s="2"/>
      <c r="O1848" s="2"/>
    </row>
    <row r="1849" spans="12:15">
      <c r="L1849" s="2"/>
      <c r="N1849" s="2"/>
      <c r="O1849" s="2"/>
    </row>
    <row r="1850" spans="12:15">
      <c r="L1850" s="2"/>
      <c r="N1850" s="2"/>
      <c r="O1850" s="2"/>
    </row>
    <row r="1851" spans="12:15">
      <c r="L1851" s="2"/>
      <c r="N1851" s="2"/>
      <c r="O1851" s="2"/>
    </row>
    <row r="1852" spans="12:15">
      <c r="L1852" s="2"/>
      <c r="N1852" s="2"/>
      <c r="O1852" s="2"/>
    </row>
    <row r="1853" spans="12:15">
      <c r="L1853" s="2"/>
      <c r="N1853" s="2"/>
      <c r="O1853" s="2"/>
    </row>
    <row r="1854" spans="12:15">
      <c r="L1854" s="2"/>
      <c r="N1854" s="2"/>
      <c r="O1854" s="2"/>
    </row>
    <row r="1855" spans="12:15">
      <c r="L1855" s="2"/>
      <c r="N1855" s="2"/>
      <c r="O1855" s="2"/>
    </row>
    <row r="1856" spans="12:15">
      <c r="L1856" s="2"/>
      <c r="N1856" s="2"/>
      <c r="O1856" s="2"/>
    </row>
    <row r="1857" spans="12:15">
      <c r="L1857" s="2"/>
      <c r="N1857" s="2"/>
      <c r="O1857" s="2"/>
    </row>
    <row r="1858" spans="12:15">
      <c r="L1858" s="2"/>
      <c r="N1858" s="2"/>
      <c r="O1858" s="2"/>
    </row>
    <row r="1859" spans="12:15">
      <c r="L1859" s="2"/>
      <c r="N1859" s="2"/>
      <c r="O1859" s="2"/>
    </row>
    <row r="1860" spans="12:15">
      <c r="L1860" s="2"/>
      <c r="N1860" s="2"/>
      <c r="O1860" s="2"/>
    </row>
    <row r="1861" spans="12:15">
      <c r="L1861" s="2"/>
      <c r="N1861" s="2"/>
      <c r="O1861" s="2"/>
    </row>
    <row r="1862" spans="12:15">
      <c r="L1862" s="2"/>
      <c r="N1862" s="2"/>
      <c r="O1862" s="2"/>
    </row>
    <row r="1863" spans="12:15">
      <c r="L1863" s="2"/>
      <c r="N1863" s="2"/>
      <c r="O1863" s="2"/>
    </row>
    <row r="1864" spans="12:15">
      <c r="L1864" s="2"/>
      <c r="N1864" s="2"/>
      <c r="O1864" s="2"/>
    </row>
    <row r="1865" spans="12:15">
      <c r="L1865" s="2"/>
      <c r="N1865" s="2"/>
      <c r="O1865" s="2"/>
    </row>
    <row r="1866" spans="12:15">
      <c r="L1866" s="2"/>
      <c r="N1866" s="2"/>
      <c r="O1866" s="2"/>
    </row>
    <row r="1867" spans="12:15">
      <c r="L1867" s="2"/>
      <c r="N1867" s="2"/>
      <c r="O1867" s="2"/>
    </row>
    <row r="1868" spans="12:15">
      <c r="L1868" s="2"/>
      <c r="N1868" s="2"/>
      <c r="O1868" s="2"/>
    </row>
    <row r="1869" spans="12:15">
      <c r="L1869" s="2"/>
      <c r="N1869" s="2"/>
      <c r="O1869" s="2"/>
    </row>
    <row r="1870" spans="12:15">
      <c r="L1870" s="2"/>
      <c r="N1870" s="2"/>
      <c r="O1870" s="2"/>
    </row>
    <row r="1871" spans="12:15">
      <c r="L1871" s="2"/>
      <c r="N1871" s="2"/>
      <c r="O1871" s="2"/>
    </row>
    <row r="1872" spans="12:15">
      <c r="L1872" s="2"/>
      <c r="N1872" s="2"/>
      <c r="O1872" s="2"/>
    </row>
    <row r="1873" spans="12:15">
      <c r="L1873" s="2"/>
      <c r="N1873" s="2"/>
      <c r="O1873" s="2"/>
    </row>
    <row r="1874" spans="12:15">
      <c r="L1874" s="2"/>
      <c r="N1874" s="2"/>
      <c r="O1874" s="2"/>
    </row>
    <row r="1875" spans="12:15">
      <c r="L1875" s="2"/>
      <c r="N1875" s="2"/>
      <c r="O1875" s="2"/>
    </row>
    <row r="1876" spans="12:15">
      <c r="L1876" s="2"/>
      <c r="N1876" s="2"/>
      <c r="O1876" s="2"/>
    </row>
    <row r="1877" spans="12:15">
      <c r="L1877" s="2"/>
      <c r="N1877" s="2"/>
      <c r="O1877" s="2"/>
    </row>
    <row r="1878" spans="12:15">
      <c r="L1878" s="2"/>
      <c r="N1878" s="2"/>
      <c r="O1878" s="2"/>
    </row>
    <row r="1879" spans="12:15">
      <c r="L1879" s="2"/>
      <c r="N1879" s="2"/>
      <c r="O1879" s="2"/>
    </row>
    <row r="1880" spans="12:15">
      <c r="L1880" s="2"/>
      <c r="N1880" s="2"/>
      <c r="O1880" s="2"/>
    </row>
    <row r="1881" spans="12:15">
      <c r="L1881" s="2"/>
      <c r="N1881" s="2"/>
      <c r="O1881" s="2"/>
    </row>
    <row r="1882" spans="12:15">
      <c r="L1882" s="2"/>
      <c r="N1882" s="2"/>
      <c r="O1882" s="2"/>
    </row>
    <row r="1883" spans="12:15">
      <c r="L1883" s="2"/>
      <c r="N1883" s="2"/>
      <c r="O1883" s="2"/>
    </row>
    <row r="1884" spans="12:15">
      <c r="L1884" s="2"/>
      <c r="N1884" s="2"/>
      <c r="O1884" s="2"/>
    </row>
    <row r="1885" spans="12:15">
      <c r="L1885" s="2"/>
      <c r="N1885" s="2"/>
      <c r="O1885" s="2"/>
    </row>
    <row r="1886" spans="12:15">
      <c r="L1886" s="2"/>
      <c r="N1886" s="2"/>
      <c r="O1886" s="2"/>
    </row>
    <row r="1887" spans="12:15">
      <c r="L1887" s="2"/>
      <c r="N1887" s="2"/>
      <c r="O1887" s="2"/>
    </row>
    <row r="1888" spans="12:15">
      <c r="L1888" s="2"/>
      <c r="N1888" s="2"/>
      <c r="O1888" s="2"/>
    </row>
    <row r="1889" spans="12:15">
      <c r="L1889" s="2"/>
      <c r="N1889" s="2"/>
      <c r="O1889" s="2"/>
    </row>
    <row r="1890" spans="12:15">
      <c r="L1890" s="2"/>
      <c r="N1890" s="2"/>
      <c r="O1890" s="2"/>
    </row>
    <row r="1891" spans="12:15">
      <c r="L1891" s="2"/>
      <c r="N1891" s="2"/>
      <c r="O1891" s="2"/>
    </row>
    <row r="1892" spans="12:15">
      <c r="L1892" s="2"/>
      <c r="N1892" s="2"/>
      <c r="O1892" s="2"/>
    </row>
    <row r="1893" spans="12:15">
      <c r="L1893" s="2"/>
      <c r="N1893" s="2"/>
      <c r="O1893" s="2"/>
    </row>
    <row r="1894" spans="12:15">
      <c r="L1894" s="2"/>
      <c r="N1894" s="2"/>
      <c r="O1894" s="2"/>
    </row>
    <row r="1895" spans="12:15">
      <c r="L1895" s="2"/>
      <c r="N1895" s="2"/>
      <c r="O1895" s="2"/>
    </row>
    <row r="1896" spans="12:15">
      <c r="L1896" s="2"/>
      <c r="N1896" s="2"/>
      <c r="O1896" s="2"/>
    </row>
    <row r="1897" spans="12:15">
      <c r="L1897" s="2"/>
      <c r="N1897" s="2"/>
      <c r="O1897" s="2"/>
    </row>
    <row r="1898" spans="12:15">
      <c r="L1898" s="2"/>
      <c r="N1898" s="2"/>
      <c r="O1898" s="2"/>
    </row>
    <row r="1899" spans="12:15">
      <c r="L1899" s="2"/>
      <c r="N1899" s="2"/>
      <c r="O1899" s="2"/>
    </row>
    <row r="1900" spans="12:15">
      <c r="L1900" s="2"/>
      <c r="N1900" s="2"/>
      <c r="O1900" s="2"/>
    </row>
    <row r="1901" spans="12:15">
      <c r="L1901" s="2"/>
      <c r="N1901" s="2"/>
      <c r="O1901" s="2"/>
    </row>
    <row r="1902" spans="12:15">
      <c r="L1902" s="2"/>
      <c r="N1902" s="2"/>
      <c r="O1902" s="2"/>
    </row>
    <row r="1903" spans="12:15">
      <c r="L1903" s="2"/>
      <c r="N1903" s="2"/>
      <c r="O1903" s="2"/>
    </row>
    <row r="1904" spans="12:15">
      <c r="L1904" s="2"/>
      <c r="N1904" s="2"/>
      <c r="O1904" s="2"/>
    </row>
    <row r="1905" spans="12:15">
      <c r="L1905" s="2"/>
      <c r="N1905" s="2"/>
      <c r="O1905" s="2"/>
    </row>
    <row r="1906" spans="12:15">
      <c r="L1906" s="2"/>
      <c r="N1906" s="2"/>
      <c r="O1906" s="2"/>
    </row>
    <row r="1907" spans="12:15">
      <c r="L1907" s="2"/>
      <c r="N1907" s="2"/>
      <c r="O1907" s="2"/>
    </row>
    <row r="1908" spans="12:15">
      <c r="L1908" s="2"/>
      <c r="N1908" s="2"/>
      <c r="O1908" s="2"/>
    </row>
    <row r="1909" spans="12:15">
      <c r="L1909" s="2"/>
      <c r="N1909" s="2"/>
      <c r="O1909" s="2"/>
    </row>
    <row r="1910" spans="12:15">
      <c r="L1910" s="2"/>
      <c r="N1910" s="2"/>
      <c r="O1910" s="2"/>
    </row>
    <row r="1911" spans="12:15">
      <c r="L1911" s="2"/>
      <c r="N1911" s="2"/>
      <c r="O1911" s="2"/>
    </row>
    <row r="1912" spans="12:15">
      <c r="L1912" s="2"/>
      <c r="N1912" s="2"/>
      <c r="O1912" s="2"/>
    </row>
    <row r="1913" spans="12:15">
      <c r="L1913" s="2"/>
      <c r="N1913" s="2"/>
      <c r="O1913" s="2"/>
    </row>
    <row r="1914" spans="12:15">
      <c r="L1914" s="2"/>
      <c r="N1914" s="2"/>
      <c r="O1914" s="2"/>
    </row>
    <row r="1915" spans="12:15">
      <c r="L1915" s="2"/>
      <c r="N1915" s="2"/>
      <c r="O1915" s="2"/>
    </row>
    <row r="1916" spans="12:15">
      <c r="L1916" s="2"/>
      <c r="N1916" s="2"/>
      <c r="O1916" s="2"/>
    </row>
    <row r="1917" spans="12:15">
      <c r="L1917" s="2"/>
      <c r="N1917" s="2"/>
      <c r="O1917" s="2"/>
    </row>
    <row r="1918" spans="12:15">
      <c r="L1918" s="2"/>
      <c r="N1918" s="2"/>
      <c r="O1918" s="2"/>
    </row>
    <row r="1919" spans="12:15">
      <c r="L1919" s="2"/>
      <c r="N1919" s="2"/>
      <c r="O1919" s="2"/>
    </row>
    <row r="1920" spans="12:15">
      <c r="L1920" s="2"/>
      <c r="N1920" s="2"/>
      <c r="O1920" s="2"/>
    </row>
    <row r="1921" spans="12:15">
      <c r="L1921" s="2"/>
      <c r="N1921" s="2"/>
      <c r="O1921" s="2"/>
    </row>
    <row r="1922" spans="12:15">
      <c r="L1922" s="2"/>
      <c r="N1922" s="2"/>
      <c r="O1922" s="2"/>
    </row>
    <row r="1923" spans="12:15">
      <c r="L1923" s="2"/>
      <c r="N1923" s="2"/>
      <c r="O1923" s="2"/>
    </row>
    <row r="1924" spans="12:15">
      <c r="L1924" s="2"/>
      <c r="N1924" s="2"/>
      <c r="O1924" s="2"/>
    </row>
    <row r="1925" spans="12:15">
      <c r="L1925" s="2"/>
      <c r="N1925" s="2"/>
      <c r="O1925" s="2"/>
    </row>
    <row r="1926" spans="12:15">
      <c r="L1926" s="2"/>
      <c r="N1926" s="2"/>
      <c r="O1926" s="2"/>
    </row>
    <row r="1927" spans="12:15">
      <c r="L1927" s="2"/>
      <c r="N1927" s="2"/>
      <c r="O1927" s="2"/>
    </row>
    <row r="1928" spans="12:15">
      <c r="L1928" s="2"/>
      <c r="N1928" s="2"/>
      <c r="O1928" s="2"/>
    </row>
    <row r="1929" spans="12:15">
      <c r="L1929" s="2"/>
      <c r="N1929" s="2"/>
      <c r="O1929" s="2"/>
    </row>
    <row r="1930" spans="12:15">
      <c r="L1930" s="2"/>
      <c r="N1930" s="2"/>
      <c r="O1930" s="2"/>
    </row>
    <row r="1931" spans="12:15">
      <c r="L1931" s="2"/>
      <c r="N1931" s="2"/>
      <c r="O1931" s="2"/>
    </row>
    <row r="1932" spans="12:15">
      <c r="L1932" s="2"/>
      <c r="N1932" s="2"/>
      <c r="O1932" s="2"/>
    </row>
    <row r="1933" spans="12:15">
      <c r="L1933" s="2"/>
      <c r="N1933" s="2"/>
      <c r="O1933" s="2"/>
    </row>
    <row r="1934" spans="12:15">
      <c r="L1934" s="2"/>
      <c r="N1934" s="2"/>
      <c r="O1934" s="2"/>
    </row>
    <row r="1935" spans="12:15">
      <c r="L1935" s="2"/>
      <c r="N1935" s="2"/>
      <c r="O1935" s="2"/>
    </row>
    <row r="1936" spans="12:15">
      <c r="L1936" s="2"/>
      <c r="N1936" s="2"/>
      <c r="O1936" s="2"/>
    </row>
    <row r="1937" spans="12:15">
      <c r="L1937" s="2"/>
      <c r="N1937" s="2"/>
      <c r="O1937" s="2"/>
    </row>
    <row r="1938" spans="12:15">
      <c r="L1938" s="2"/>
      <c r="N1938" s="2"/>
      <c r="O1938" s="2"/>
    </row>
    <row r="1939" spans="12:15">
      <c r="L1939" s="2"/>
      <c r="N1939" s="2"/>
      <c r="O1939" s="2"/>
    </row>
    <row r="1940" spans="12:15">
      <c r="L1940" s="2"/>
      <c r="N1940" s="2"/>
      <c r="O1940" s="2"/>
    </row>
    <row r="1941" spans="12:15">
      <c r="L1941" s="2"/>
      <c r="N1941" s="2"/>
      <c r="O1941" s="2"/>
    </row>
    <row r="1942" spans="12:15">
      <c r="L1942" s="2"/>
      <c r="N1942" s="2"/>
      <c r="O1942" s="2"/>
    </row>
    <row r="1943" spans="12:15">
      <c r="L1943" s="2"/>
      <c r="N1943" s="2"/>
      <c r="O1943" s="2"/>
    </row>
    <row r="1944" spans="12:15">
      <c r="L1944" s="2"/>
      <c r="N1944" s="2"/>
      <c r="O1944" s="2"/>
    </row>
    <row r="1945" spans="12:15">
      <c r="L1945" s="2"/>
      <c r="N1945" s="2"/>
      <c r="O1945" s="2"/>
    </row>
    <row r="1946" spans="12:15">
      <c r="L1946" s="2"/>
      <c r="N1946" s="2"/>
      <c r="O1946" s="2"/>
    </row>
    <row r="1947" spans="12:15">
      <c r="L1947" s="2"/>
      <c r="N1947" s="2"/>
      <c r="O1947" s="2"/>
    </row>
    <row r="1948" spans="12:15">
      <c r="L1948" s="2"/>
      <c r="N1948" s="2"/>
      <c r="O1948" s="2"/>
    </row>
    <row r="1949" spans="12:15">
      <c r="L1949" s="2"/>
      <c r="N1949" s="2"/>
      <c r="O1949" s="2"/>
    </row>
    <row r="1950" spans="12:15">
      <c r="L1950" s="2"/>
      <c r="N1950" s="2"/>
      <c r="O1950" s="2"/>
    </row>
    <row r="1951" spans="12:15">
      <c r="L1951" s="2"/>
      <c r="N1951" s="2"/>
      <c r="O1951" s="2"/>
    </row>
    <row r="1952" spans="12:15">
      <c r="L1952" s="2"/>
      <c r="N1952" s="2"/>
      <c r="O1952" s="2"/>
    </row>
    <row r="1953" spans="12:15">
      <c r="L1953" s="2"/>
      <c r="N1953" s="2"/>
      <c r="O1953" s="2"/>
    </row>
    <row r="1954" spans="12:15">
      <c r="L1954" s="2"/>
      <c r="N1954" s="2"/>
      <c r="O1954" s="2"/>
    </row>
    <row r="1955" spans="12:15">
      <c r="L1955" s="2"/>
      <c r="N1955" s="2"/>
      <c r="O1955" s="2"/>
    </row>
    <row r="1956" spans="12:15">
      <c r="L1956" s="2"/>
      <c r="N1956" s="2"/>
      <c r="O1956" s="2"/>
    </row>
    <row r="1957" spans="12:15">
      <c r="L1957" s="2"/>
      <c r="N1957" s="2"/>
      <c r="O1957" s="2"/>
    </row>
    <row r="1958" spans="12:15">
      <c r="L1958" s="2"/>
      <c r="N1958" s="2"/>
      <c r="O1958" s="2"/>
    </row>
    <row r="1959" spans="12:15">
      <c r="L1959" s="2"/>
      <c r="N1959" s="2"/>
      <c r="O1959" s="2"/>
    </row>
    <row r="1960" spans="12:15">
      <c r="L1960" s="2"/>
      <c r="N1960" s="2"/>
      <c r="O1960" s="2"/>
    </row>
    <row r="1961" spans="12:15">
      <c r="L1961" s="2"/>
      <c r="N1961" s="2"/>
      <c r="O1961" s="2"/>
    </row>
    <row r="1962" spans="12:15">
      <c r="L1962" s="2"/>
      <c r="N1962" s="2"/>
      <c r="O1962" s="2"/>
    </row>
    <row r="1963" spans="12:15">
      <c r="L1963" s="2"/>
      <c r="N1963" s="2"/>
      <c r="O1963" s="2"/>
    </row>
    <row r="1964" spans="12:15">
      <c r="L1964" s="2"/>
      <c r="N1964" s="2"/>
      <c r="O1964" s="2"/>
    </row>
    <row r="1965" spans="12:15">
      <c r="L1965" s="2"/>
      <c r="N1965" s="2"/>
      <c r="O1965" s="2"/>
    </row>
    <row r="1966" spans="12:15">
      <c r="L1966" s="2"/>
      <c r="N1966" s="2"/>
      <c r="O1966" s="2"/>
    </row>
    <row r="1967" spans="12:15">
      <c r="L1967" s="2"/>
      <c r="N1967" s="2"/>
      <c r="O1967" s="2"/>
    </row>
    <row r="1968" spans="12:15">
      <c r="L1968" s="2"/>
      <c r="N1968" s="2"/>
      <c r="O1968" s="2"/>
    </row>
    <row r="1969" spans="12:15">
      <c r="L1969" s="2"/>
      <c r="N1969" s="2"/>
      <c r="O1969" s="2"/>
    </row>
    <row r="1970" spans="12:15">
      <c r="L1970" s="2"/>
      <c r="N1970" s="2"/>
      <c r="O1970" s="2"/>
    </row>
    <row r="1971" spans="12:15">
      <c r="L1971" s="2"/>
      <c r="N1971" s="2"/>
      <c r="O1971" s="2"/>
    </row>
    <row r="1972" spans="12:15">
      <c r="L1972" s="2"/>
      <c r="N1972" s="2"/>
      <c r="O1972" s="2"/>
    </row>
    <row r="1973" spans="12:15">
      <c r="L1973" s="2"/>
      <c r="N1973" s="2"/>
      <c r="O1973" s="2"/>
    </row>
    <row r="1974" spans="12:15">
      <c r="L1974" s="2"/>
      <c r="N1974" s="2"/>
      <c r="O1974" s="2"/>
    </row>
    <row r="1975" spans="12:15">
      <c r="L1975" s="2"/>
      <c r="N1975" s="2"/>
      <c r="O1975" s="2"/>
    </row>
    <row r="1976" spans="12:15">
      <c r="L1976" s="2"/>
      <c r="N1976" s="2"/>
      <c r="O1976" s="2"/>
    </row>
    <row r="1977" spans="12:15">
      <c r="L1977" s="2"/>
      <c r="N1977" s="2"/>
      <c r="O1977" s="2"/>
    </row>
    <row r="1978" spans="12:15">
      <c r="L1978" s="2"/>
      <c r="N1978" s="2"/>
      <c r="O1978" s="2"/>
    </row>
    <row r="1979" spans="12:15">
      <c r="L1979" s="2"/>
      <c r="N1979" s="2"/>
      <c r="O1979" s="2"/>
    </row>
    <row r="1980" spans="12:15">
      <c r="L1980" s="2"/>
      <c r="N1980" s="2"/>
      <c r="O1980" s="2"/>
    </row>
    <row r="1981" spans="12:15">
      <c r="L1981" s="2"/>
      <c r="N1981" s="2"/>
      <c r="O1981" s="2"/>
    </row>
    <row r="1982" spans="12:15">
      <c r="L1982" s="2"/>
      <c r="N1982" s="2"/>
      <c r="O1982" s="2"/>
    </row>
    <row r="1983" spans="12:15">
      <c r="L1983" s="2"/>
      <c r="N1983" s="2"/>
      <c r="O1983" s="2"/>
    </row>
    <row r="1984" spans="12:15">
      <c r="L1984" s="2"/>
      <c r="N1984" s="2"/>
      <c r="O1984" s="2"/>
    </row>
    <row r="1985" spans="12:15">
      <c r="L1985" s="2"/>
      <c r="N1985" s="2"/>
      <c r="O1985" s="2"/>
    </row>
    <row r="1986" spans="12:15">
      <c r="L1986" s="2"/>
      <c r="N1986" s="2"/>
      <c r="O1986" s="2"/>
    </row>
    <row r="1987" spans="12:15">
      <c r="L1987" s="2"/>
      <c r="N1987" s="2"/>
      <c r="O1987" s="2"/>
    </row>
    <row r="1988" spans="12:15">
      <c r="L1988" s="2"/>
      <c r="N1988" s="2"/>
      <c r="O1988" s="2"/>
    </row>
    <row r="1989" spans="12:15">
      <c r="L1989" s="2"/>
      <c r="N1989" s="2"/>
      <c r="O1989" s="2"/>
    </row>
    <row r="1990" spans="12:15">
      <c r="L1990" s="2"/>
      <c r="N1990" s="2"/>
      <c r="O1990" s="2"/>
    </row>
    <row r="1991" spans="12:15">
      <c r="L1991" s="2"/>
      <c r="N1991" s="2"/>
      <c r="O1991" s="2"/>
    </row>
    <row r="1992" spans="12:15">
      <c r="L1992" s="2"/>
      <c r="N1992" s="2"/>
      <c r="O1992" s="2"/>
    </row>
    <row r="1993" spans="12:15">
      <c r="L1993" s="2"/>
      <c r="N1993" s="2"/>
      <c r="O1993" s="2"/>
    </row>
    <row r="1994" spans="12:15">
      <c r="L1994" s="2"/>
      <c r="N1994" s="2"/>
      <c r="O1994" s="2"/>
    </row>
    <row r="1995" spans="12:15">
      <c r="L1995" s="2"/>
      <c r="N1995" s="2"/>
      <c r="O1995" s="2"/>
    </row>
    <row r="1996" spans="12:15">
      <c r="L1996" s="2"/>
      <c r="N1996" s="2"/>
      <c r="O1996" s="2"/>
    </row>
    <row r="1997" spans="12:15">
      <c r="L1997" s="2"/>
      <c r="N1997" s="2"/>
      <c r="O1997" s="2"/>
    </row>
    <row r="1998" spans="12:15">
      <c r="L1998" s="2"/>
      <c r="N1998" s="2"/>
      <c r="O1998" s="2"/>
    </row>
    <row r="1999" spans="12:15">
      <c r="L1999" s="2"/>
      <c r="N1999" s="2"/>
      <c r="O1999" s="2"/>
    </row>
    <row r="2000" spans="12:15">
      <c r="L2000" s="2"/>
      <c r="N2000" s="2"/>
      <c r="O2000" s="2"/>
    </row>
    <row r="2001" spans="12:15">
      <c r="L2001" s="2"/>
      <c r="N2001" s="2"/>
      <c r="O2001" s="2"/>
    </row>
    <row r="2002" spans="12:15">
      <c r="L2002" s="2"/>
      <c r="N2002" s="2"/>
      <c r="O2002" s="2"/>
    </row>
    <row r="2003" spans="12:15">
      <c r="L2003" s="2"/>
      <c r="N2003" s="2"/>
      <c r="O2003" s="2"/>
    </row>
    <row r="2004" spans="12:15">
      <c r="L2004" s="2"/>
      <c r="N2004" s="2"/>
      <c r="O2004" s="2"/>
    </row>
    <row r="2005" spans="12:15">
      <c r="L2005" s="2"/>
      <c r="N2005" s="2"/>
      <c r="O2005" s="2"/>
    </row>
    <row r="2006" spans="12:15">
      <c r="L2006" s="2"/>
      <c r="N2006" s="2"/>
      <c r="O2006" s="2"/>
    </row>
    <row r="2007" spans="12:15">
      <c r="L2007" s="2"/>
      <c r="N2007" s="2"/>
      <c r="O2007" s="2"/>
    </row>
    <row r="2008" spans="12:15">
      <c r="L2008" s="2"/>
      <c r="N2008" s="2"/>
      <c r="O2008" s="2"/>
    </row>
    <row r="2009" spans="12:15">
      <c r="L2009" s="2"/>
      <c r="N2009" s="2"/>
      <c r="O2009" s="2"/>
    </row>
    <row r="2010" spans="12:15">
      <c r="L2010" s="2"/>
      <c r="N2010" s="2"/>
      <c r="O2010" s="2"/>
    </row>
    <row r="2011" spans="12:15">
      <c r="L2011" s="2"/>
      <c r="N2011" s="2"/>
      <c r="O2011" s="2"/>
    </row>
    <row r="2012" spans="12:15">
      <c r="L2012" s="2"/>
      <c r="N2012" s="2"/>
      <c r="O2012" s="2"/>
    </row>
    <row r="2013" spans="12:15">
      <c r="L2013" s="2"/>
      <c r="N2013" s="2"/>
      <c r="O2013" s="2"/>
    </row>
    <row r="2014" spans="12:15">
      <c r="L2014" s="2"/>
      <c r="N2014" s="2"/>
      <c r="O2014" s="2"/>
    </row>
    <row r="2015" spans="12:15">
      <c r="L2015" s="2"/>
      <c r="N2015" s="2"/>
      <c r="O2015" s="2"/>
    </row>
    <row r="2016" spans="12:15">
      <c r="L2016" s="2"/>
      <c r="N2016" s="2"/>
      <c r="O2016" s="2"/>
    </row>
    <row r="2017" spans="12:15">
      <c r="L2017" s="2"/>
      <c r="N2017" s="2"/>
      <c r="O2017" s="2"/>
    </row>
    <row r="2018" spans="12:15">
      <c r="L2018" s="2"/>
      <c r="N2018" s="2"/>
      <c r="O2018" s="2"/>
    </row>
    <row r="2019" spans="12:15">
      <c r="L2019" s="2"/>
      <c r="N2019" s="2"/>
      <c r="O2019" s="2"/>
    </row>
    <row r="2020" spans="12:15">
      <c r="L2020" s="2"/>
      <c r="N2020" s="2"/>
      <c r="O2020" s="2"/>
    </row>
    <row r="2021" spans="12:15">
      <c r="L2021" s="2"/>
      <c r="N2021" s="2"/>
      <c r="O2021" s="2"/>
    </row>
    <row r="2022" spans="12:15">
      <c r="L2022" s="2"/>
      <c r="N2022" s="2"/>
      <c r="O2022" s="2"/>
    </row>
    <row r="2023" spans="12:15">
      <c r="L2023" s="2"/>
      <c r="N2023" s="2"/>
      <c r="O2023" s="2"/>
    </row>
    <row r="2024" spans="12:15">
      <c r="L2024" s="2"/>
      <c r="N2024" s="2"/>
      <c r="O2024" s="2"/>
    </row>
    <row r="2025" spans="12:15">
      <c r="L2025" s="2"/>
      <c r="N2025" s="2"/>
      <c r="O2025" s="2"/>
    </row>
    <row r="2026" spans="12:15">
      <c r="L2026" s="2"/>
      <c r="N2026" s="2"/>
      <c r="O2026" s="2"/>
    </row>
    <row r="2027" spans="12:15">
      <c r="L2027" s="2"/>
      <c r="N2027" s="2"/>
      <c r="O2027" s="2"/>
    </row>
    <row r="2028" spans="12:15">
      <c r="L2028" s="2"/>
      <c r="N2028" s="2"/>
      <c r="O2028" s="2"/>
    </row>
    <row r="2029" spans="12:15">
      <c r="L2029" s="2"/>
      <c r="N2029" s="2"/>
      <c r="O2029" s="2"/>
    </row>
    <row r="2030" spans="12:15">
      <c r="L2030" s="2"/>
      <c r="N2030" s="2"/>
      <c r="O2030" s="2"/>
    </row>
    <row r="2031" spans="12:15">
      <c r="L2031" s="2"/>
      <c r="N2031" s="2"/>
      <c r="O2031" s="2"/>
    </row>
    <row r="2032" spans="12:15">
      <c r="L2032" s="2"/>
      <c r="N2032" s="2"/>
      <c r="O2032" s="2"/>
    </row>
    <row r="2033" spans="12:15">
      <c r="L2033" s="2"/>
      <c r="N2033" s="2"/>
      <c r="O2033" s="2"/>
    </row>
    <row r="2034" spans="12:15">
      <c r="L2034" s="2"/>
      <c r="N2034" s="2"/>
      <c r="O2034" s="2"/>
    </row>
    <row r="2035" spans="12:15">
      <c r="L2035" s="2"/>
      <c r="N2035" s="2"/>
      <c r="O2035" s="2"/>
    </row>
    <row r="2036" spans="12:15">
      <c r="L2036" s="2"/>
      <c r="N2036" s="2"/>
      <c r="O2036" s="2"/>
    </row>
    <row r="2037" spans="12:15">
      <c r="L2037" s="2"/>
      <c r="N2037" s="2"/>
      <c r="O2037" s="2"/>
    </row>
    <row r="2038" spans="12:15">
      <c r="L2038" s="2"/>
      <c r="N2038" s="2"/>
      <c r="O2038" s="2"/>
    </row>
    <row r="2039" spans="12:15">
      <c r="L2039" s="2"/>
      <c r="N2039" s="2"/>
      <c r="O2039" s="2"/>
    </row>
    <row r="2040" spans="12:15">
      <c r="L2040" s="2"/>
      <c r="N2040" s="2"/>
      <c r="O2040" s="2"/>
    </row>
    <row r="2041" spans="12:15">
      <c r="L2041" s="2"/>
      <c r="N2041" s="2"/>
      <c r="O2041" s="2"/>
    </row>
    <row r="2042" spans="12:15">
      <c r="L2042" s="2"/>
      <c r="N2042" s="2"/>
      <c r="O2042" s="2"/>
    </row>
    <row r="2043" spans="12:15">
      <c r="L2043" s="2"/>
      <c r="N2043" s="2"/>
      <c r="O2043" s="2"/>
    </row>
    <row r="2044" spans="12:15">
      <c r="L2044" s="2"/>
      <c r="N2044" s="2"/>
      <c r="O2044" s="2"/>
    </row>
    <row r="2045" spans="12:15">
      <c r="L2045" s="2"/>
      <c r="N2045" s="2"/>
      <c r="O2045" s="2"/>
    </row>
    <row r="2046" spans="12:15">
      <c r="L2046" s="2"/>
      <c r="N2046" s="2"/>
      <c r="O2046" s="2"/>
    </row>
    <row r="2047" spans="12:15">
      <c r="L2047" s="2"/>
      <c r="N2047" s="2"/>
      <c r="O2047" s="2"/>
    </row>
    <row r="2048" spans="12:15">
      <c r="L2048" s="2"/>
      <c r="N2048" s="2"/>
      <c r="O2048" s="2"/>
    </row>
    <row r="2049" spans="12:15">
      <c r="L2049" s="2"/>
      <c r="N2049" s="2"/>
      <c r="O2049" s="2"/>
    </row>
    <row r="2050" spans="12:15">
      <c r="L2050" s="2"/>
      <c r="N2050" s="2"/>
      <c r="O2050" s="2"/>
    </row>
    <row r="2051" spans="12:15">
      <c r="L2051" s="2"/>
      <c r="N2051" s="2"/>
      <c r="O2051" s="2"/>
    </row>
    <row r="2052" spans="12:15">
      <c r="L2052" s="2"/>
      <c r="N2052" s="2"/>
      <c r="O2052" s="2"/>
    </row>
    <row r="2053" spans="12:15">
      <c r="L2053" s="2"/>
      <c r="N2053" s="2"/>
      <c r="O2053" s="2"/>
    </row>
    <row r="2054" spans="12:15">
      <c r="L2054" s="2"/>
      <c r="N2054" s="2"/>
      <c r="O2054" s="2"/>
    </row>
    <row r="2055" spans="12:15">
      <c r="L2055" s="2"/>
      <c r="N2055" s="2"/>
      <c r="O2055" s="2"/>
    </row>
    <row r="2056" spans="12:15">
      <c r="L2056" s="2"/>
      <c r="N2056" s="2"/>
      <c r="O2056" s="2"/>
    </row>
    <row r="2057" spans="12:15">
      <c r="L2057" s="2"/>
      <c r="N2057" s="2"/>
      <c r="O2057" s="2"/>
    </row>
    <row r="2058" spans="12:15">
      <c r="L2058" s="2"/>
      <c r="N2058" s="2"/>
      <c r="O2058" s="2"/>
    </row>
    <row r="2059" spans="12:15">
      <c r="L2059" s="2"/>
      <c r="N2059" s="2"/>
      <c r="O2059" s="2"/>
    </row>
    <row r="2060" spans="12:15">
      <c r="L2060" s="2"/>
      <c r="N2060" s="2"/>
      <c r="O2060" s="2"/>
    </row>
    <row r="2061" spans="12:15">
      <c r="L2061" s="2"/>
      <c r="N2061" s="2"/>
      <c r="O2061" s="2"/>
    </row>
    <row r="2062" spans="12:15">
      <c r="L2062" s="2"/>
      <c r="N2062" s="2"/>
      <c r="O2062" s="2"/>
    </row>
    <row r="2063" spans="12:15">
      <c r="L2063" s="2"/>
      <c r="N2063" s="2"/>
      <c r="O2063" s="2"/>
    </row>
    <row r="2064" spans="12:15">
      <c r="L2064" s="2"/>
      <c r="N2064" s="2"/>
      <c r="O2064" s="2"/>
    </row>
    <row r="2065" spans="12:15">
      <c r="L2065" s="2"/>
      <c r="N2065" s="2"/>
      <c r="O2065" s="2"/>
    </row>
    <row r="2066" spans="12:15">
      <c r="L2066" s="2"/>
      <c r="N2066" s="2"/>
      <c r="O2066" s="2"/>
    </row>
    <row r="2067" spans="12:15">
      <c r="L2067" s="2"/>
      <c r="N2067" s="2"/>
      <c r="O2067" s="2"/>
    </row>
    <row r="2068" spans="12:15">
      <c r="L2068" s="2"/>
      <c r="N2068" s="2"/>
      <c r="O2068" s="2"/>
    </row>
    <row r="2069" spans="12:15">
      <c r="L2069" s="2"/>
      <c r="N2069" s="2"/>
      <c r="O2069" s="2"/>
    </row>
    <row r="2070" spans="12:15">
      <c r="L2070" s="2"/>
      <c r="N2070" s="2"/>
      <c r="O2070" s="2"/>
    </row>
    <row r="2071" spans="12:15">
      <c r="L2071" s="2"/>
      <c r="N2071" s="2"/>
      <c r="O2071" s="2"/>
    </row>
    <row r="2072" spans="12:15">
      <c r="L2072" s="2"/>
      <c r="N2072" s="2"/>
      <c r="O2072" s="2"/>
    </row>
    <row r="2073" spans="12:15">
      <c r="L2073" s="2"/>
      <c r="N2073" s="2"/>
      <c r="O2073" s="2"/>
    </row>
    <row r="2074" spans="12:15">
      <c r="L2074" s="2"/>
      <c r="N2074" s="2"/>
      <c r="O2074" s="2"/>
    </row>
    <row r="2075" spans="12:15">
      <c r="L2075" s="2"/>
      <c r="N2075" s="2"/>
      <c r="O2075" s="2"/>
    </row>
    <row r="2076" spans="12:15">
      <c r="L2076" s="2"/>
      <c r="N2076" s="2"/>
      <c r="O2076" s="2"/>
    </row>
    <row r="2077" spans="12:15">
      <c r="L2077" s="2"/>
      <c r="N2077" s="2"/>
      <c r="O2077" s="2"/>
    </row>
    <row r="2078" spans="12:15">
      <c r="L2078" s="2"/>
      <c r="N2078" s="2"/>
      <c r="O2078" s="2"/>
    </row>
    <row r="2079" spans="12:15">
      <c r="L2079" s="2"/>
      <c r="N2079" s="2"/>
      <c r="O2079" s="2"/>
    </row>
    <row r="2080" spans="12:15">
      <c r="L2080" s="2"/>
      <c r="N2080" s="2"/>
      <c r="O2080" s="2"/>
    </row>
    <row r="2081" spans="12:15">
      <c r="L2081" s="2"/>
      <c r="N2081" s="2"/>
      <c r="O2081" s="2"/>
    </row>
    <row r="2082" spans="12:15">
      <c r="L2082" s="2"/>
      <c r="N2082" s="2"/>
      <c r="O2082" s="2"/>
    </row>
    <row r="2083" spans="12:15">
      <c r="L2083" s="2"/>
      <c r="N2083" s="2"/>
      <c r="O2083" s="2"/>
    </row>
    <row r="2084" spans="12:15">
      <c r="L2084" s="2"/>
      <c r="N2084" s="2"/>
      <c r="O2084" s="2"/>
    </row>
    <row r="2085" spans="12:15">
      <c r="L2085" s="2"/>
      <c r="N2085" s="2"/>
      <c r="O2085" s="2"/>
    </row>
    <row r="2086" spans="12:15">
      <c r="L2086" s="2"/>
      <c r="N2086" s="2"/>
      <c r="O2086" s="2"/>
    </row>
    <row r="2087" spans="12:15">
      <c r="L2087" s="2"/>
      <c r="N2087" s="2"/>
      <c r="O2087" s="2"/>
    </row>
    <row r="2088" spans="12:15">
      <c r="L2088" s="2"/>
      <c r="N2088" s="2"/>
      <c r="O2088" s="2"/>
    </row>
    <row r="2089" spans="12:15">
      <c r="L2089" s="2"/>
      <c r="N2089" s="2"/>
      <c r="O2089" s="2"/>
    </row>
    <row r="2090" spans="12:15">
      <c r="L2090" s="2"/>
      <c r="N2090" s="2"/>
      <c r="O2090" s="2"/>
    </row>
    <row r="2091" spans="12:15">
      <c r="L2091" s="2"/>
      <c r="N2091" s="2"/>
      <c r="O2091" s="2"/>
    </row>
    <row r="2092" spans="12:15">
      <c r="L2092" s="2"/>
      <c r="N2092" s="2"/>
      <c r="O2092" s="2"/>
    </row>
    <row r="2093" spans="12:15">
      <c r="L2093" s="2"/>
      <c r="N2093" s="2"/>
      <c r="O2093" s="2"/>
    </row>
    <row r="2094" spans="12:15">
      <c r="L2094" s="2"/>
      <c r="N2094" s="2"/>
      <c r="O2094" s="2"/>
    </row>
    <row r="2095" spans="12:15">
      <c r="L2095" s="2"/>
      <c r="N2095" s="2"/>
      <c r="O2095" s="2"/>
    </row>
    <row r="2096" spans="12:15">
      <c r="L2096" s="2"/>
      <c r="N2096" s="2"/>
      <c r="O2096" s="2"/>
    </row>
    <row r="2097" spans="12:15">
      <c r="L2097" s="2"/>
      <c r="N2097" s="2"/>
      <c r="O2097" s="2"/>
    </row>
    <row r="2098" spans="12:15">
      <c r="L2098" s="2"/>
      <c r="N2098" s="2"/>
      <c r="O2098" s="2"/>
    </row>
    <row r="2099" spans="12:15">
      <c r="L2099" s="2"/>
      <c r="N2099" s="2"/>
      <c r="O2099" s="2"/>
    </row>
    <row r="2100" spans="12:15">
      <c r="L2100" s="2"/>
      <c r="N2100" s="2"/>
      <c r="O2100" s="2"/>
    </row>
    <row r="2101" spans="12:15">
      <c r="L2101" s="2"/>
      <c r="N2101" s="2"/>
      <c r="O2101" s="2"/>
    </row>
    <row r="2102" spans="12:15">
      <c r="L2102" s="2"/>
      <c r="N2102" s="2"/>
      <c r="O2102" s="2"/>
    </row>
    <row r="2103" spans="12:15">
      <c r="L2103" s="2"/>
      <c r="N2103" s="2"/>
      <c r="O2103" s="2"/>
    </row>
    <row r="2104" spans="12:15">
      <c r="L2104" s="2"/>
      <c r="N2104" s="2"/>
      <c r="O2104" s="2"/>
    </row>
    <row r="2105" spans="12:15">
      <c r="L2105" s="2"/>
      <c r="N2105" s="2"/>
      <c r="O2105" s="2"/>
    </row>
    <row r="2106" spans="12:15">
      <c r="L2106" s="2"/>
      <c r="N2106" s="2"/>
      <c r="O2106" s="2"/>
    </row>
    <row r="2107" spans="12:15">
      <c r="L2107" s="2"/>
      <c r="N2107" s="2"/>
      <c r="O2107" s="2"/>
    </row>
    <row r="2108" spans="12:15">
      <c r="L2108" s="2"/>
      <c r="N2108" s="2"/>
      <c r="O2108" s="2"/>
    </row>
    <row r="2109" spans="12:15">
      <c r="L2109" s="2"/>
      <c r="N2109" s="2"/>
      <c r="O2109" s="2"/>
    </row>
    <row r="2110" spans="12:15">
      <c r="L2110" s="2"/>
      <c r="N2110" s="2"/>
      <c r="O2110" s="2"/>
    </row>
    <row r="2111" spans="12:15">
      <c r="L2111" s="2"/>
      <c r="N2111" s="2"/>
      <c r="O2111" s="2"/>
    </row>
    <row r="2112" spans="12:15">
      <c r="L2112" s="2"/>
      <c r="N2112" s="2"/>
      <c r="O2112" s="2"/>
    </row>
    <row r="2113" spans="12:15">
      <c r="L2113" s="2"/>
      <c r="N2113" s="2"/>
      <c r="O2113" s="2"/>
    </row>
    <row r="2114" spans="12:15">
      <c r="L2114" s="2"/>
      <c r="N2114" s="2"/>
      <c r="O2114" s="2"/>
    </row>
    <row r="2115" spans="12:15">
      <c r="L2115" s="2"/>
      <c r="N2115" s="2"/>
      <c r="O2115" s="2"/>
    </row>
    <row r="2116" spans="12:15">
      <c r="L2116" s="2"/>
      <c r="N2116" s="2"/>
      <c r="O2116" s="2"/>
    </row>
    <row r="2117" spans="12:15">
      <c r="L2117" s="2"/>
      <c r="N2117" s="2"/>
      <c r="O2117" s="2"/>
    </row>
    <row r="2118" spans="12:15">
      <c r="L2118" s="2"/>
      <c r="N2118" s="2"/>
      <c r="O2118" s="2"/>
    </row>
    <row r="2119" spans="12:15">
      <c r="L2119" s="2"/>
      <c r="N2119" s="2"/>
      <c r="O2119" s="2"/>
    </row>
    <row r="2120" spans="12:15">
      <c r="L2120" s="2"/>
      <c r="N2120" s="2"/>
      <c r="O2120" s="2"/>
    </row>
    <row r="2121" spans="12:15">
      <c r="L2121" s="2"/>
      <c r="N2121" s="2"/>
      <c r="O2121" s="2"/>
    </row>
    <row r="2122" spans="12:15">
      <c r="L2122" s="2"/>
      <c r="N2122" s="2"/>
      <c r="O2122" s="2"/>
    </row>
    <row r="2123" spans="12:15">
      <c r="L2123" s="2"/>
      <c r="N2123" s="2"/>
      <c r="O2123" s="2"/>
    </row>
    <row r="2124" spans="12:15">
      <c r="L2124" s="2"/>
      <c r="N2124" s="2"/>
      <c r="O2124" s="2"/>
    </row>
    <row r="2125" spans="12:15">
      <c r="L2125" s="2"/>
      <c r="N2125" s="2"/>
      <c r="O2125" s="2"/>
    </row>
    <row r="2126" spans="12:15">
      <c r="L2126" s="2"/>
      <c r="N2126" s="2"/>
      <c r="O2126" s="2"/>
    </row>
    <row r="2127" spans="12:15">
      <c r="L2127" s="2"/>
      <c r="N2127" s="2"/>
      <c r="O2127" s="2"/>
    </row>
    <row r="2128" spans="12:15">
      <c r="L2128" s="2"/>
      <c r="N2128" s="2"/>
      <c r="O2128" s="2"/>
    </row>
    <row r="2129" spans="12:15">
      <c r="L2129" s="2"/>
      <c r="N2129" s="2"/>
      <c r="O2129" s="2"/>
    </row>
    <row r="2130" spans="12:15">
      <c r="L2130" s="2"/>
      <c r="N2130" s="2"/>
      <c r="O2130" s="2"/>
    </row>
    <row r="2131" spans="12:15">
      <c r="L2131" s="2"/>
      <c r="N2131" s="2"/>
      <c r="O2131" s="2"/>
    </row>
    <row r="2132" spans="12:15">
      <c r="L2132" s="2"/>
      <c r="N2132" s="2"/>
      <c r="O2132" s="2"/>
    </row>
    <row r="2133" spans="12:15">
      <c r="L2133" s="2"/>
      <c r="N2133" s="2"/>
      <c r="O2133" s="2"/>
    </row>
    <row r="2134" spans="12:15">
      <c r="L2134" s="2"/>
      <c r="N2134" s="2"/>
      <c r="O2134" s="2"/>
    </row>
    <row r="2135" spans="12:15">
      <c r="L2135" s="2"/>
      <c r="N2135" s="2"/>
      <c r="O2135" s="2"/>
    </row>
    <row r="2136" spans="12:15">
      <c r="L2136" s="2"/>
      <c r="N2136" s="2"/>
      <c r="O2136" s="2"/>
    </row>
    <row r="2137" spans="12:15">
      <c r="L2137" s="2"/>
      <c r="N2137" s="2"/>
      <c r="O2137" s="2"/>
    </row>
    <row r="2138" spans="12:15">
      <c r="L2138" s="2"/>
      <c r="N2138" s="2"/>
      <c r="O2138" s="2"/>
    </row>
    <row r="2139" spans="12:15">
      <c r="L2139" s="2"/>
      <c r="N2139" s="2"/>
      <c r="O2139" s="2"/>
    </row>
    <row r="2140" spans="12:15">
      <c r="L2140" s="2"/>
      <c r="N2140" s="2"/>
      <c r="O2140" s="2"/>
    </row>
    <row r="2141" spans="12:15">
      <c r="L2141" s="2"/>
      <c r="N2141" s="2"/>
      <c r="O2141" s="2"/>
    </row>
    <row r="2142" spans="12:15">
      <c r="L2142" s="2"/>
      <c r="N2142" s="2"/>
      <c r="O2142" s="2"/>
    </row>
    <row r="2143" spans="12:15">
      <c r="L2143" s="2"/>
      <c r="N2143" s="2"/>
      <c r="O2143" s="2"/>
    </row>
    <row r="2144" spans="12:15">
      <c r="L2144" s="2"/>
      <c r="N2144" s="2"/>
      <c r="O2144" s="2"/>
    </row>
    <row r="2145" spans="12:15">
      <c r="L2145" s="2"/>
      <c r="N2145" s="2"/>
      <c r="O2145" s="2"/>
    </row>
    <row r="2146" spans="12:15">
      <c r="L2146" s="2"/>
      <c r="N2146" s="2"/>
      <c r="O2146" s="2"/>
    </row>
    <row r="2147" spans="12:15">
      <c r="L2147" s="2"/>
      <c r="N2147" s="2"/>
      <c r="O2147" s="2"/>
    </row>
    <row r="2148" spans="12:15">
      <c r="L2148" s="2"/>
      <c r="N2148" s="2"/>
      <c r="O2148" s="2"/>
    </row>
    <row r="2149" spans="12:15">
      <c r="L2149" s="2"/>
      <c r="N2149" s="2"/>
      <c r="O2149" s="2"/>
    </row>
    <row r="2150" spans="12:15">
      <c r="L2150" s="2"/>
      <c r="N2150" s="2"/>
      <c r="O2150" s="2"/>
    </row>
    <row r="2151" spans="12:15">
      <c r="L2151" s="2"/>
      <c r="N2151" s="2"/>
      <c r="O2151" s="2"/>
    </row>
    <row r="2152" spans="12:15">
      <c r="L2152" s="2"/>
      <c r="N2152" s="2"/>
      <c r="O2152" s="2"/>
    </row>
    <row r="2153" spans="12:15">
      <c r="L2153" s="2"/>
      <c r="N2153" s="2"/>
      <c r="O2153" s="2"/>
    </row>
    <row r="2154" spans="12:15">
      <c r="L2154" s="2"/>
      <c r="N2154" s="2"/>
      <c r="O2154" s="2"/>
    </row>
    <row r="2155" spans="12:15">
      <c r="L2155" s="2"/>
      <c r="N2155" s="2"/>
      <c r="O2155" s="2"/>
    </row>
    <row r="2156" spans="12:15">
      <c r="L2156" s="2"/>
      <c r="N2156" s="2"/>
      <c r="O2156" s="2"/>
    </row>
    <row r="2157" spans="12:15">
      <c r="L2157" s="2"/>
      <c r="N2157" s="2"/>
      <c r="O2157" s="2"/>
    </row>
    <row r="2158" spans="12:15">
      <c r="L2158" s="2"/>
      <c r="N2158" s="2"/>
      <c r="O2158" s="2"/>
    </row>
    <row r="2159" spans="12:15">
      <c r="L2159" s="2"/>
      <c r="N2159" s="2"/>
      <c r="O2159" s="2"/>
    </row>
  </sheetData>
  <autoFilter ref="A19:O1228" xr:uid="{77595A25-A759-40B4-AE0D-A27FCE2AE26E}"/>
  <conditionalFormatting sqref="D19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13</xdr:row>
                    <xdr:rowOff>123825</xdr:rowOff>
                  </from>
                  <to>
                    <xdr:col>2</xdr:col>
                    <xdr:colOff>2286000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13</xdr:row>
                    <xdr:rowOff>114300</xdr:rowOff>
                  </from>
                  <to>
                    <xdr:col>3</xdr:col>
                    <xdr:colOff>2295525</xdr:colOff>
                    <xdr:row>14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10</vt:i4>
      </vt:variant>
    </vt:vector>
  </HeadingPairs>
  <TitlesOfParts>
    <vt:vector size="11" baseType="lpstr">
      <vt:lpstr>Resumo</vt:lpstr>
      <vt:lpstr>adtype_filtrada</vt:lpstr>
      <vt:lpstr>Resumo!Area_de_extracao</vt:lpstr>
      <vt:lpstr>Busca</vt:lpstr>
      <vt:lpstr>campanha_nome</vt:lpstr>
      <vt:lpstr>clicks_filtrada</vt:lpstr>
      <vt:lpstr>Resumo!Criterios</vt:lpstr>
      <vt:lpstr>filtro</vt:lpstr>
      <vt:lpstr>impressoes_filtrada</vt:lpstr>
      <vt:lpstr>total_adops_filtrada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2019-11-12T21:32:44Z</dcterms:modified>
</cp:coreProperties>
</file>