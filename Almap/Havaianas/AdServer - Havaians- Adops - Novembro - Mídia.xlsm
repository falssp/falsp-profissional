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Havaianas\"/>
    </mc:Choice>
  </mc:AlternateContent>
  <xr:revisionPtr revIDLastSave="0" documentId="13_ncr:1_{8EC4BFC7-393E-4FE1-AE0C-815931D3B542}" xr6:coauthVersionLast="41" xr6:coauthVersionMax="41" xr10:uidLastSave="{00000000-0000-0000-0000-000000000000}"/>
  <bookViews>
    <workbookView xWindow="-120" yWindow="-120" windowWidth="20730" windowHeight="11160" xr2:uid="{00000000-000D-0000-FFFF-FFFF00000000}"/>
  </bookViews>
  <sheets>
    <sheet name="Resumo" sheetId="8" r:id="rId1"/>
  </sheets>
  <definedNames>
    <definedName name="_xlnm._FilterDatabase" localSheetId="0" hidden="1">Resumo!$A$19:$O$1224</definedName>
    <definedName name="adtype">#REF!</definedName>
    <definedName name="adtype_filtrada">Resumo!$F$20:$F$1048576</definedName>
    <definedName name="_xlnm.Extract" localSheetId="0">Resumo!$B$19:$O$19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Resumo!$B$14:$C$15</definedName>
    <definedName name="campanha_nome">Resumo!$B$15</definedName>
    <definedName name="clicks">#REF!</definedName>
    <definedName name="clicks_filtrada">Resumo!$K$20:$K$1048576</definedName>
    <definedName name="_xlnm.Criteria" localSheetId="0">Resumo!$B$14:$C$15</definedName>
    <definedName name="dados">#REF!</definedName>
    <definedName name="filtro">Resumo!$B$19:$O$19</definedName>
    <definedName name="impressions">#REF!</definedName>
    <definedName name="impressoes_filtrada">Resumo!$J$20:$J$1048576</definedName>
    <definedName name="tabela">#REF!</definedName>
    <definedName name="total_adops">#REF!</definedName>
    <definedName name="total_adops_filtrada">Resumo!$O$20:$O$1048576</definedName>
    <definedName name="total_ferramenta">#REF!</definedName>
    <definedName name="total_ferramenta_filtrada">Resumo!$N$20:$N$1048576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" i="8" l="1"/>
  <c r="D6" i="8"/>
  <c r="D4" i="8"/>
  <c r="D5" i="8"/>
  <c r="D7" i="8"/>
  <c r="D8" i="8"/>
  <c r="D9" i="8"/>
  <c r="E7" i="8" l="1"/>
  <c r="E9" i="8"/>
  <c r="E4" i="8"/>
  <c r="E6" i="8"/>
  <c r="E5" i="8"/>
  <c r="E8" i="8"/>
  <c r="E10" i="8" l="1"/>
  <c r="G5" i="8" s="1"/>
</calcChain>
</file>

<file path=xl/sharedStrings.xml><?xml version="1.0" encoding="utf-8"?>
<sst xmlns="http://schemas.openxmlformats.org/spreadsheetml/2006/main" count="1127" uniqueCount="461">
  <si>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</si>
  <si>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</si>
  <si>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</si>
  <si>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</si>
  <si>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</si>
  <si>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</si>
  <si>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</si>
  <si>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</si>
  <si>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</si>
  <si>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</si>
  <si>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</si>
  <si>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</si>
  <si>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</si>
  <si>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</si>
  <si>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</si>
  <si>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</si>
  <si>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</si>
  <si>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</si>
  <si>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</si>
  <si>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Receita</t>
  </si>
  <si>
    <t>Total</t>
  </si>
  <si>
    <t>Rich Media 2.2mb</t>
  </si>
  <si>
    <t>Valor</t>
  </si>
  <si>
    <t>a.</t>
  </si>
  <si>
    <t>DCO</t>
  </si>
  <si>
    <t>Rich Media display banner</t>
  </si>
  <si>
    <t>Display</t>
  </si>
  <si>
    <t>Tracking</t>
  </si>
  <si>
    <t>Total R$</t>
  </si>
  <si>
    <t>PG ALMAP</t>
  </si>
  <si>
    <t>PG CM</t>
  </si>
  <si>
    <t>alp_ecom</t>
  </si>
  <si>
    <t>facebook.com.br</t>
  </si>
  <si>
    <t>alp_ecom_conversao_ecom_facebook_social_pagepost_social_rasteiras-you_curte-havaianas_cpc_1200x628_111113</t>
  </si>
  <si>
    <t>242206023</t>
  </si>
  <si>
    <t>438842639</t>
  </si>
  <si>
    <t>alp_marca</t>
  </si>
  <si>
    <t>Elhombre_Puig</t>
  </si>
  <si>
    <t>243290121</t>
  </si>
  <si>
    <t>439773376</t>
  </si>
  <si>
    <t>papodehomem.com.br</t>
  </si>
  <si>
    <t>Instagram</t>
  </si>
  <si>
    <t>Oath BR</t>
  </si>
  <si>
    <t>Steal The Look</t>
  </si>
  <si>
    <t>MTV Brasil</t>
  </si>
  <si>
    <t>alp_marca_alcance_jovem_facebook_social_dark-post_social_got_all_cpm_1080x1080_111121</t>
  </si>
  <si>
    <t>jovemnerd.com.br</t>
  </si>
  <si>
    <t>alp_ecom_conversao_ecom_facebook_social_pagepost_social_slim-hits_curte-havaianas_cpm_1200x628_111200</t>
  </si>
  <si>
    <t>247726396</t>
  </si>
  <si>
    <t>443998716</t>
  </si>
  <si>
    <t>Pipocando</t>
  </si>
  <si>
    <t>alp_marca_alcance_feminino_facebook_social_pagepost_social_slim-hits_all_cpm_1200x628_111196</t>
  </si>
  <si>
    <t>248134076</t>
  </si>
  <si>
    <t>444678955</t>
  </si>
  <si>
    <t>alp_marca_engajamentos_feminino_facebook_social_video-social_social_slim-hits_all_cpm_acima-de-30s_111208</t>
  </si>
  <si>
    <t>248134070</t>
  </si>
  <si>
    <t>444678949</t>
  </si>
  <si>
    <t>alp_marca_engajamentos_masculino_facebook_social_dark-post_social_harry-potter_licenciados_cpm_500x500_111187</t>
  </si>
  <si>
    <t>246959855</t>
  </si>
  <si>
    <t>443465076</t>
  </si>
  <si>
    <t>alp_ecom_conversao_ecom_facebook_social_carrossel_social_havaianas-dpa_dpa-todos-os-produtos_cpm_1080x1080_111207</t>
  </si>
  <si>
    <t>248530430</t>
  </si>
  <si>
    <t>445067629</t>
  </si>
  <si>
    <t>alp_ecom_conversao_ecom_facebook_social_pagepost_social_stranger-things_curte-havaianas_cpm_1080x1080_111214</t>
  </si>
  <si>
    <t>250561323</t>
  </si>
  <si>
    <t>446675965</t>
  </si>
  <si>
    <t>alp_ecom_conversao_ecom_facebook_social_video-social_social_stranger-things_curte-havaianas_cpm_de-5s-ate-10s_111215</t>
  </si>
  <si>
    <t>250155803</t>
  </si>
  <si>
    <t>446691613</t>
  </si>
  <si>
    <t>alp_ecom_conversao_ecom_facebook_social_video-social_social_stranger-things_rmk-30-mobile_cpm_de-5s-ate-10s_111215</t>
  </si>
  <si>
    <t>250155785</t>
  </si>
  <si>
    <t>446691631</t>
  </si>
  <si>
    <t>alp_marca_alcance_jovem_pipocando_conteudo-veiculo_video-ytb_social_toy-story_all_fixo_no-size_111232</t>
  </si>
  <si>
    <t>249203219</t>
  </si>
  <si>
    <t>445681967</t>
  </si>
  <si>
    <t>alp_marca_engajamentos_feminino_steal-the-look_conteudo-veiculo_publieditorial_ros_rasteiras-you_all_cpm_no-size_111278</t>
  </si>
  <si>
    <t>249792011</t>
  </si>
  <si>
    <t>446267440</t>
  </si>
  <si>
    <t>alp_marca_engajamentos_feminino_steal-the-look_conteudo-veiculo_publieditorial_ros_rasteiras-you_all_cpm_no-size_111281</t>
  </si>
  <si>
    <t>249792020</t>
  </si>
  <si>
    <t>446267449</t>
  </si>
  <si>
    <t>alp_marca_engajamentos_feminino_steal-the-look_conteudo-veiculo_publieditorial_ros_rasteiras-you_all_cpm_no-size_111285</t>
  </si>
  <si>
    <t>249792032</t>
  </si>
  <si>
    <t>446267461</t>
  </si>
  <si>
    <t>alp_marca_engajamentos_feminino_steal-the-look_conteudo-veiculo_publieditorial_ros_rasteiras-you_all_cpm_no-size_111287</t>
  </si>
  <si>
    <t>249792038</t>
  </si>
  <si>
    <t>446267467</t>
  </si>
  <si>
    <t>Sua musica</t>
  </si>
  <si>
    <t>eco21.com.br</t>
  </si>
  <si>
    <t>alp_marca_alcance_feminino_facebook_social_pagepost_social_rasteiras_all_cpm_1080x1080_111228</t>
  </si>
  <si>
    <t>249100214</t>
  </si>
  <si>
    <t>445480692</t>
  </si>
  <si>
    <t>alp_marca_alcance_feminino_facebook_social_video-social_social_artistas-barbara_all_cpm_de-11s-ate-29s_111225</t>
  </si>
  <si>
    <t>249213027</t>
  </si>
  <si>
    <t>445223955</t>
  </si>
  <si>
    <t>alp_marca_alcance_jovem_facebook_social_pagepost_social_toy-story_all_cpm_1080x1080_111245</t>
  </si>
  <si>
    <t>249266750</t>
  </si>
  <si>
    <t>445737839</t>
  </si>
  <si>
    <t>alp_marca_alcance_todos_facebook_social_video-social_social_havaianas-ipe_all_cpm_de-11s-ate-29s_111212</t>
  </si>
  <si>
    <t>248672104</t>
  </si>
  <si>
    <t>444990895</t>
  </si>
  <si>
    <t>alp_marca_engajamentos_masculino_facebook_social_dark-post_social_havaianas-urban_moda_cpm_1080x1080_111248-joao_all_cpm_de-5s-ate-10s_111247</t>
  </si>
  <si>
    <t>249586960</t>
  </si>
  <si>
    <t>alp_marca_engajamentos_masculino_facebook_social_dark-post_social_havaianas-urban_moda_cpm_1080x1080_111248</t>
  </si>
  <si>
    <t>445854028</t>
  </si>
  <si>
    <t>alp_marca_engajamentos_jovem_jovem-nerd_conteudo-veiculo_video-social_youtube_stranger-things_all_fixo_acima-de-30s_111311</t>
  </si>
  <si>
    <t>250442014</t>
  </si>
  <si>
    <t>446561231</t>
  </si>
  <si>
    <t>alp_marca_alcance_masculino_papo-de-homem_display_billboard_ros_havaianas-urban_all_cpm_970x250_111207</t>
  </si>
  <si>
    <t>248234589</t>
  </si>
  <si>
    <t>444466786</t>
  </si>
  <si>
    <t>alp_marca_alcance_masculino_papo-de-homem_display_retangulo_ros_havaianas-urban_all_cpm_300x250_111207</t>
  </si>
  <si>
    <t>248233251</t>
  </si>
  <si>
    <t>444464740</t>
  </si>
  <si>
    <t>Criteo</t>
  </si>
  <si>
    <t>alp_ecom_conversao_ecom_facebook_social_carrossel_social_rei-leao_curte-havaianas_cpm_1080x1080_111221</t>
  </si>
  <si>
    <t>251366940</t>
  </si>
  <si>
    <t>447333084</t>
  </si>
  <si>
    <t>alp_ecom_conversao_ecom_facebook_social_carrossel_social_rei-leao_interesse-rei-leao_cpm_1080x1080_111221</t>
  </si>
  <si>
    <t>251366916</t>
  </si>
  <si>
    <t>447333060</t>
  </si>
  <si>
    <t>alp_ecom_conversao_ecom_facebook_social_collection_social_harry-potter_curte-havaianas_cpm_dinamico_111223</t>
  </si>
  <si>
    <t>251366910</t>
  </si>
  <si>
    <t>447333054</t>
  </si>
  <si>
    <t>alp_ecom_conversao_ecom_facebook_social_pagepost_social_havaianas-novidades_interesse-promocao_cpm_1200x628_111227</t>
  </si>
  <si>
    <t>251879663</t>
  </si>
  <si>
    <t>448207521</t>
  </si>
  <si>
    <t>alp_ecom_conversao_ecom_facebook_social_pagepost_social_havaianas-novidades_rmk-30-mobile_cpm_1200x628_111227</t>
  </si>
  <si>
    <t>252287298</t>
  </si>
  <si>
    <t>448205523</t>
  </si>
  <si>
    <t>alp_ecom_conversao_ecom_facebook_social_pagepost_social_rei-leao_curte-havaianas_cpm_1200x628_111220</t>
  </si>
  <si>
    <t>251366988</t>
  </si>
  <si>
    <t>447333132</t>
  </si>
  <si>
    <t>alp_ecom_conversao_ecom_facebook_social_pagepost_social_rei-leao_interesse-rei-leao_cpm_1200x628_111220</t>
  </si>
  <si>
    <t>251366946</t>
  </si>
  <si>
    <t>447333090</t>
  </si>
  <si>
    <t>alp_ecom_conversao_ecom_facebook_social_pagepost_social_stranger-things_look-1-mobile_cpm_1080x1080_111214</t>
  </si>
  <si>
    <t>250561311</t>
  </si>
  <si>
    <t>446675977</t>
  </si>
  <si>
    <t>Editora Globo</t>
  </si>
  <si>
    <t>alp_marca_alcance_feminino_oath-verizon_display_billboard_ros_rasteiras_fashion_cpm_970x250_111341</t>
  </si>
  <si>
    <t>251230706</t>
  </si>
  <si>
    <t>447627221</t>
  </si>
  <si>
    <t>alp_marca_alcance_feminino_oath-verizon_display_superbanner_ros_rasteiras_fashion_cpm_728x90_111341</t>
  </si>
  <si>
    <t>251527402</t>
  </si>
  <si>
    <t>447711490</t>
  </si>
  <si>
    <t>alp_marca_alcance_masculino_oath-verizon_video_video_ros_havaianas-urban-rubinho_all_cpm_de-11s-ate-29s_111333</t>
  </si>
  <si>
    <t>251320243</t>
  </si>
  <si>
    <t>447398574</t>
  </si>
  <si>
    <t>alp_marca_engajamentos_feminino_steal-the-look_conteudo-veiculo_publieditorial_ros_rasteiras-you_all_cpm_no-size_111354</t>
  </si>
  <si>
    <t>252202933</t>
  </si>
  <si>
    <t>448198305</t>
  </si>
  <si>
    <t>alp_marca_alcance_jovem_facebook_social_dark-post_social_got_all_cpm_1080x1080_111136</t>
  </si>
  <si>
    <t>244294036</t>
  </si>
  <si>
    <t>441044553</t>
  </si>
  <si>
    <t>alp_marca_alcance_jovem_facebook_social_dark-post_social_la-casa-de-papel_all_cpm_1080x1080_111352</t>
  </si>
  <si>
    <t>251858638</t>
  </si>
  <si>
    <t>447930218</t>
  </si>
  <si>
    <t>alp_marca_alcance_jovem_facebook_social_dark-post_social_la-casa-de-papel_all_cpm_1080x1080_111353</t>
  </si>
  <si>
    <t>251856574</t>
  </si>
  <si>
    <t>448027624</t>
  </si>
  <si>
    <t>alp_marca_alcance_jovem_facebook_social_video-social_social_buff-moster_all_cpm_de-11s-ate-29s_111351</t>
  </si>
  <si>
    <t>251458466</t>
  </si>
  <si>
    <t>447788730</t>
  </si>
  <si>
    <t>alp_marca_alcance_jovem_facebook_social_video-social_social_rei-leao_all_cpm_de-5s-ate-10s_111342</t>
  </si>
  <si>
    <t>251703600</t>
  </si>
  <si>
    <t>447785983</t>
  </si>
  <si>
    <t>alp_marca_alcance_masculino_facebook_social_video-social_social_havaianas-urban-rubinho_all_cpm_de-11s-ate-29s_111332</t>
  </si>
  <si>
    <t>251020964</t>
  </si>
  <si>
    <t>447523264</t>
  </si>
  <si>
    <t>alp_marca_alcance_masculino_facebook_social_video-social_social_havaianas-urban-rubinho_all_cpm_de-11s-ate-29s_111342</t>
  </si>
  <si>
    <t>251626715</t>
  </si>
  <si>
    <t>448019633</t>
  </si>
  <si>
    <t>alp_marca_alcance_masculino_facebook_social_video-social_social_havaianas-urban-rubinho_all_cpm_de-11s-ate-29s_111343</t>
  </si>
  <si>
    <t>251953726</t>
  </si>
  <si>
    <t>448018391</t>
  </si>
  <si>
    <t>alp_marca_alcance_masculino_facebook_social_video-social_social_havaianas-urban-rubinho_all_cpm_de-11s-ate-29s_111350</t>
  </si>
  <si>
    <t>251457926</t>
  </si>
  <si>
    <t>447940573</t>
  </si>
  <si>
    <t>alp_ecom_conversao_ecom_facebook_social_carrossel_social_havaianas-hype_curte-havaianas_cpm_1080x1080_111243</t>
  </si>
  <si>
    <t>253910500</t>
  </si>
  <si>
    <t>449984779</t>
  </si>
  <si>
    <t>alp_ecom_conversao_ecom_facebook_social_carrossel_social_havaianas-hype_interesse-masculino-praia_cpm_1080x1080_111243</t>
  </si>
  <si>
    <t>253910476</t>
  </si>
  <si>
    <t>449984755</t>
  </si>
  <si>
    <t>alp_ecom_conversao_ecom_facebook_social_carrossel_social_havaianas-hype_look-1-mobile_cpm_1080x1080_111243</t>
  </si>
  <si>
    <t>253910491</t>
  </si>
  <si>
    <t>449984770</t>
  </si>
  <si>
    <t>alp_ecom_conversao_ecom_facebook_social_carrossel_social_havaianas-hype_rmk-30-mobile_cpm_1080x1080_111243</t>
  </si>
  <si>
    <t>253910479</t>
  </si>
  <si>
    <t>449984758</t>
  </si>
  <si>
    <t>alp_ecom_conversao_ecom_facebook_social_carrossel_social_rei-leao_look-1-mobile_cpm_1080x1080_111221</t>
  </si>
  <si>
    <t>251366931</t>
  </si>
  <si>
    <t>447333075</t>
  </si>
  <si>
    <t>alp_ecom_conversao_ecom_facebook_social_carrossel_social_rei-leao_rmk-30_cpm_1080x1080_111221</t>
  </si>
  <si>
    <t>251366922</t>
  </si>
  <si>
    <t>447333066</t>
  </si>
  <si>
    <t>alp_ecom_conversao_ecom_facebook_social_pagepost_social_havaianas-hype_curte-havaianas_cpm_1080x1080_111230</t>
  </si>
  <si>
    <t>252787705</t>
  </si>
  <si>
    <t>448761813</t>
  </si>
  <si>
    <t>alp_ecom_conversao_ecom_facebook_social_pagepost_social_havaianas-hype_curte-havaianas_cpm_1200x628_111242</t>
  </si>
  <si>
    <t>253394693</t>
  </si>
  <si>
    <t>449824048</t>
  </si>
  <si>
    <t>alp_ecom_conversao_ecom_facebook_social_pagepost_social_havaianas-hype_interesse-masculino-praia_cpm_1080x1080_111230</t>
  </si>
  <si>
    <t>252787684</t>
  </si>
  <si>
    <t>448761792</t>
  </si>
  <si>
    <t>alp_ecom_conversao_ecom_facebook_social_pagepost_social_havaianas-hype_interesse-masculino-praia_cpm_1200x628_111242</t>
  </si>
  <si>
    <t>253394714</t>
  </si>
  <si>
    <t>449824027</t>
  </si>
  <si>
    <t>alp_ecom_conversao_ecom_facebook_social_pagepost_social_havaianas-hype_rmk-30-mobile_cpm_1080x1080_111230</t>
  </si>
  <si>
    <t>252787687</t>
  </si>
  <si>
    <t>448761795</t>
  </si>
  <si>
    <t>alp_ecom_conversao_ecom_facebook_social_pagepost_social_havaianas-la-casa-de-papel_curte-havaianas_cpm_1200x628_111229</t>
  </si>
  <si>
    <t>252204941</t>
  </si>
  <si>
    <t>448601474</t>
  </si>
  <si>
    <t>alp_ecom_conversao_ecom_facebook_social_pagepost_social_havaianas-la-casa-de-papel_interesse-la-casa-de-papel_cpm_1200x628_111229</t>
  </si>
  <si>
    <t>252207911</t>
  </si>
  <si>
    <t>448671577</t>
  </si>
  <si>
    <t>alp_ecom_conversao_ecom_facebook_social_pagepost_social_havaianas-novidades_curte-havaianas_cpm_1200x628_111227</t>
  </si>
  <si>
    <t>252286563</t>
  </si>
  <si>
    <t>448342999</t>
  </si>
  <si>
    <t>alp_ecom_conversao_ecom_facebook_social_pagepost_social_havaianas-novidades_look-1-mobile_cpm_1200x628_111227</t>
  </si>
  <si>
    <t>251878943</t>
  </si>
  <si>
    <t>448342399</t>
  </si>
  <si>
    <t>alp_ecom_conversao_ecom_facebook_social_pagepost_social_havaianas-novidades_rmk-30_cpm_1200x628_111227</t>
  </si>
  <si>
    <t>252210166</t>
  </si>
  <si>
    <t>448260959</t>
  </si>
  <si>
    <t>alp_ecom_conversao_ecom_facebook_social_stories_social_havaianas-hype_interesse-masculino-praia_cpm_de-11s-ate-29s_111245</t>
  </si>
  <si>
    <t>253920074</t>
  </si>
  <si>
    <t>450298460</t>
  </si>
  <si>
    <t>alp_marca_alcance_todos_eco-21_social_banner_social_havaianas-ipe_all_cpm_840x90_111385</t>
  </si>
  <si>
    <t>253917313</t>
  </si>
  <si>
    <t>449875482</t>
  </si>
  <si>
    <t>alp_marca_alcance_feminino_facebook_social_pagepost_social_artistas-barbara_all_cpm_1080x1080_111350</t>
  </si>
  <si>
    <t>252977848</t>
  </si>
  <si>
    <t>448984472</t>
  </si>
  <si>
    <t>alp_marca_alcance_feminino_facebook_social_pagepost_social_havaianas-origine-elastic-cru-preto_all_cpm_1080x1080_111386</t>
  </si>
  <si>
    <t>253711742</t>
  </si>
  <si>
    <t>450148066</t>
  </si>
  <si>
    <t>alp_marca_alcance_feminino_facebook_social_pagepost_social_lancamento-core_all_cpm_1080x1080_111380</t>
  </si>
  <si>
    <t>253453276</t>
  </si>
  <si>
    <t>449494268</t>
  </si>
  <si>
    <t>alp_marca_alcance_feminino_facebook_social_pagepost_social_lancamento-core_all_cpm_1080x1080_111383</t>
  </si>
  <si>
    <t>253849482</t>
  </si>
  <si>
    <t>449838277</t>
  </si>
  <si>
    <t>alp_marca_alcance_feminino_facebook_social_pagepost_social_rasteiras-you_all_cpm_1080x1080_111349</t>
  </si>
  <si>
    <t>252979732</t>
  </si>
  <si>
    <t>448984454</t>
  </si>
  <si>
    <t>alp_ecom_conversao_ecom_criteo_display_header-mobile_rmkt_semana-do-cliente_rmk-criteo_cpm_320x50_111250</t>
  </si>
  <si>
    <t>255067743</t>
  </si>
  <si>
    <t>450910580</t>
  </si>
  <si>
    <t>alp_ecom_conversao_ecom_criteo_display_retangulo_rmkt_semana-do-cliente_rmk-criteo_cpm_300x250_111247</t>
  </si>
  <si>
    <t>255067752</t>
  </si>
  <si>
    <t>450910589</t>
  </si>
  <si>
    <t>alp_ecom_conversao_ecom_oath_native_native-ads_ros_semana-do-cliente_interesse-promocao_cpc_no-size_111253</t>
  </si>
  <si>
    <t>254708531</t>
  </si>
  <si>
    <t>450964056</t>
  </si>
  <si>
    <t>alp_ecom_conversao_ecom_facebook_social_pagepost_social_alpargatas-free_curte-havaianas_cpm_1200x628_111259</t>
  </si>
  <si>
    <t>256752787</t>
  </si>
  <si>
    <t>452584938</t>
  </si>
  <si>
    <t>alp_ecom_conversao_ecom_facebook_social_pagepost_social_alpargatas-free_look-1-desk_cpm_1200x628_111259</t>
  </si>
  <si>
    <t>256752784</t>
  </si>
  <si>
    <t>452584935</t>
  </si>
  <si>
    <t>alp_ecom_conversao_ecom_facebook_social_pagepost_social_alpargatas-free_look-1-mobile_cpm_1200x628_111259</t>
  </si>
  <si>
    <t>256752781</t>
  </si>
  <si>
    <t>452584932</t>
  </si>
  <si>
    <t>alp_ecom_conversao_ecom_facebook_social_pagepost_social_alpargatas-free_look-2-mobile_cpm_1200x628_111259</t>
  </si>
  <si>
    <t>256752775</t>
  </si>
  <si>
    <t>452584926</t>
  </si>
  <si>
    <t>alp_ecom_conversao_ecom_facebook_social_pagepost_social_alpargatas-free_rmk-30_cpm_1200x628_111259</t>
  </si>
  <si>
    <t>256752772</t>
  </si>
  <si>
    <t>452584923</t>
  </si>
  <si>
    <t>alp_ecom_conversao_ecom_facebook_social_pagepost_social_havaianas-hype_look-1-mobile_cpm_1200x628_111242</t>
  </si>
  <si>
    <t>253394699</t>
  </si>
  <si>
    <t>449824042</t>
  </si>
  <si>
    <t>alp_ecom_conversao_ecom_facebook_social_pagepost_social_havaianas-hype_look-2-mobile_cpm_1080x1080_111230</t>
  </si>
  <si>
    <t>252787693</t>
  </si>
  <si>
    <t>448761801</t>
  </si>
  <si>
    <t>alp_ecom_conversao_ecom_facebook_social_pagepost_social_havaianas-slide_curte-havaianas_cpm_1080x1080_111256</t>
  </si>
  <si>
    <t>256054542</t>
  </si>
  <si>
    <t>451911526</t>
  </si>
  <si>
    <t>alp_ecom_conversao_ecom_facebook_social_pagepost_social_havaianas-slide_rmk-30-mobile_cpm_1080x1080_111256</t>
  </si>
  <si>
    <t>256054524</t>
  </si>
  <si>
    <t>451911508</t>
  </si>
  <si>
    <t>alp_ecom_conversao_ecom_facebook_social_pagepost_social_havaianas-top-verano_curte-havaianas_cpm_1200x628_111257</t>
  </si>
  <si>
    <t>256409478</t>
  </si>
  <si>
    <t>452248351</t>
  </si>
  <si>
    <t>alp_ecom_conversao_ecom_facebook_social_pagepost_social_havaianas-top-verano_interesse-praia_cpm_1200x628_111257</t>
  </si>
  <si>
    <t>256409457</t>
  </si>
  <si>
    <t>452248330</t>
  </si>
  <si>
    <t>alp_ecom_conversao_ecom_facebook_social_pagepost_social_havaianas-top-verano_look-1-mobile_cpm_1200x628_111257</t>
  </si>
  <si>
    <t>256409472</t>
  </si>
  <si>
    <t>452248345</t>
  </si>
  <si>
    <t>alp_ecom_conversao_ecom_facebook_social_pagepost_social_havaianas-top-verano_look-2-mobile_cpm_1200x628_111257</t>
  </si>
  <si>
    <t>256409466</t>
  </si>
  <si>
    <t>452248339</t>
  </si>
  <si>
    <t>alp_ecom_conversao_ecom_facebook_social_pagepost_social_havaianas-top-verano_rmk-30-mobile_cpm_1200x628_111257</t>
  </si>
  <si>
    <t>256409460</t>
  </si>
  <si>
    <t>452248333</t>
  </si>
  <si>
    <t>alp_ecom_conversao_ecom_facebook_social_pagepost_social_havaianas-top-verano_rmk-30_cpm_1200x628_111257</t>
  </si>
  <si>
    <t>256409463</t>
  </si>
  <si>
    <t>452248336</t>
  </si>
  <si>
    <t>alp_ecom_conversao_ecom_facebook_social_pagepost_social_stranger-things_interesses-stranger-things_cpm_1080x1080_111214</t>
  </si>
  <si>
    <t>250155809</t>
  </si>
  <si>
    <t>446691607</t>
  </si>
  <si>
    <t>alp_ecom_conversao_ecom_facebook_social_stories_social_havaianas-slide_curte-havaianas_cpm_de-5s-ate-10s_111256</t>
  </si>
  <si>
    <t>256054521</t>
  </si>
  <si>
    <t>451911505</t>
  </si>
  <si>
    <t>alp_ecom_conversao_ecom_facebook_social_stories_social_havaianas-top-verano_curte-havaianas_cpm_de-5s-ate-10s_111258</t>
  </si>
  <si>
    <t>256616748</t>
  </si>
  <si>
    <t>452322090</t>
  </si>
  <si>
    <t>alp_ecom_conversao_ecom_facebook_social_stories_social_havaianas-top-verano_interesse-praia_cpm_de-5s-ate-10s_111258</t>
  </si>
  <si>
    <t>256472698</t>
  </si>
  <si>
    <t>452364284</t>
  </si>
  <si>
    <t>alp_ecom_conversao_ecom_facebook_social_video-social_social_stranger-things_interesses-stranger-things_cpm_de-5s-ate-10s_111215</t>
  </si>
  <si>
    <t>250155782</t>
  </si>
  <si>
    <t>446691634</t>
  </si>
  <si>
    <t>alp_marca_engajamentos_feminino_instagram_social_pagepost_social_paisage_all_cpm_1080x1080_111406_organico-pt</t>
  </si>
  <si>
    <t>255953535</t>
  </si>
  <si>
    <t>451819348</t>
  </si>
  <si>
    <t>alp_marca_engajamentos_feminino_instagram_social_pagepost_social_top-verano_all_cpm_1080x1080_111408_organico-pt</t>
  </si>
  <si>
    <t>255953577</t>
  </si>
  <si>
    <t>451819390</t>
  </si>
  <si>
    <t>alp_marca_engajamentos_masculino_instagram_social_pagepost_social_gq-urban-craft_all_cpm_1080x1080_111404_organico-pt</t>
  </si>
  <si>
    <t>255953526</t>
  </si>
  <si>
    <t>451819342</t>
  </si>
  <si>
    <t>alp_marca_engajamentos_masculino_instagram_social_pagepost_social_havaianas-aloha_all_cpm_1080x1080_111418_organico-pt</t>
  </si>
  <si>
    <t>256479737</t>
  </si>
  <si>
    <t>452651051</t>
  </si>
  <si>
    <t>alp_marca_engajamentos_masculino_instagram_social_pagepost_social_top-infinity_all_cpm_1080x1080_111417_organico-pt</t>
  </si>
  <si>
    <t>256480694</t>
  </si>
  <si>
    <t>452597418</t>
  </si>
  <si>
    <t>alp_marca_engajamentos_masculino_instagram_social_pagepost_social_top-infinity_all_cpm_1080x1080_111419_organico-pt</t>
  </si>
  <si>
    <t>256479788</t>
  </si>
  <si>
    <t>452649914</t>
  </si>
  <si>
    <t>alp_marca_engajamentos_masculino_instagram_social_pagepost_social_urban-basic_all_cpm_1080x1080_111403_organico-pt</t>
  </si>
  <si>
    <t>255953529</t>
  </si>
  <si>
    <t>451716423</t>
  </si>
  <si>
    <t>alp_marca_engajamentos_jovem_mtv_display_logo_ros_logo-ema_all_cpm_no-size_111416</t>
  </si>
  <si>
    <t>256746043</t>
  </si>
  <si>
    <t>452572824</t>
  </si>
  <si>
    <t>alp_marca_alcance_feminino_facebook_social_video-social_social_artistas-barbara_all_cpm_1080x1080_111388</t>
  </si>
  <si>
    <t>254523327</t>
  </si>
  <si>
    <t>450380424</t>
  </si>
  <si>
    <t>alp_marca_alcance_masculino_facebook_social_carrossel_social_qualquer-joao_envolvimento-pagina_cpm_1080x1080_111210</t>
  </si>
  <si>
    <t>248427460</t>
  </si>
  <si>
    <t>444788608</t>
  </si>
  <si>
    <t>alp_marca_alcance_masculino_facebook_social_video-social_social_artistas-barbara_all_cpm_1080x1080_111389</t>
  </si>
  <si>
    <t>254419504</t>
  </si>
  <si>
    <t>450478441</t>
  </si>
  <si>
    <t>alp_marca_engajamentos_feminino_facebook_social_dark-post_social_rasteiras-riviera-roxo_funcional_cpm_1080x1080_111398_dark-post</t>
  </si>
  <si>
    <t>255683594</t>
  </si>
  <si>
    <t>451995970</t>
  </si>
  <si>
    <t>alp_marca_engajamentos_feminino_facebook_social_dark-post_social_rasteiras_fashion_cpm_1080x1080_111391_dark-post</t>
  </si>
  <si>
    <t>255160033</t>
  </si>
  <si>
    <t>451197772</t>
  </si>
  <si>
    <t>alp_marca_engajamentos_feminino_facebook_social_stories_social_warm-up-concept-sp_all_cpm_de-5s-ate-10s_111413_dark-post</t>
  </si>
  <si>
    <t>256443935</t>
  </si>
  <si>
    <t>452678653</t>
  </si>
  <si>
    <t>alp_marca_engajamentos_masculino_facebook_social_dark-post_social_havaianas-surf_sports_cpm_1080x1080_111394_dark-post</t>
  </si>
  <si>
    <t>255160048</t>
  </si>
  <si>
    <t>451197787</t>
  </si>
  <si>
    <t>alp_marca_engajamentos_masculino_facebook_social_dark-post_social_havaianas-urban_moda_cpm_1080x1080_111393_dark-post</t>
  </si>
  <si>
    <t>255160045</t>
  </si>
  <si>
    <t>451197784</t>
  </si>
  <si>
    <t>alp_marca_engajamentos_masculino_facebook_social_dark-post_social_la-casa-de-papel_licenciados_cpm_1080x1080_111392_dark-post</t>
  </si>
  <si>
    <t>255160057</t>
  </si>
  <si>
    <t>451197796</t>
  </si>
  <si>
    <t>alp_marca_engajamentos_masculino_facebook_social_stories_social_la-casa-de-papel_licenciados_cpm_de-5s-ate-10s_111392_dark-post</t>
  </si>
  <si>
    <t>255160063</t>
  </si>
  <si>
    <t>451197802</t>
  </si>
  <si>
    <t>alp_ecom_conversao_ecom_facebook_social_pagepost_social_mario-bros_look-2-desk_cpc_1200x628_111118</t>
  </si>
  <si>
    <t>242342697</t>
  </si>
  <si>
    <t>438874533</t>
  </si>
  <si>
    <t>alp_ecom_conversao_ecom_facebook_social_pagepost_social_top-disney_curte-havaianas_cpm_1200x628_111161</t>
  </si>
  <si>
    <t>245715951</t>
  </si>
  <si>
    <t>442194964</t>
  </si>
  <si>
    <t>alp_marca_alcance_feminino_editora-globo_display_retangulo_ros_rasteiras_funcional_cpm_300x250_111340</t>
  </si>
  <si>
    <t>251617343</t>
  </si>
  <si>
    <t>448013573</t>
  </si>
  <si>
    <t>alp_marca_alcance_feminino_editora-globo_display_superbanner_ros_rasteiras_funcional_cpm_728x90_111340</t>
  </si>
  <si>
    <t>251942962</t>
  </si>
  <si>
    <t>448013588</t>
  </si>
  <si>
    <t>alp_marca_alcance_masculino_facebook_social_carrossel_social_qualquer-joao_all_cpm_1080x1080_111210</t>
  </si>
  <si>
    <t>248427463</t>
  </si>
  <si>
    <t>444788611</t>
  </si>
  <si>
    <t>alp_ecom_conversao_ecom_facebook_social_carrossel_social_havaianas-hype_rmk-30_cpm_1080x1080_111231</t>
  </si>
  <si>
    <t>252787666</t>
  </si>
  <si>
    <t>448761774</t>
  </si>
  <si>
    <t>alp_ecom_conversao_ecom_facebook_social_carrossel_social_rei-leao_curte-havaianas_cpm_1080x1080_111195</t>
  </si>
  <si>
    <t>247089746</t>
  </si>
  <si>
    <t>443680138</t>
  </si>
  <si>
    <t>alp_ecom_conversao_ecom_facebook_social_carrossel_social_rei-leao_look-1-desk_cpm_1080x1080_111221</t>
  </si>
  <si>
    <t>251366934</t>
  </si>
  <si>
    <t>447333078</t>
  </si>
  <si>
    <t>alp_ecom_conversao_ecom_facebook_social_pagepost_social_havaianas-hype_look-1-desk_cpm_1080x1080_111230</t>
  </si>
  <si>
    <t>252787702</t>
  </si>
  <si>
    <t>448761810</t>
  </si>
  <si>
    <t>alp_ecom_conversao_ecom_facebook_social_pagepost_social_havaianas-hype_look-2-desk_cpm_1080x1080_111230</t>
  </si>
  <si>
    <t>252787696</t>
  </si>
  <si>
    <t>448761804</t>
  </si>
  <si>
    <t>alp_ecom_conversao_ecom_facebook_social_pagepost_social_havaianas-la-casa-de-papel_look-2-mobile_cpm_1200x628_111229</t>
  </si>
  <si>
    <t>252207662</t>
  </si>
  <si>
    <t>448671520</t>
  </si>
  <si>
    <t>alp_ecom_conversao_ecom_facebook_social_pagepost_social_havaianas-novidades_look-2-mobile_cpm_1200x628_111227</t>
  </si>
  <si>
    <t>252286914</t>
  </si>
  <si>
    <t>448207497</t>
  </si>
  <si>
    <t>alp_ecom_conversao_ecom_facebook_social_pagepost_social_mario-bros_curte-havaianas_cpc_1200x628_111118</t>
  </si>
  <si>
    <t>242342706</t>
  </si>
  <si>
    <t>438874542</t>
  </si>
  <si>
    <t>alp_ecom_conversao_ecom_facebook_social_pagepost_social_semana-do-cliente_interesse-promocao_cpm_1080x1080_111252</t>
  </si>
  <si>
    <t>255067761</t>
  </si>
  <si>
    <t>450910598</t>
  </si>
  <si>
    <t>alp_marca_alcance_masculino_el-hombre_display_interstitial-mobile_home_havaianas-urban_all_cpm_320x480_111133</t>
  </si>
  <si>
    <t>243749696</t>
  </si>
  <si>
    <t>440571883</t>
  </si>
  <si>
    <t>alp_marca_alcance_jovem_instagram_social_stories_social_stranger-things_all_cpm_de-11s-ate-29s_111319</t>
  </si>
  <si>
    <t>250660887</t>
  </si>
  <si>
    <t>446775331</t>
  </si>
  <si>
    <t>alp_marca_alcance_todos_instagram_social_stories_social_hype-wsl_all_cpm_de-5s-ate-10s_111249</t>
  </si>
  <si>
    <t>249646264</t>
  </si>
  <si>
    <t>445740339</t>
  </si>
  <si>
    <t>Marie Claire (Brazil)</t>
  </si>
  <si>
    <t>alp_marca_alcance_feminino_marie-claire_display_billboard_ros_rasteiras_fashion_cpm_970x250_111341</t>
  </si>
  <si>
    <t>251705546</t>
  </si>
  <si>
    <t>448030590</t>
  </si>
  <si>
    <t>alp_marca_alcance_feminino_marie-claire_display_superbanner_ros_rasteiras_fashion_cpm_728x90_111341</t>
  </si>
  <si>
    <t>252038263</t>
  </si>
  <si>
    <t>448102070</t>
  </si>
  <si>
    <t>alp_marca_alcance_feminino_oath-verizon_display_half-page_ros_rasteiras_fashion_cpm_300x600_111341</t>
  </si>
  <si>
    <t>251527147</t>
  </si>
  <si>
    <t>447625571</t>
  </si>
  <si>
    <t>alp_marca_engajamentos_jovem_pipocando_conteudo-veiculo_video-ytb_social_got_all_fixo_no-size_111179</t>
  </si>
  <si>
    <t>247069035</t>
  </si>
  <si>
    <t>443322287</t>
  </si>
  <si>
    <t>alp_marca_engajamentos_feminino_steal-the-look_conteudo-veiculo_publieditorial_ros_rasteiras-you_all_cpm_no-size_111286</t>
  </si>
  <si>
    <t>249792035</t>
  </si>
  <si>
    <t>446267464</t>
  </si>
  <si>
    <t>alp_marca_alcance_todos_sua-musica_social_stories-suamusica_social_sao-joao_all_cpm_de-11s-ate-29s_111227</t>
  </si>
  <si>
    <t>249143647</t>
  </si>
  <si>
    <t>445312272</t>
  </si>
  <si>
    <t>Taboola</t>
  </si>
  <si>
    <t>alp_marca_engajamentos_masculino_taboola_native_native-ads_ros_masculino-cinderello_all_cpm_no-size_111144</t>
  </si>
  <si>
    <t>244631547</t>
  </si>
  <si>
    <t>441127803</t>
  </si>
  <si>
    <t>alp_marca_alcance_feminino_facebook_social_pagepost_social_rasteiras_all_cpm_1080x1080_111373</t>
  </si>
  <si>
    <t>253271499</t>
  </si>
  <si>
    <t>449202774</t>
  </si>
  <si>
    <t>alp_marca_alcance_jovem_facebook_social_dark-post_social_got_all_cpm_1080x1080_111122</t>
  </si>
  <si>
    <t>243290136</t>
  </si>
  <si>
    <t>439764581</t>
  </si>
  <si>
    <t>alp_marca_alcance_jovem_facebook_social_video-social_social_toy-story_all_cpm_de-5s-ate-10s_111243</t>
  </si>
  <si>
    <t>249634866</t>
  </si>
  <si>
    <t>445798240</t>
  </si>
  <si>
    <t>alp_marca_alcance_masculino_facebook_social_carrossel_social_qualquer-joao_all_cpm_1080x1080_111205</t>
  </si>
  <si>
    <t>247729694</t>
  </si>
  <si>
    <t>444180258</t>
  </si>
  <si>
    <t>alp_marca_conversao_todos_facebook_social_pagepost_social_sao-joao_all_cpm_1080x1080_111230</t>
  </si>
  <si>
    <t>249338383</t>
  </si>
  <si>
    <t>445637455</t>
  </si>
  <si>
    <t>alp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</si>
</sst>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_-&quot;R$&quot;\ * #,##0.00_-;\-&quot;R$&quot;\ * #,##0.00_-;_-&quot;R$&quot;\ * &quot;-&quot;??_-;_-@_-"/>
    <numFmt numFmtId="166" formatCode="&quot;R$&quot;\ #,##0.00"/>
  </numFmts>
  <fonts count="26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15">
    <xf numFmtId="0" fontId="0" fillId="0" borderId="0" xfId="0"/>
    <xf numFmtId="0" fontId="0" fillId="0" borderId="1" xfId="0" applyBorder="1"/>
    <xf numFmtId="2" fontId="0" fillId="0" borderId="0" xfId="0" applyNumberFormat="1"/>
    <xf numFmtId="165" fontId="0" fillId="0" borderId="0" xfId="1" applyFon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6" fontId="0" fillId="0" borderId="1" xfId="0" applyNumberFormat="1" applyBorder="1"/>
    <xf numFmtId="165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13</xdr:row>
          <xdr:rowOff>123825</xdr:rowOff>
        </xdr:from>
        <xdr:to>
          <xdr:col>2</xdr:col>
          <xdr:colOff>2286000</xdr:colOff>
          <xdr:row>14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114300</xdr:rowOff>
        </xdr:from>
        <xdr:to>
          <xdr:col>3</xdr:col>
          <xdr:colOff>2295525</xdr:colOff>
          <xdr:row>14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155"/>
  <sheetViews>
    <sheetView showGridLines="0" tabSelected="1" workbookViewId="0">
      <selection activeCell="B3" sqref="B3"/>
    </sheetView>
  </sheetViews>
  <sheetFormatPr defaultRowHeight="15"/>
  <cols>
    <col min="1" max="1" width="2.85546875" customWidth="1"/>
    <col min="2" max="2" width="24.42578125" customWidth="1"/>
    <col min="3" max="3" width="29" customWidth="1"/>
    <col min="4" max="4" width="37.28515625" customWidth="1"/>
    <col min="5" max="5" width="18.7109375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7" t="s">
        <v>17</v>
      </c>
      <c r="C3" s="7" t="s">
        <v>22</v>
      </c>
      <c r="D3" s="7" t="s">
        <v>18</v>
      </c>
      <c r="E3" s="7" t="s">
        <v>19</v>
      </c>
      <c r="G3" s="14" t="s">
        <v>28</v>
      </c>
      <c r="H3" s="14"/>
    </row>
    <row r="4" spans="1:8">
      <c r="B4" s="8" t="s">
        <v>12</v>
      </c>
      <c r="C4" s="1">
        <v>0.09</v>
      </c>
      <c r="D4" s="1">
        <f>SUMIF(adtype_filtrada,$B4,impressoes_filtrada)</f>
        <v>6907</v>
      </c>
      <c r="E4" s="9">
        <f>C4*D4/1000</f>
        <v>0.62163000000000002</v>
      </c>
      <c r="G4" s="13" t="s">
        <v>29</v>
      </c>
      <c r="H4" s="13" t="s">
        <v>30</v>
      </c>
    </row>
    <row r="5" spans="1:8">
      <c r="B5" s="8" t="s">
        <v>11</v>
      </c>
      <c r="C5" s="1">
        <v>0.09</v>
      </c>
      <c r="D5" s="1">
        <f>SUMIF(adtype_filtrada,$B5,impressoes_filtrada)</f>
        <v>0</v>
      </c>
      <c r="E5" s="9">
        <f>C5*D5/1000</f>
        <v>0</v>
      </c>
      <c r="G5" s="9">
        <f>E10</f>
        <v>69.001629999999992</v>
      </c>
      <c r="H5" s="9">
        <f>SUM(total_ferramenta_filtrada)</f>
        <v>12.230347400000019</v>
      </c>
    </row>
    <row r="6" spans="1:8">
      <c r="B6" s="8" t="s">
        <v>10</v>
      </c>
      <c r="C6" s="1">
        <v>0.02</v>
      </c>
      <c r="D6" s="1">
        <f>SUMIF(adtype_filtrada,$B6,clicks_filtrada)</f>
        <v>3419</v>
      </c>
      <c r="E6" s="9">
        <f>C6*D6</f>
        <v>68.38</v>
      </c>
    </row>
    <row r="7" spans="1:8">
      <c r="B7" s="8" t="s">
        <v>25</v>
      </c>
      <c r="C7" s="1">
        <v>0.6</v>
      </c>
      <c r="D7" s="1">
        <f>SUMIF(adtype_filtrada,$B7,impressoes_filtrada)</f>
        <v>0</v>
      </c>
      <c r="E7" s="9">
        <f>C7*D7/1000</f>
        <v>0</v>
      </c>
    </row>
    <row r="8" spans="1:8">
      <c r="B8" s="8" t="s">
        <v>24</v>
      </c>
      <c r="C8" s="1">
        <v>7.0000000000000007E-2</v>
      </c>
      <c r="D8" s="1">
        <f>SUMIF(adtype_filtrada,$B8,impressoes_filtrada)</f>
        <v>0</v>
      </c>
      <c r="E8" s="9">
        <f>C8*D8/1000</f>
        <v>0</v>
      </c>
    </row>
    <row r="9" spans="1:8">
      <c r="B9" s="8" t="s">
        <v>21</v>
      </c>
      <c r="C9" s="1">
        <v>0.35</v>
      </c>
      <c r="D9" s="1">
        <f>SUMIF(adtype_filtrada,$B9,impressoes_filtrada)</f>
        <v>0</v>
      </c>
      <c r="E9" s="9">
        <f>C9*D9/1000</f>
        <v>0</v>
      </c>
    </row>
    <row r="10" spans="1:8">
      <c r="B10" s="7" t="s">
        <v>20</v>
      </c>
      <c r="C10" s="7"/>
      <c r="D10" s="7"/>
      <c r="E10" s="10">
        <f>SUM(E4:E9)</f>
        <v>69.001629999999992</v>
      </c>
    </row>
    <row r="14" spans="1:8">
      <c r="A14" s="4"/>
      <c r="B14" s="5" t="s">
        <v>0</v>
      </c>
      <c r="C14" s="5"/>
      <c r="D14" s="5"/>
    </row>
    <row r="15" spans="1:8">
      <c r="A15" s="4"/>
      <c r="B15" s="12" t="s">
        <v>460</v>
      </c>
      <c r="C15" s="5"/>
      <c r="D15" s="5"/>
    </row>
    <row r="16" spans="1:8" ht="6.75" customHeight="1">
      <c r="A16" s="4"/>
      <c r="B16" s="5"/>
      <c r="C16" s="5"/>
      <c r="D16" s="5"/>
    </row>
    <row r="19" spans="1:15" ht="45">
      <c r="A19" s="11" t="s">
        <v>23</v>
      </c>
      <c r="B19" s="5" t="s">
        <v>0</v>
      </c>
      <c r="C19" s="5" t="s">
        <v>1</v>
      </c>
      <c r="D19" s="5" t="s">
        <v>2</v>
      </c>
      <c r="E19" s="5" t="s">
        <v>3</v>
      </c>
      <c r="F19" s="5" t="s">
        <v>4</v>
      </c>
      <c r="G19" s="5" t="s">
        <v>5</v>
      </c>
      <c r="H19" s="5" t="s">
        <v>6</v>
      </c>
      <c r="I19" s="5" t="s">
        <v>7</v>
      </c>
      <c r="J19" s="5" t="s">
        <v>8</v>
      </c>
      <c r="K19" s="5" t="s">
        <v>9</v>
      </c>
      <c r="L19" s="6" t="s">
        <v>13</v>
      </c>
      <c r="M19" s="6" t="s">
        <v>14</v>
      </c>
      <c r="N19" s="6" t="s">
        <v>15</v>
      </c>
      <c r="O19" s="6" t="s">
        <v>16</v>
      </c>
    </row>
    <row r="20" spans="1:15">
      <c r="B20" t="s">
        <v>31</v>
      </c>
      <c r="C20" t="s">
        <v>114</v>
      </c>
      <c r="D20" t="s">
        <v>248</v>
      </c>
      <c r="E20" t="s">
        <v>249</v>
      </c>
      <c r="F20" t="s">
        <v>10</v>
      </c>
      <c r="G20" t="s">
        <v>248</v>
      </c>
      <c r="H20" t="s">
        <v>250</v>
      </c>
      <c r="I20" t="s">
        <v>27</v>
      </c>
      <c r="J20">
        <v>0</v>
      </c>
      <c r="K20">
        <v>1</v>
      </c>
      <c r="L20" s="2">
        <v>3.5000000000000001E-3</v>
      </c>
      <c r="M20">
        <v>0.02</v>
      </c>
      <c r="N20" s="2">
        <v>3.5000000000000001E-3</v>
      </c>
      <c r="O20" s="2">
        <v>0.02</v>
      </c>
    </row>
    <row r="21" spans="1:15">
      <c r="B21" t="s">
        <v>31</v>
      </c>
      <c r="C21" t="s">
        <v>114</v>
      </c>
      <c r="D21" t="s">
        <v>251</v>
      </c>
      <c r="E21" t="s">
        <v>252</v>
      </c>
      <c r="F21" t="s">
        <v>10</v>
      </c>
      <c r="G21" t="s">
        <v>251</v>
      </c>
      <c r="H21" t="s">
        <v>253</v>
      </c>
      <c r="I21" t="s">
        <v>27</v>
      </c>
      <c r="J21">
        <v>0</v>
      </c>
      <c r="K21">
        <v>1</v>
      </c>
      <c r="L21" s="2">
        <v>3.5000000000000001E-3</v>
      </c>
      <c r="M21">
        <v>0.02</v>
      </c>
      <c r="N21" s="2">
        <v>3.5000000000000001E-3</v>
      </c>
      <c r="O21" s="2">
        <v>0.02</v>
      </c>
    </row>
    <row r="22" spans="1:15">
      <c r="B22" t="s">
        <v>31</v>
      </c>
      <c r="C22" t="s">
        <v>42</v>
      </c>
      <c r="D22" t="s">
        <v>254</v>
      </c>
      <c r="E22" t="s">
        <v>255</v>
      </c>
      <c r="F22" t="s">
        <v>10</v>
      </c>
      <c r="G22" t="s">
        <v>254</v>
      </c>
      <c r="H22" t="s">
        <v>256</v>
      </c>
      <c r="I22" t="s">
        <v>27</v>
      </c>
      <c r="J22">
        <v>1</v>
      </c>
      <c r="K22">
        <v>1</v>
      </c>
      <c r="L22" s="2">
        <v>3.5000000000000001E-3</v>
      </c>
      <c r="M22">
        <v>0.02</v>
      </c>
      <c r="N22" s="2">
        <v>3.5000000000000001E-3</v>
      </c>
      <c r="O22" s="2">
        <v>0.02</v>
      </c>
    </row>
    <row r="23" spans="1:15">
      <c r="B23" t="s">
        <v>31</v>
      </c>
      <c r="C23" t="s">
        <v>32</v>
      </c>
      <c r="D23" t="s">
        <v>60</v>
      </c>
      <c r="E23" t="s">
        <v>61</v>
      </c>
      <c r="F23" t="s">
        <v>10</v>
      </c>
      <c r="G23" t="s">
        <v>60</v>
      </c>
      <c r="H23" t="s">
        <v>62</v>
      </c>
      <c r="I23" t="s">
        <v>27</v>
      </c>
      <c r="J23">
        <v>0</v>
      </c>
      <c r="K23">
        <v>45</v>
      </c>
      <c r="L23" s="2">
        <v>3.5000000000000001E-3</v>
      </c>
      <c r="M23">
        <v>0.02</v>
      </c>
      <c r="N23" s="2">
        <v>0.1575</v>
      </c>
      <c r="O23" s="2">
        <v>0.9</v>
      </c>
    </row>
    <row r="24" spans="1:15">
      <c r="B24" t="s">
        <v>31</v>
      </c>
      <c r="C24" t="s">
        <v>32</v>
      </c>
      <c r="D24" t="s">
        <v>179</v>
      </c>
      <c r="E24" t="s">
        <v>180</v>
      </c>
      <c r="F24" t="s">
        <v>10</v>
      </c>
      <c r="G24" t="s">
        <v>179</v>
      </c>
      <c r="H24" t="s">
        <v>181</v>
      </c>
      <c r="I24" t="s">
        <v>27</v>
      </c>
      <c r="J24">
        <v>0</v>
      </c>
      <c r="K24">
        <v>48</v>
      </c>
      <c r="L24" s="2">
        <v>3.5000000000000001E-3</v>
      </c>
      <c r="M24">
        <v>0.02</v>
      </c>
      <c r="N24" s="2">
        <v>0.16800000000000001</v>
      </c>
      <c r="O24" s="2">
        <v>0.96</v>
      </c>
    </row>
    <row r="25" spans="1:15">
      <c r="B25" t="s">
        <v>31</v>
      </c>
      <c r="C25" t="s">
        <v>32</v>
      </c>
      <c r="D25" t="s">
        <v>182</v>
      </c>
      <c r="E25" t="s">
        <v>183</v>
      </c>
      <c r="F25" t="s">
        <v>10</v>
      </c>
      <c r="G25" t="s">
        <v>182</v>
      </c>
      <c r="H25" t="s">
        <v>184</v>
      </c>
      <c r="I25" t="s">
        <v>27</v>
      </c>
      <c r="J25">
        <v>0</v>
      </c>
      <c r="K25">
        <v>41</v>
      </c>
      <c r="L25" s="2">
        <v>3.5000000000000001E-3</v>
      </c>
      <c r="M25">
        <v>0.02</v>
      </c>
      <c r="N25" s="2">
        <v>0.14350000000000002</v>
      </c>
      <c r="O25" s="2">
        <v>0.82000000000000006</v>
      </c>
    </row>
    <row r="26" spans="1:15">
      <c r="B26" t="s">
        <v>31</v>
      </c>
      <c r="C26" t="s">
        <v>32</v>
      </c>
      <c r="D26" t="s">
        <v>185</v>
      </c>
      <c r="E26" t="s">
        <v>186</v>
      </c>
      <c r="F26" t="s">
        <v>10</v>
      </c>
      <c r="G26" t="s">
        <v>185</v>
      </c>
      <c r="H26" t="s">
        <v>187</v>
      </c>
      <c r="I26" t="s">
        <v>27</v>
      </c>
      <c r="J26">
        <v>0</v>
      </c>
      <c r="K26">
        <v>3</v>
      </c>
      <c r="L26" s="2">
        <v>3.5000000000000001E-3</v>
      </c>
      <c r="M26">
        <v>0.02</v>
      </c>
      <c r="N26" s="2">
        <v>1.0500000000000001E-2</v>
      </c>
      <c r="O26" s="2">
        <v>0.06</v>
      </c>
    </row>
    <row r="27" spans="1:15">
      <c r="B27" t="s">
        <v>31</v>
      </c>
      <c r="C27" t="s">
        <v>32</v>
      </c>
      <c r="D27" t="s">
        <v>188</v>
      </c>
      <c r="E27" t="s">
        <v>189</v>
      </c>
      <c r="F27" t="s">
        <v>10</v>
      </c>
      <c r="G27" t="s">
        <v>188</v>
      </c>
      <c r="H27" t="s">
        <v>190</v>
      </c>
      <c r="I27" t="s">
        <v>27</v>
      </c>
      <c r="J27">
        <v>0</v>
      </c>
      <c r="K27">
        <v>15</v>
      </c>
      <c r="L27" s="2">
        <v>3.5000000000000001E-3</v>
      </c>
      <c r="M27">
        <v>0.02</v>
      </c>
      <c r="N27" s="2">
        <v>5.2499999999999998E-2</v>
      </c>
      <c r="O27" s="2">
        <v>0.3</v>
      </c>
    </row>
    <row r="28" spans="1:15">
      <c r="B28" t="s">
        <v>31</v>
      </c>
      <c r="C28" t="s">
        <v>32</v>
      </c>
      <c r="D28" t="s">
        <v>386</v>
      </c>
      <c r="E28" t="s">
        <v>387</v>
      </c>
      <c r="F28" t="s">
        <v>10</v>
      </c>
      <c r="G28" t="s">
        <v>386</v>
      </c>
      <c r="H28" t="s">
        <v>388</v>
      </c>
      <c r="I28" t="s">
        <v>27</v>
      </c>
      <c r="J28">
        <v>0</v>
      </c>
      <c r="K28">
        <v>1</v>
      </c>
      <c r="L28" s="2">
        <v>3.5000000000000001E-3</v>
      </c>
      <c r="M28">
        <v>0.02</v>
      </c>
      <c r="N28" s="2">
        <v>3.5000000000000001E-3</v>
      </c>
      <c r="O28" s="2">
        <v>0.02</v>
      </c>
    </row>
    <row r="29" spans="1:15">
      <c r="B29" t="s">
        <v>31</v>
      </c>
      <c r="C29" t="s">
        <v>32</v>
      </c>
      <c r="D29" t="s">
        <v>389</v>
      </c>
      <c r="E29" t="s">
        <v>390</v>
      </c>
      <c r="F29" t="s">
        <v>10</v>
      </c>
      <c r="G29" t="s">
        <v>389</v>
      </c>
      <c r="H29" t="s">
        <v>391</v>
      </c>
      <c r="I29" t="s">
        <v>27</v>
      </c>
      <c r="J29">
        <v>0</v>
      </c>
      <c r="K29">
        <v>1</v>
      </c>
      <c r="L29" s="2">
        <v>3.5000000000000001E-3</v>
      </c>
      <c r="M29">
        <v>0.02</v>
      </c>
      <c r="N29" s="2">
        <v>3.5000000000000001E-3</v>
      </c>
      <c r="O29" s="2">
        <v>0.02</v>
      </c>
    </row>
    <row r="30" spans="1:15">
      <c r="B30" t="s">
        <v>31</v>
      </c>
      <c r="C30" t="s">
        <v>32</v>
      </c>
      <c r="D30" t="s">
        <v>115</v>
      </c>
      <c r="E30" t="s">
        <v>116</v>
      </c>
      <c r="F30" t="s">
        <v>10</v>
      </c>
      <c r="G30" t="s">
        <v>115</v>
      </c>
      <c r="H30" t="s">
        <v>117</v>
      </c>
      <c r="I30" t="s">
        <v>27</v>
      </c>
      <c r="J30">
        <v>0</v>
      </c>
      <c r="K30">
        <v>15</v>
      </c>
      <c r="L30" s="2">
        <v>3.5000000000000001E-3</v>
      </c>
      <c r="M30">
        <v>0.02</v>
      </c>
      <c r="N30" s="2">
        <v>5.2499999999999998E-2</v>
      </c>
      <c r="O30" s="2">
        <v>0.3</v>
      </c>
    </row>
    <row r="31" spans="1:15">
      <c r="B31" t="s">
        <v>31</v>
      </c>
      <c r="C31" t="s">
        <v>32</v>
      </c>
      <c r="D31" t="s">
        <v>118</v>
      </c>
      <c r="E31" t="s">
        <v>119</v>
      </c>
      <c r="F31" t="s">
        <v>10</v>
      </c>
      <c r="G31" t="s">
        <v>118</v>
      </c>
      <c r="H31" t="s">
        <v>120</v>
      </c>
      <c r="I31" t="s">
        <v>27</v>
      </c>
      <c r="J31">
        <v>0</v>
      </c>
      <c r="K31">
        <v>86</v>
      </c>
      <c r="L31" s="2">
        <v>3.5000000000000001E-3</v>
      </c>
      <c r="M31">
        <v>0.02</v>
      </c>
      <c r="N31" s="2">
        <v>0.30099999999999999</v>
      </c>
      <c r="O31" s="2">
        <v>1.72</v>
      </c>
    </row>
    <row r="32" spans="1:15">
      <c r="B32" t="s">
        <v>31</v>
      </c>
      <c r="C32" t="s">
        <v>32</v>
      </c>
      <c r="D32" t="s">
        <v>392</v>
      </c>
      <c r="E32" t="s">
        <v>393</v>
      </c>
      <c r="F32" t="s">
        <v>10</v>
      </c>
      <c r="G32" t="s">
        <v>392</v>
      </c>
      <c r="H32" t="s">
        <v>394</v>
      </c>
      <c r="I32" t="s">
        <v>27</v>
      </c>
      <c r="J32">
        <v>0</v>
      </c>
      <c r="K32">
        <v>1</v>
      </c>
      <c r="L32" s="2">
        <v>3.5000000000000001E-3</v>
      </c>
      <c r="M32">
        <v>0.02</v>
      </c>
      <c r="N32" s="2">
        <v>3.5000000000000001E-3</v>
      </c>
      <c r="O32" s="2">
        <v>0.02</v>
      </c>
    </row>
    <row r="33" spans="2:15">
      <c r="B33" t="s">
        <v>31</v>
      </c>
      <c r="C33" t="s">
        <v>32</v>
      </c>
      <c r="D33" t="s">
        <v>191</v>
      </c>
      <c r="E33" t="s">
        <v>192</v>
      </c>
      <c r="F33" t="s">
        <v>10</v>
      </c>
      <c r="G33" t="s">
        <v>191</v>
      </c>
      <c r="H33" t="s">
        <v>193</v>
      </c>
      <c r="I33" t="s">
        <v>27</v>
      </c>
      <c r="J33">
        <v>0</v>
      </c>
      <c r="K33">
        <v>7</v>
      </c>
      <c r="L33" s="2">
        <v>3.5000000000000001E-3</v>
      </c>
      <c r="M33">
        <v>0.02</v>
      </c>
      <c r="N33" s="2">
        <v>2.4500000000000001E-2</v>
      </c>
      <c r="O33" s="2">
        <v>0.14000000000000001</v>
      </c>
    </row>
    <row r="34" spans="2:15">
      <c r="B34" t="s">
        <v>31</v>
      </c>
      <c r="C34" t="s">
        <v>32</v>
      </c>
      <c r="D34" t="s">
        <v>194</v>
      </c>
      <c r="E34" t="s">
        <v>195</v>
      </c>
      <c r="F34" t="s">
        <v>10</v>
      </c>
      <c r="G34" t="s">
        <v>194</v>
      </c>
      <c r="H34" t="s">
        <v>196</v>
      </c>
      <c r="I34" t="s">
        <v>27</v>
      </c>
      <c r="J34">
        <v>0</v>
      </c>
      <c r="K34">
        <v>2</v>
      </c>
      <c r="L34" s="2">
        <v>3.5000000000000001E-3</v>
      </c>
      <c r="M34">
        <v>0.02</v>
      </c>
      <c r="N34" s="2">
        <v>7.0000000000000001E-3</v>
      </c>
      <c r="O34" s="2">
        <v>0.04</v>
      </c>
    </row>
    <row r="35" spans="2:15">
      <c r="B35" t="s">
        <v>31</v>
      </c>
      <c r="C35" t="s">
        <v>32</v>
      </c>
      <c r="D35" t="s">
        <v>121</v>
      </c>
      <c r="E35" t="s">
        <v>122</v>
      </c>
      <c r="F35" t="s">
        <v>10</v>
      </c>
      <c r="G35" t="s">
        <v>121</v>
      </c>
      <c r="H35" t="s">
        <v>123</v>
      </c>
      <c r="I35" t="s">
        <v>27</v>
      </c>
      <c r="J35">
        <v>0</v>
      </c>
      <c r="K35">
        <v>2</v>
      </c>
      <c r="L35" s="2">
        <v>3.5000000000000001E-3</v>
      </c>
      <c r="M35">
        <v>0.02</v>
      </c>
      <c r="N35" s="2">
        <v>7.0000000000000001E-3</v>
      </c>
      <c r="O35" s="2">
        <v>0.04</v>
      </c>
    </row>
    <row r="36" spans="2:15">
      <c r="B36" t="s">
        <v>31</v>
      </c>
      <c r="C36" t="s">
        <v>32</v>
      </c>
      <c r="D36" t="s">
        <v>257</v>
      </c>
      <c r="E36" t="s">
        <v>258</v>
      </c>
      <c r="F36" t="s">
        <v>10</v>
      </c>
      <c r="G36" t="s">
        <v>257</v>
      </c>
      <c r="H36" t="s">
        <v>259</v>
      </c>
      <c r="I36" t="s">
        <v>27</v>
      </c>
      <c r="J36">
        <v>0</v>
      </c>
      <c r="K36">
        <v>110</v>
      </c>
      <c r="L36" s="2">
        <v>3.5000000000000001E-3</v>
      </c>
      <c r="M36">
        <v>0.02</v>
      </c>
      <c r="N36" s="2">
        <v>0.38500000000000001</v>
      </c>
      <c r="O36" s="2">
        <v>2.2000000000000002</v>
      </c>
    </row>
    <row r="37" spans="2:15">
      <c r="B37" t="s">
        <v>31</v>
      </c>
      <c r="C37" t="s">
        <v>32</v>
      </c>
      <c r="D37" t="s">
        <v>260</v>
      </c>
      <c r="E37" t="s">
        <v>261</v>
      </c>
      <c r="F37" t="s">
        <v>10</v>
      </c>
      <c r="G37" t="s">
        <v>260</v>
      </c>
      <c r="H37" t="s">
        <v>262</v>
      </c>
      <c r="I37" t="s">
        <v>27</v>
      </c>
      <c r="J37">
        <v>0</v>
      </c>
      <c r="K37">
        <v>1</v>
      </c>
      <c r="L37" s="2">
        <v>3.5000000000000001E-3</v>
      </c>
      <c r="M37">
        <v>0.02</v>
      </c>
      <c r="N37" s="2">
        <v>3.5000000000000001E-3</v>
      </c>
      <c r="O37" s="2">
        <v>0.02</v>
      </c>
    </row>
    <row r="38" spans="2:15">
      <c r="B38" t="s">
        <v>31</v>
      </c>
      <c r="C38" t="s">
        <v>32</v>
      </c>
      <c r="D38" t="s">
        <v>263</v>
      </c>
      <c r="E38" t="s">
        <v>264</v>
      </c>
      <c r="F38" t="s">
        <v>10</v>
      </c>
      <c r="G38" t="s">
        <v>263</v>
      </c>
      <c r="H38" t="s">
        <v>265</v>
      </c>
      <c r="I38" t="s">
        <v>27</v>
      </c>
      <c r="J38">
        <v>0</v>
      </c>
      <c r="K38">
        <v>5</v>
      </c>
      <c r="L38" s="2">
        <v>3.5000000000000001E-3</v>
      </c>
      <c r="M38">
        <v>0.02</v>
      </c>
      <c r="N38" s="2">
        <v>1.7500000000000002E-2</v>
      </c>
      <c r="O38" s="2">
        <v>0.1</v>
      </c>
    </row>
    <row r="39" spans="2:15">
      <c r="B39" t="s">
        <v>31</v>
      </c>
      <c r="C39" t="s">
        <v>32</v>
      </c>
      <c r="D39" t="s">
        <v>266</v>
      </c>
      <c r="E39" t="s">
        <v>267</v>
      </c>
      <c r="F39" t="s">
        <v>10</v>
      </c>
      <c r="G39" t="s">
        <v>266</v>
      </c>
      <c r="H39" t="s">
        <v>268</v>
      </c>
      <c r="I39" t="s">
        <v>27</v>
      </c>
      <c r="J39">
        <v>0</v>
      </c>
      <c r="K39">
        <v>1</v>
      </c>
      <c r="L39" s="2">
        <v>3.5000000000000001E-3</v>
      </c>
      <c r="M39">
        <v>0.02</v>
      </c>
      <c r="N39" s="2">
        <v>3.5000000000000001E-3</v>
      </c>
      <c r="O39" s="2">
        <v>0.02</v>
      </c>
    </row>
    <row r="40" spans="2:15">
      <c r="B40" t="s">
        <v>31</v>
      </c>
      <c r="C40" t="s">
        <v>32</v>
      </c>
      <c r="D40" t="s">
        <v>269</v>
      </c>
      <c r="E40" t="s">
        <v>270</v>
      </c>
      <c r="F40" t="s">
        <v>10</v>
      </c>
      <c r="G40" t="s">
        <v>269</v>
      </c>
      <c r="H40" t="s">
        <v>271</v>
      </c>
      <c r="I40" t="s">
        <v>27</v>
      </c>
      <c r="J40">
        <v>0</v>
      </c>
      <c r="K40">
        <v>1</v>
      </c>
      <c r="L40" s="2">
        <v>3.5000000000000001E-3</v>
      </c>
      <c r="M40">
        <v>0.02</v>
      </c>
      <c r="N40" s="2">
        <v>3.5000000000000001E-3</v>
      </c>
      <c r="O40" s="2">
        <v>0.02</v>
      </c>
    </row>
    <row r="41" spans="2:15">
      <c r="B41" t="s">
        <v>31</v>
      </c>
      <c r="C41" t="s">
        <v>32</v>
      </c>
      <c r="D41" t="s">
        <v>197</v>
      </c>
      <c r="E41" t="s">
        <v>198</v>
      </c>
      <c r="F41" t="s">
        <v>10</v>
      </c>
      <c r="G41" t="s">
        <v>197</v>
      </c>
      <c r="H41" t="s">
        <v>199</v>
      </c>
      <c r="I41" t="s">
        <v>27</v>
      </c>
      <c r="J41">
        <v>0</v>
      </c>
      <c r="K41">
        <v>1</v>
      </c>
      <c r="L41" s="2">
        <v>3.5000000000000001E-3</v>
      </c>
      <c r="M41">
        <v>0.02</v>
      </c>
      <c r="N41" s="2">
        <v>3.5000000000000001E-3</v>
      </c>
      <c r="O41" s="2">
        <v>0.02</v>
      </c>
    </row>
    <row r="42" spans="2:15">
      <c r="B42" t="s">
        <v>31</v>
      </c>
      <c r="C42" t="s">
        <v>32</v>
      </c>
      <c r="D42" t="s">
        <v>200</v>
      </c>
      <c r="E42" t="s">
        <v>201</v>
      </c>
      <c r="F42" t="s">
        <v>10</v>
      </c>
      <c r="G42" t="s">
        <v>200</v>
      </c>
      <c r="H42" t="s">
        <v>202</v>
      </c>
      <c r="I42" t="s">
        <v>27</v>
      </c>
      <c r="J42">
        <v>0</v>
      </c>
      <c r="K42">
        <v>13</v>
      </c>
      <c r="L42" s="2">
        <v>3.5000000000000001E-3</v>
      </c>
      <c r="M42">
        <v>0.02</v>
      </c>
      <c r="N42" s="2">
        <v>4.5499999999999999E-2</v>
      </c>
      <c r="O42" s="2">
        <v>0.26</v>
      </c>
    </row>
    <row r="43" spans="2:15">
      <c r="B43" t="s">
        <v>31</v>
      </c>
      <c r="C43" t="s">
        <v>32</v>
      </c>
      <c r="D43" t="s">
        <v>203</v>
      </c>
      <c r="E43" t="s">
        <v>204</v>
      </c>
      <c r="F43" t="s">
        <v>10</v>
      </c>
      <c r="G43" t="s">
        <v>203</v>
      </c>
      <c r="H43" t="s">
        <v>205</v>
      </c>
      <c r="I43" t="s">
        <v>27</v>
      </c>
      <c r="J43">
        <v>0</v>
      </c>
      <c r="K43">
        <v>5</v>
      </c>
      <c r="L43" s="2">
        <v>3.5000000000000001E-3</v>
      </c>
      <c r="M43">
        <v>0.02</v>
      </c>
      <c r="N43" s="2">
        <v>1.7500000000000002E-2</v>
      </c>
      <c r="O43" s="2">
        <v>0.1</v>
      </c>
    </row>
    <row r="44" spans="2:15">
      <c r="B44" t="s">
        <v>31</v>
      </c>
      <c r="C44" t="s">
        <v>32</v>
      </c>
      <c r="D44" t="s">
        <v>206</v>
      </c>
      <c r="E44" t="s">
        <v>207</v>
      </c>
      <c r="F44" t="s">
        <v>10</v>
      </c>
      <c r="G44" t="s">
        <v>206</v>
      </c>
      <c r="H44" t="s">
        <v>208</v>
      </c>
      <c r="I44" t="s">
        <v>27</v>
      </c>
      <c r="J44">
        <v>0</v>
      </c>
      <c r="K44">
        <v>19</v>
      </c>
      <c r="L44" s="2">
        <v>3.5000000000000001E-3</v>
      </c>
      <c r="M44">
        <v>0.02</v>
      </c>
      <c r="N44" s="2">
        <v>6.6500000000000004E-2</v>
      </c>
      <c r="O44" s="2">
        <v>0.38</v>
      </c>
    </row>
    <row r="45" spans="2:15">
      <c r="B45" t="s">
        <v>31</v>
      </c>
      <c r="C45" t="s">
        <v>32</v>
      </c>
      <c r="D45" t="s">
        <v>395</v>
      </c>
      <c r="E45" t="s">
        <v>396</v>
      </c>
      <c r="F45" t="s">
        <v>10</v>
      </c>
      <c r="G45" t="s">
        <v>395</v>
      </c>
      <c r="H45" t="s">
        <v>397</v>
      </c>
      <c r="I45" t="s">
        <v>27</v>
      </c>
      <c r="J45">
        <v>0</v>
      </c>
      <c r="K45">
        <v>1</v>
      </c>
      <c r="L45" s="2">
        <v>3.5000000000000001E-3</v>
      </c>
      <c r="M45">
        <v>0.02</v>
      </c>
      <c r="N45" s="2">
        <v>3.5000000000000001E-3</v>
      </c>
      <c r="O45" s="2">
        <v>0.02</v>
      </c>
    </row>
    <row r="46" spans="2:15">
      <c r="B46" t="s">
        <v>31</v>
      </c>
      <c r="C46" t="s">
        <v>32</v>
      </c>
      <c r="D46" t="s">
        <v>272</v>
      </c>
      <c r="E46" t="s">
        <v>273</v>
      </c>
      <c r="F46" t="s">
        <v>10</v>
      </c>
      <c r="G46" t="s">
        <v>272</v>
      </c>
      <c r="H46" t="s">
        <v>274</v>
      </c>
      <c r="I46" t="s">
        <v>27</v>
      </c>
      <c r="J46">
        <v>0</v>
      </c>
      <c r="K46">
        <v>1</v>
      </c>
      <c r="L46" s="2">
        <v>3.5000000000000001E-3</v>
      </c>
      <c r="M46">
        <v>0.02</v>
      </c>
      <c r="N46" s="2">
        <v>3.5000000000000001E-3</v>
      </c>
      <c r="O46" s="2">
        <v>0.02</v>
      </c>
    </row>
    <row r="47" spans="2:15">
      <c r="B47" t="s">
        <v>31</v>
      </c>
      <c r="C47" t="s">
        <v>32</v>
      </c>
      <c r="D47" t="s">
        <v>398</v>
      </c>
      <c r="E47" t="s">
        <v>399</v>
      </c>
      <c r="F47" t="s">
        <v>10</v>
      </c>
      <c r="G47" t="s">
        <v>398</v>
      </c>
      <c r="H47" t="s">
        <v>400</v>
      </c>
      <c r="I47" t="s">
        <v>27</v>
      </c>
      <c r="J47">
        <v>0</v>
      </c>
      <c r="K47">
        <v>1</v>
      </c>
      <c r="L47" s="2">
        <v>3.5000000000000001E-3</v>
      </c>
      <c r="M47">
        <v>0.02</v>
      </c>
      <c r="N47" s="2">
        <v>3.5000000000000001E-3</v>
      </c>
      <c r="O47" s="2">
        <v>0.02</v>
      </c>
    </row>
    <row r="48" spans="2:15">
      <c r="B48" t="s">
        <v>31</v>
      </c>
      <c r="C48" t="s">
        <v>32</v>
      </c>
      <c r="D48" t="s">
        <v>275</v>
      </c>
      <c r="E48" t="s">
        <v>276</v>
      </c>
      <c r="F48" t="s">
        <v>10</v>
      </c>
      <c r="G48" t="s">
        <v>275</v>
      </c>
      <c r="H48" t="s">
        <v>277</v>
      </c>
      <c r="I48" t="s">
        <v>27</v>
      </c>
      <c r="J48">
        <v>0</v>
      </c>
      <c r="K48">
        <v>2</v>
      </c>
      <c r="L48" s="2">
        <v>3.5000000000000001E-3</v>
      </c>
      <c r="M48">
        <v>0.02</v>
      </c>
      <c r="N48" s="2">
        <v>7.0000000000000001E-3</v>
      </c>
      <c r="O48" s="2">
        <v>0.04</v>
      </c>
    </row>
    <row r="49" spans="2:15">
      <c r="B49" t="s">
        <v>31</v>
      </c>
      <c r="C49" t="s">
        <v>32</v>
      </c>
      <c r="D49" t="s">
        <v>209</v>
      </c>
      <c r="E49" t="s">
        <v>210</v>
      </c>
      <c r="F49" t="s">
        <v>10</v>
      </c>
      <c r="G49" t="s">
        <v>209</v>
      </c>
      <c r="H49" t="s">
        <v>211</v>
      </c>
      <c r="I49" t="s">
        <v>27</v>
      </c>
      <c r="J49">
        <v>0</v>
      </c>
      <c r="K49">
        <v>7</v>
      </c>
      <c r="L49" s="2">
        <v>3.5000000000000001E-3</v>
      </c>
      <c r="M49">
        <v>0.02</v>
      </c>
      <c r="N49" s="2">
        <v>2.4500000000000001E-2</v>
      </c>
      <c r="O49" s="2">
        <v>0.14000000000000001</v>
      </c>
    </row>
    <row r="50" spans="2:15">
      <c r="B50" t="s">
        <v>31</v>
      </c>
      <c r="C50" t="s">
        <v>32</v>
      </c>
      <c r="D50" t="s">
        <v>212</v>
      </c>
      <c r="E50" t="s">
        <v>213</v>
      </c>
      <c r="F50" t="s">
        <v>10</v>
      </c>
      <c r="G50" t="s">
        <v>212</v>
      </c>
      <c r="H50" t="s">
        <v>214</v>
      </c>
      <c r="I50" t="s">
        <v>27</v>
      </c>
      <c r="J50">
        <v>0</v>
      </c>
      <c r="K50">
        <v>7</v>
      </c>
      <c r="L50" s="2">
        <v>3.5000000000000001E-3</v>
      </c>
      <c r="M50">
        <v>0.02</v>
      </c>
      <c r="N50" s="2">
        <v>2.4500000000000001E-2</v>
      </c>
      <c r="O50" s="2">
        <v>0.14000000000000001</v>
      </c>
    </row>
    <row r="51" spans="2:15">
      <c r="B51" t="s">
        <v>31</v>
      </c>
      <c r="C51" t="s">
        <v>32</v>
      </c>
      <c r="D51" t="s">
        <v>215</v>
      </c>
      <c r="E51" t="s">
        <v>216</v>
      </c>
      <c r="F51" t="s">
        <v>10</v>
      </c>
      <c r="G51" t="s">
        <v>215</v>
      </c>
      <c r="H51" t="s">
        <v>217</v>
      </c>
      <c r="I51" t="s">
        <v>27</v>
      </c>
      <c r="J51">
        <v>0</v>
      </c>
      <c r="K51">
        <v>66</v>
      </c>
      <c r="L51" s="2">
        <v>3.5000000000000001E-3</v>
      </c>
      <c r="M51">
        <v>0.02</v>
      </c>
      <c r="N51" s="2">
        <v>0.23100000000000001</v>
      </c>
      <c r="O51" s="2">
        <v>1.32</v>
      </c>
    </row>
    <row r="52" spans="2:15">
      <c r="B52" t="s">
        <v>31</v>
      </c>
      <c r="C52" t="s">
        <v>32</v>
      </c>
      <c r="D52" t="s">
        <v>401</v>
      </c>
      <c r="E52" t="s">
        <v>402</v>
      </c>
      <c r="F52" t="s">
        <v>10</v>
      </c>
      <c r="G52" t="s">
        <v>401</v>
      </c>
      <c r="H52" t="s">
        <v>403</v>
      </c>
      <c r="I52" t="s">
        <v>27</v>
      </c>
      <c r="J52">
        <v>0</v>
      </c>
      <c r="K52">
        <v>1</v>
      </c>
      <c r="L52" s="2">
        <v>3.5000000000000001E-3</v>
      </c>
      <c r="M52">
        <v>0.02</v>
      </c>
      <c r="N52" s="2">
        <v>3.5000000000000001E-3</v>
      </c>
      <c r="O52" s="2">
        <v>0.02</v>
      </c>
    </row>
    <row r="53" spans="2:15">
      <c r="B53" t="s">
        <v>31</v>
      </c>
      <c r="C53" t="s">
        <v>32</v>
      </c>
      <c r="D53" t="s">
        <v>218</v>
      </c>
      <c r="E53" t="s">
        <v>219</v>
      </c>
      <c r="F53" t="s">
        <v>10</v>
      </c>
      <c r="G53" t="s">
        <v>218</v>
      </c>
      <c r="H53" t="s">
        <v>220</v>
      </c>
      <c r="I53" t="s">
        <v>27</v>
      </c>
      <c r="J53">
        <v>0</v>
      </c>
      <c r="K53">
        <v>38</v>
      </c>
      <c r="L53" s="2">
        <v>3.5000000000000001E-3</v>
      </c>
      <c r="M53">
        <v>0.02</v>
      </c>
      <c r="N53" s="2">
        <v>0.13300000000000001</v>
      </c>
      <c r="O53" s="2">
        <v>0.76</v>
      </c>
    </row>
    <row r="54" spans="2:15">
      <c r="B54" t="s">
        <v>31</v>
      </c>
      <c r="C54" t="s">
        <v>32</v>
      </c>
      <c r="D54" t="s">
        <v>124</v>
      </c>
      <c r="E54" t="s">
        <v>125</v>
      </c>
      <c r="F54" t="s">
        <v>10</v>
      </c>
      <c r="G54" t="s">
        <v>124</v>
      </c>
      <c r="H54" t="s">
        <v>126</v>
      </c>
      <c r="I54" t="s">
        <v>27</v>
      </c>
      <c r="J54">
        <v>0</v>
      </c>
      <c r="K54">
        <v>209</v>
      </c>
      <c r="L54" s="2">
        <v>3.5000000000000001E-3</v>
      </c>
      <c r="M54">
        <v>0.02</v>
      </c>
      <c r="N54" s="2">
        <v>0.73150000000000004</v>
      </c>
      <c r="O54" s="2">
        <v>4.18</v>
      </c>
    </row>
    <row r="55" spans="2:15">
      <c r="B55" t="s">
        <v>31</v>
      </c>
      <c r="C55" t="s">
        <v>32</v>
      </c>
      <c r="D55" t="s">
        <v>221</v>
      </c>
      <c r="E55" t="s">
        <v>222</v>
      </c>
      <c r="F55" t="s">
        <v>10</v>
      </c>
      <c r="G55" t="s">
        <v>221</v>
      </c>
      <c r="H55" t="s">
        <v>223</v>
      </c>
      <c r="I55" t="s">
        <v>27</v>
      </c>
      <c r="J55">
        <v>0</v>
      </c>
      <c r="K55">
        <v>11</v>
      </c>
      <c r="L55" s="2">
        <v>3.5000000000000001E-3</v>
      </c>
      <c r="M55">
        <v>0.02</v>
      </c>
      <c r="N55" s="2">
        <v>3.85E-2</v>
      </c>
      <c r="O55" s="2">
        <v>0.22</v>
      </c>
    </row>
    <row r="56" spans="2:15">
      <c r="B56" t="s">
        <v>31</v>
      </c>
      <c r="C56" t="s">
        <v>32</v>
      </c>
      <c r="D56" t="s">
        <v>404</v>
      </c>
      <c r="E56" t="s">
        <v>405</v>
      </c>
      <c r="F56" t="s">
        <v>10</v>
      </c>
      <c r="G56" t="s">
        <v>404</v>
      </c>
      <c r="H56" t="s">
        <v>406</v>
      </c>
      <c r="I56" t="s">
        <v>27</v>
      </c>
      <c r="J56">
        <v>0</v>
      </c>
      <c r="K56">
        <v>1</v>
      </c>
      <c r="L56" s="2">
        <v>3.5000000000000001E-3</v>
      </c>
      <c r="M56">
        <v>0.02</v>
      </c>
      <c r="N56" s="2">
        <v>3.5000000000000001E-3</v>
      </c>
      <c r="O56" s="2">
        <v>0.02</v>
      </c>
    </row>
    <row r="57" spans="2:15">
      <c r="B57" t="s">
        <v>31</v>
      </c>
      <c r="C57" t="s">
        <v>32</v>
      </c>
      <c r="D57" t="s">
        <v>127</v>
      </c>
      <c r="E57" t="s">
        <v>128</v>
      </c>
      <c r="F57" t="s">
        <v>10</v>
      </c>
      <c r="G57" t="s">
        <v>127</v>
      </c>
      <c r="H57" t="s">
        <v>129</v>
      </c>
      <c r="I57" t="s">
        <v>27</v>
      </c>
      <c r="J57">
        <v>0</v>
      </c>
      <c r="K57">
        <v>57</v>
      </c>
      <c r="L57" s="2">
        <v>3.5000000000000001E-3</v>
      </c>
      <c r="M57">
        <v>0.02</v>
      </c>
      <c r="N57" s="2">
        <v>0.19950000000000001</v>
      </c>
      <c r="O57" s="2">
        <v>1.1400000000000001</v>
      </c>
    </row>
    <row r="58" spans="2:15">
      <c r="B58" t="s">
        <v>31</v>
      </c>
      <c r="C58" t="s">
        <v>32</v>
      </c>
      <c r="D58" t="s">
        <v>224</v>
      </c>
      <c r="E58" t="s">
        <v>225</v>
      </c>
      <c r="F58" t="s">
        <v>10</v>
      </c>
      <c r="G58" t="s">
        <v>224</v>
      </c>
      <c r="H58" t="s">
        <v>226</v>
      </c>
      <c r="I58" t="s">
        <v>27</v>
      </c>
      <c r="J58">
        <v>0</v>
      </c>
      <c r="K58">
        <v>5</v>
      </c>
      <c r="L58" s="2">
        <v>3.5000000000000001E-3</v>
      </c>
      <c r="M58">
        <v>0.02</v>
      </c>
      <c r="N58" s="2">
        <v>1.7500000000000002E-2</v>
      </c>
      <c r="O58" s="2">
        <v>0.1</v>
      </c>
    </row>
    <row r="59" spans="2:15">
      <c r="B59" t="s">
        <v>31</v>
      </c>
      <c r="C59" t="s">
        <v>32</v>
      </c>
      <c r="D59" t="s">
        <v>278</v>
      </c>
      <c r="E59" t="s">
        <v>279</v>
      </c>
      <c r="F59" t="s">
        <v>10</v>
      </c>
      <c r="G59" t="s">
        <v>278</v>
      </c>
      <c r="H59" t="s">
        <v>280</v>
      </c>
      <c r="I59" t="s">
        <v>27</v>
      </c>
      <c r="J59">
        <v>0</v>
      </c>
      <c r="K59">
        <v>110</v>
      </c>
      <c r="L59" s="2">
        <v>3.5000000000000001E-3</v>
      </c>
      <c r="M59">
        <v>0.02</v>
      </c>
      <c r="N59" s="2">
        <v>0.38500000000000001</v>
      </c>
      <c r="O59" s="2">
        <v>2.2000000000000002</v>
      </c>
    </row>
    <row r="60" spans="2:15">
      <c r="B60" t="s">
        <v>31</v>
      </c>
      <c r="C60" t="s">
        <v>32</v>
      </c>
      <c r="D60" t="s">
        <v>281</v>
      </c>
      <c r="E60" t="s">
        <v>282</v>
      </c>
      <c r="F60" t="s">
        <v>10</v>
      </c>
      <c r="G60" t="s">
        <v>281</v>
      </c>
      <c r="H60" t="s">
        <v>283</v>
      </c>
      <c r="I60" t="s">
        <v>27</v>
      </c>
      <c r="J60">
        <v>0</v>
      </c>
      <c r="K60">
        <v>1</v>
      </c>
      <c r="L60" s="2">
        <v>3.5000000000000001E-3</v>
      </c>
      <c r="M60">
        <v>0.02</v>
      </c>
      <c r="N60" s="2">
        <v>3.5000000000000001E-3</v>
      </c>
      <c r="O60" s="2">
        <v>0.02</v>
      </c>
    </row>
    <row r="61" spans="2:15">
      <c r="B61" t="s">
        <v>31</v>
      </c>
      <c r="C61" t="s">
        <v>32</v>
      </c>
      <c r="D61" t="s">
        <v>284</v>
      </c>
      <c r="E61" t="s">
        <v>285</v>
      </c>
      <c r="F61" t="s">
        <v>10</v>
      </c>
      <c r="G61" t="s">
        <v>284</v>
      </c>
      <c r="H61" t="s">
        <v>286</v>
      </c>
      <c r="I61" t="s">
        <v>27</v>
      </c>
      <c r="J61">
        <v>0</v>
      </c>
      <c r="K61">
        <v>73</v>
      </c>
      <c r="L61" s="2">
        <v>3.5000000000000001E-3</v>
      </c>
      <c r="M61">
        <v>0.02</v>
      </c>
      <c r="N61" s="2">
        <v>0.2555</v>
      </c>
      <c r="O61" s="2">
        <v>1.46</v>
      </c>
    </row>
    <row r="62" spans="2:15">
      <c r="B62" t="s">
        <v>31</v>
      </c>
      <c r="C62" t="s">
        <v>32</v>
      </c>
      <c r="D62" t="s">
        <v>287</v>
      </c>
      <c r="E62" t="s">
        <v>288</v>
      </c>
      <c r="F62" t="s">
        <v>10</v>
      </c>
      <c r="G62" t="s">
        <v>287</v>
      </c>
      <c r="H62" t="s">
        <v>289</v>
      </c>
      <c r="I62" t="s">
        <v>27</v>
      </c>
      <c r="J62">
        <v>0</v>
      </c>
      <c r="K62">
        <v>16</v>
      </c>
      <c r="L62" s="2">
        <v>3.5000000000000001E-3</v>
      </c>
      <c r="M62">
        <v>0.02</v>
      </c>
      <c r="N62" s="2">
        <v>5.6000000000000001E-2</v>
      </c>
      <c r="O62" s="2">
        <v>0.32</v>
      </c>
    </row>
    <row r="63" spans="2:15">
      <c r="B63" t="s">
        <v>31</v>
      </c>
      <c r="C63" t="s">
        <v>32</v>
      </c>
      <c r="D63" t="s">
        <v>290</v>
      </c>
      <c r="E63" t="s">
        <v>291</v>
      </c>
      <c r="F63" t="s">
        <v>10</v>
      </c>
      <c r="G63" t="s">
        <v>290</v>
      </c>
      <c r="H63" t="s">
        <v>292</v>
      </c>
      <c r="I63" t="s">
        <v>27</v>
      </c>
      <c r="J63">
        <v>0</v>
      </c>
      <c r="K63">
        <v>5</v>
      </c>
      <c r="L63" s="2">
        <v>3.5000000000000001E-3</v>
      </c>
      <c r="M63">
        <v>0.02</v>
      </c>
      <c r="N63" s="2">
        <v>1.7500000000000002E-2</v>
      </c>
      <c r="O63" s="2">
        <v>0.1</v>
      </c>
    </row>
    <row r="64" spans="2:15">
      <c r="B64" t="s">
        <v>31</v>
      </c>
      <c r="C64" t="s">
        <v>32</v>
      </c>
      <c r="D64" t="s">
        <v>293</v>
      </c>
      <c r="E64" t="s">
        <v>294</v>
      </c>
      <c r="F64" t="s">
        <v>10</v>
      </c>
      <c r="G64" t="s">
        <v>293</v>
      </c>
      <c r="H64" t="s">
        <v>295</v>
      </c>
      <c r="I64" t="s">
        <v>27</v>
      </c>
      <c r="J64">
        <v>0</v>
      </c>
      <c r="K64">
        <v>1</v>
      </c>
      <c r="L64" s="2">
        <v>3.5000000000000001E-3</v>
      </c>
      <c r="M64">
        <v>0.02</v>
      </c>
      <c r="N64" s="2">
        <v>3.5000000000000001E-3</v>
      </c>
      <c r="O64" s="2">
        <v>0.02</v>
      </c>
    </row>
    <row r="65" spans="2:15">
      <c r="B65" t="s">
        <v>31</v>
      </c>
      <c r="C65" t="s">
        <v>32</v>
      </c>
      <c r="D65" t="s">
        <v>296</v>
      </c>
      <c r="E65" t="s">
        <v>297</v>
      </c>
      <c r="F65" t="s">
        <v>10</v>
      </c>
      <c r="G65" t="s">
        <v>296</v>
      </c>
      <c r="H65" t="s">
        <v>298</v>
      </c>
      <c r="I65" t="s">
        <v>27</v>
      </c>
      <c r="J65">
        <v>0</v>
      </c>
      <c r="K65">
        <v>1</v>
      </c>
      <c r="L65" s="2">
        <v>3.5000000000000001E-3</v>
      </c>
      <c r="M65">
        <v>0.02</v>
      </c>
      <c r="N65" s="2">
        <v>3.5000000000000001E-3</v>
      </c>
      <c r="O65" s="2">
        <v>0.02</v>
      </c>
    </row>
    <row r="66" spans="2:15">
      <c r="B66" t="s">
        <v>31</v>
      </c>
      <c r="C66" t="s">
        <v>32</v>
      </c>
      <c r="D66" t="s">
        <v>299</v>
      </c>
      <c r="E66" t="s">
        <v>300</v>
      </c>
      <c r="F66" t="s">
        <v>10</v>
      </c>
      <c r="G66" t="s">
        <v>299</v>
      </c>
      <c r="H66" t="s">
        <v>301</v>
      </c>
      <c r="I66" t="s">
        <v>27</v>
      </c>
      <c r="J66">
        <v>0</v>
      </c>
      <c r="K66">
        <v>1</v>
      </c>
      <c r="L66" s="2">
        <v>3.5000000000000001E-3</v>
      </c>
      <c r="M66">
        <v>0.02</v>
      </c>
      <c r="N66" s="2">
        <v>3.5000000000000001E-3</v>
      </c>
      <c r="O66" s="2">
        <v>0.02</v>
      </c>
    </row>
    <row r="67" spans="2:15">
      <c r="B67" t="s">
        <v>31</v>
      </c>
      <c r="C67" t="s">
        <v>32</v>
      </c>
      <c r="D67" t="s">
        <v>407</v>
      </c>
      <c r="E67" t="s">
        <v>408</v>
      </c>
      <c r="F67" t="s">
        <v>10</v>
      </c>
      <c r="G67" t="s">
        <v>407</v>
      </c>
      <c r="H67" t="s">
        <v>409</v>
      </c>
      <c r="I67" t="s">
        <v>27</v>
      </c>
      <c r="J67">
        <v>0</v>
      </c>
      <c r="K67">
        <v>1</v>
      </c>
      <c r="L67" s="2">
        <v>3.5000000000000001E-3</v>
      </c>
      <c r="M67">
        <v>0.02</v>
      </c>
      <c r="N67" s="2">
        <v>3.5000000000000001E-3</v>
      </c>
      <c r="O67" s="2">
        <v>0.02</v>
      </c>
    </row>
    <row r="68" spans="2:15">
      <c r="B68" t="s">
        <v>31</v>
      </c>
      <c r="C68" t="s">
        <v>32</v>
      </c>
      <c r="D68" t="s">
        <v>371</v>
      </c>
      <c r="E68" t="s">
        <v>372</v>
      </c>
      <c r="F68" t="s">
        <v>10</v>
      </c>
      <c r="G68" t="s">
        <v>371</v>
      </c>
      <c r="H68" t="s">
        <v>373</v>
      </c>
      <c r="I68" t="s">
        <v>27</v>
      </c>
      <c r="J68">
        <v>0</v>
      </c>
      <c r="K68">
        <v>1</v>
      </c>
      <c r="L68" s="2">
        <v>3.5000000000000001E-3</v>
      </c>
      <c r="M68">
        <v>0.02</v>
      </c>
      <c r="N68" s="2">
        <v>3.5000000000000001E-3</v>
      </c>
      <c r="O68" s="2">
        <v>0.02</v>
      </c>
    </row>
    <row r="69" spans="2:15">
      <c r="B69" t="s">
        <v>31</v>
      </c>
      <c r="C69" t="s">
        <v>32</v>
      </c>
      <c r="D69" t="s">
        <v>33</v>
      </c>
      <c r="E69" t="s">
        <v>34</v>
      </c>
      <c r="F69" t="s">
        <v>10</v>
      </c>
      <c r="G69" t="s">
        <v>33</v>
      </c>
      <c r="H69" t="s">
        <v>35</v>
      </c>
      <c r="I69" t="s">
        <v>27</v>
      </c>
      <c r="J69">
        <v>0</v>
      </c>
      <c r="K69">
        <v>1</v>
      </c>
      <c r="L69" s="2">
        <v>3.5000000000000001E-3</v>
      </c>
      <c r="M69">
        <v>0.02</v>
      </c>
      <c r="N69" s="2">
        <v>3.5000000000000001E-3</v>
      </c>
      <c r="O69" s="2">
        <v>0.02</v>
      </c>
    </row>
    <row r="70" spans="2:15">
      <c r="B70" t="s">
        <v>31</v>
      </c>
      <c r="C70" t="s">
        <v>32</v>
      </c>
      <c r="D70" t="s">
        <v>130</v>
      </c>
      <c r="E70" t="s">
        <v>131</v>
      </c>
      <c r="F70" t="s">
        <v>10</v>
      </c>
      <c r="G70" t="s">
        <v>130</v>
      </c>
      <c r="H70" t="s">
        <v>132</v>
      </c>
      <c r="I70" t="s">
        <v>27</v>
      </c>
      <c r="J70">
        <v>0</v>
      </c>
      <c r="K70">
        <v>4</v>
      </c>
      <c r="L70" s="2">
        <v>3.5000000000000001E-3</v>
      </c>
      <c r="M70">
        <v>0.02</v>
      </c>
      <c r="N70" s="2">
        <v>1.4E-2</v>
      </c>
      <c r="O70" s="2">
        <v>0.08</v>
      </c>
    </row>
    <row r="71" spans="2:15">
      <c r="B71" t="s">
        <v>31</v>
      </c>
      <c r="C71" t="s">
        <v>32</v>
      </c>
      <c r="D71" t="s">
        <v>133</v>
      </c>
      <c r="E71" t="s">
        <v>134</v>
      </c>
      <c r="F71" t="s">
        <v>10</v>
      </c>
      <c r="G71" t="s">
        <v>133</v>
      </c>
      <c r="H71" t="s">
        <v>135</v>
      </c>
      <c r="I71" t="s">
        <v>27</v>
      </c>
      <c r="J71">
        <v>0</v>
      </c>
      <c r="K71">
        <v>24</v>
      </c>
      <c r="L71" s="2">
        <v>3.5000000000000001E-3</v>
      </c>
      <c r="M71">
        <v>0.02</v>
      </c>
      <c r="N71" s="2">
        <v>8.4000000000000005E-2</v>
      </c>
      <c r="O71" s="2">
        <v>0.48</v>
      </c>
    </row>
    <row r="72" spans="2:15">
      <c r="B72" t="s">
        <v>31</v>
      </c>
      <c r="C72" t="s">
        <v>32</v>
      </c>
      <c r="D72" t="s">
        <v>410</v>
      </c>
      <c r="E72" t="s">
        <v>411</v>
      </c>
      <c r="F72" t="s">
        <v>10</v>
      </c>
      <c r="G72" t="s">
        <v>410</v>
      </c>
      <c r="H72" t="s">
        <v>412</v>
      </c>
      <c r="I72" t="s">
        <v>27</v>
      </c>
      <c r="J72">
        <v>0</v>
      </c>
      <c r="K72">
        <v>1</v>
      </c>
      <c r="L72" s="2">
        <v>3.5000000000000001E-3</v>
      </c>
      <c r="M72">
        <v>0.02</v>
      </c>
      <c r="N72" s="2">
        <v>3.5000000000000001E-3</v>
      </c>
      <c r="O72" s="2">
        <v>0.02</v>
      </c>
    </row>
    <row r="73" spans="2:15">
      <c r="B73" t="s">
        <v>31</v>
      </c>
      <c r="C73" t="s">
        <v>32</v>
      </c>
      <c r="D73" t="s">
        <v>47</v>
      </c>
      <c r="E73" t="s">
        <v>48</v>
      </c>
      <c r="F73" t="s">
        <v>10</v>
      </c>
      <c r="G73" t="s">
        <v>47</v>
      </c>
      <c r="H73" t="s">
        <v>49</v>
      </c>
      <c r="I73" t="s">
        <v>27</v>
      </c>
      <c r="J73">
        <v>0</v>
      </c>
      <c r="K73">
        <v>3</v>
      </c>
      <c r="L73" s="2">
        <v>3.5000000000000001E-3</v>
      </c>
      <c r="M73">
        <v>0.02</v>
      </c>
      <c r="N73" s="2">
        <v>1.0500000000000001E-2</v>
      </c>
      <c r="O73" s="2">
        <v>0.06</v>
      </c>
    </row>
    <row r="74" spans="2:15">
      <c r="B74" t="s">
        <v>31</v>
      </c>
      <c r="C74" t="s">
        <v>32</v>
      </c>
      <c r="D74" t="s">
        <v>63</v>
      </c>
      <c r="E74" t="s">
        <v>64</v>
      </c>
      <c r="F74" t="s">
        <v>10</v>
      </c>
      <c r="G74" t="s">
        <v>63</v>
      </c>
      <c r="H74" t="s">
        <v>65</v>
      </c>
      <c r="I74" t="s">
        <v>27</v>
      </c>
      <c r="J74">
        <v>0</v>
      </c>
      <c r="K74">
        <v>16</v>
      </c>
      <c r="L74" s="2">
        <v>3.5000000000000001E-3</v>
      </c>
      <c r="M74">
        <v>0.02</v>
      </c>
      <c r="N74" s="2">
        <v>5.6000000000000001E-2</v>
      </c>
      <c r="O74" s="2">
        <v>0.32</v>
      </c>
    </row>
    <row r="75" spans="2:15">
      <c r="B75" t="s">
        <v>31</v>
      </c>
      <c r="C75" t="s">
        <v>32</v>
      </c>
      <c r="D75" t="s">
        <v>302</v>
      </c>
      <c r="E75" t="s">
        <v>303</v>
      </c>
      <c r="F75" t="s">
        <v>10</v>
      </c>
      <c r="G75" t="s">
        <v>302</v>
      </c>
      <c r="H75" t="s">
        <v>304</v>
      </c>
      <c r="I75" t="s">
        <v>27</v>
      </c>
      <c r="J75">
        <v>0</v>
      </c>
      <c r="K75">
        <v>2</v>
      </c>
      <c r="L75" s="2">
        <v>3.5000000000000001E-3</v>
      </c>
      <c r="M75">
        <v>0.02</v>
      </c>
      <c r="N75" s="2">
        <v>7.0000000000000001E-3</v>
      </c>
      <c r="O75" s="2">
        <v>0.04</v>
      </c>
    </row>
    <row r="76" spans="2:15">
      <c r="B76" t="s">
        <v>31</v>
      </c>
      <c r="C76" t="s">
        <v>32</v>
      </c>
      <c r="D76" t="s">
        <v>136</v>
      </c>
      <c r="E76" t="s">
        <v>137</v>
      </c>
      <c r="F76" t="s">
        <v>10</v>
      </c>
      <c r="G76" t="s">
        <v>136</v>
      </c>
      <c r="H76" t="s">
        <v>138</v>
      </c>
      <c r="I76" t="s">
        <v>27</v>
      </c>
      <c r="J76">
        <v>0</v>
      </c>
      <c r="K76">
        <v>1</v>
      </c>
      <c r="L76" s="2">
        <v>3.5000000000000001E-3</v>
      </c>
      <c r="M76">
        <v>0.02</v>
      </c>
      <c r="N76" s="2">
        <v>3.5000000000000001E-3</v>
      </c>
      <c r="O76" s="2">
        <v>0.02</v>
      </c>
    </row>
    <row r="77" spans="2:15">
      <c r="B77" t="s">
        <v>31</v>
      </c>
      <c r="C77" t="s">
        <v>32</v>
      </c>
      <c r="D77" t="s">
        <v>374</v>
      </c>
      <c r="E77" t="s">
        <v>375</v>
      </c>
      <c r="F77" t="s">
        <v>10</v>
      </c>
      <c r="G77" t="s">
        <v>374</v>
      </c>
      <c r="H77" t="s">
        <v>376</v>
      </c>
      <c r="I77" t="s">
        <v>27</v>
      </c>
      <c r="J77">
        <v>0</v>
      </c>
      <c r="K77">
        <v>1</v>
      </c>
      <c r="L77" s="2">
        <v>3.5000000000000001E-3</v>
      </c>
      <c r="M77">
        <v>0.02</v>
      </c>
      <c r="N77" s="2">
        <v>3.5000000000000001E-3</v>
      </c>
      <c r="O77" s="2">
        <v>0.02</v>
      </c>
    </row>
    <row r="78" spans="2:15">
      <c r="B78" t="s">
        <v>31</v>
      </c>
      <c r="C78" t="s">
        <v>32</v>
      </c>
      <c r="D78" t="s">
        <v>227</v>
      </c>
      <c r="E78" t="s">
        <v>228</v>
      </c>
      <c r="F78" t="s">
        <v>10</v>
      </c>
      <c r="G78" t="s">
        <v>227</v>
      </c>
      <c r="H78" t="s">
        <v>229</v>
      </c>
      <c r="I78" t="s">
        <v>27</v>
      </c>
      <c r="J78">
        <v>0</v>
      </c>
      <c r="K78">
        <v>9</v>
      </c>
      <c r="L78" s="2">
        <v>3.5000000000000001E-3</v>
      </c>
      <c r="M78">
        <v>0.02</v>
      </c>
      <c r="N78" s="2">
        <v>3.15E-2</v>
      </c>
      <c r="O78" s="2">
        <v>0.18</v>
      </c>
    </row>
    <row r="79" spans="2:15">
      <c r="B79" t="s">
        <v>31</v>
      </c>
      <c r="C79" t="s">
        <v>32</v>
      </c>
      <c r="D79" t="s">
        <v>305</v>
      </c>
      <c r="E79" t="s">
        <v>306</v>
      </c>
      <c r="F79" t="s">
        <v>10</v>
      </c>
      <c r="G79" t="s">
        <v>305</v>
      </c>
      <c r="H79" t="s">
        <v>307</v>
      </c>
      <c r="I79" t="s">
        <v>27</v>
      </c>
      <c r="J79">
        <v>0</v>
      </c>
      <c r="K79">
        <v>2068</v>
      </c>
      <c r="L79" s="2">
        <v>3.5000000000000001E-3</v>
      </c>
      <c r="M79">
        <v>0.02</v>
      </c>
      <c r="N79" s="2">
        <v>7.2380000000000004</v>
      </c>
      <c r="O79" s="2">
        <v>41.36</v>
      </c>
    </row>
    <row r="80" spans="2:15">
      <c r="B80" t="s">
        <v>31</v>
      </c>
      <c r="C80" t="s">
        <v>32</v>
      </c>
      <c r="D80" t="s">
        <v>308</v>
      </c>
      <c r="E80" t="s">
        <v>309</v>
      </c>
      <c r="F80" t="s">
        <v>10</v>
      </c>
      <c r="G80" t="s">
        <v>308</v>
      </c>
      <c r="H80" t="s">
        <v>310</v>
      </c>
      <c r="I80" t="s">
        <v>27</v>
      </c>
      <c r="J80">
        <v>0</v>
      </c>
      <c r="K80">
        <v>13</v>
      </c>
      <c r="L80" s="2">
        <v>3.5000000000000001E-3</v>
      </c>
      <c r="M80">
        <v>0.02</v>
      </c>
      <c r="N80" s="2">
        <v>4.5499999999999999E-2</v>
      </c>
      <c r="O80" s="2">
        <v>0.26</v>
      </c>
    </row>
    <row r="81" spans="2:15">
      <c r="B81" t="s">
        <v>31</v>
      </c>
      <c r="C81" t="s">
        <v>32</v>
      </c>
      <c r="D81" t="s">
        <v>311</v>
      </c>
      <c r="E81" t="s">
        <v>312</v>
      </c>
      <c r="F81" t="s">
        <v>10</v>
      </c>
      <c r="G81" t="s">
        <v>311</v>
      </c>
      <c r="H81" t="s">
        <v>313</v>
      </c>
      <c r="I81" t="s">
        <v>27</v>
      </c>
      <c r="J81">
        <v>0</v>
      </c>
      <c r="K81">
        <v>13</v>
      </c>
      <c r="L81" s="2">
        <v>3.5000000000000001E-3</v>
      </c>
      <c r="M81">
        <v>0.02</v>
      </c>
      <c r="N81" s="2">
        <v>4.5499999999999999E-2</v>
      </c>
      <c r="O81" s="2">
        <v>0.26</v>
      </c>
    </row>
    <row r="82" spans="2:15">
      <c r="B82" t="s">
        <v>31</v>
      </c>
      <c r="C82" t="s">
        <v>32</v>
      </c>
      <c r="D82" t="s">
        <v>66</v>
      </c>
      <c r="E82" t="s">
        <v>67</v>
      </c>
      <c r="F82" t="s">
        <v>10</v>
      </c>
      <c r="G82" t="s">
        <v>66</v>
      </c>
      <c r="H82" t="s">
        <v>68</v>
      </c>
      <c r="I82" t="s">
        <v>27</v>
      </c>
      <c r="J82">
        <v>0</v>
      </c>
      <c r="K82">
        <v>1</v>
      </c>
      <c r="L82" s="2">
        <v>3.5000000000000001E-3</v>
      </c>
      <c r="M82">
        <v>0.02</v>
      </c>
      <c r="N82" s="2">
        <v>3.5000000000000001E-3</v>
      </c>
      <c r="O82" s="2">
        <v>0.02</v>
      </c>
    </row>
    <row r="83" spans="2:15">
      <c r="B83" t="s">
        <v>31</v>
      </c>
      <c r="C83" t="s">
        <v>32</v>
      </c>
      <c r="D83" t="s">
        <v>314</v>
      </c>
      <c r="E83" t="s">
        <v>315</v>
      </c>
      <c r="F83" t="s">
        <v>10</v>
      </c>
      <c r="G83" t="s">
        <v>314</v>
      </c>
      <c r="H83" t="s">
        <v>316</v>
      </c>
      <c r="I83" t="s">
        <v>27</v>
      </c>
      <c r="J83">
        <v>0</v>
      </c>
      <c r="K83">
        <v>4</v>
      </c>
      <c r="L83" s="2">
        <v>3.5000000000000001E-3</v>
      </c>
      <c r="M83">
        <v>0.02</v>
      </c>
      <c r="N83" s="2">
        <v>1.4E-2</v>
      </c>
      <c r="O83" s="2">
        <v>0.08</v>
      </c>
    </row>
    <row r="84" spans="2:15">
      <c r="B84" t="s">
        <v>31</v>
      </c>
      <c r="C84" t="s">
        <v>32</v>
      </c>
      <c r="D84" t="s">
        <v>69</v>
      </c>
      <c r="E84" t="s">
        <v>70</v>
      </c>
      <c r="F84" t="s">
        <v>10</v>
      </c>
      <c r="G84" t="s">
        <v>69</v>
      </c>
      <c r="H84" t="s">
        <v>71</v>
      </c>
      <c r="I84" t="s">
        <v>27</v>
      </c>
      <c r="J84">
        <v>0</v>
      </c>
      <c r="K84">
        <v>1</v>
      </c>
      <c r="L84" s="2">
        <v>3.5000000000000001E-3</v>
      </c>
      <c r="M84">
        <v>0.02</v>
      </c>
      <c r="N84" s="2">
        <v>3.5000000000000001E-3</v>
      </c>
      <c r="O84" s="2">
        <v>0.02</v>
      </c>
    </row>
    <row r="85" spans="2:15">
      <c r="B85" t="s">
        <v>36</v>
      </c>
      <c r="C85" t="s">
        <v>139</v>
      </c>
      <c r="D85" t="s">
        <v>377</v>
      </c>
      <c r="E85" t="s">
        <v>378</v>
      </c>
      <c r="F85" t="s">
        <v>12</v>
      </c>
      <c r="G85" t="s">
        <v>377</v>
      </c>
      <c r="H85" t="s">
        <v>379</v>
      </c>
      <c r="I85" t="s">
        <v>27</v>
      </c>
      <c r="J85">
        <v>1</v>
      </c>
      <c r="K85">
        <v>0</v>
      </c>
      <c r="L85" s="2">
        <v>3.8199999999999998E-2</v>
      </c>
      <c r="M85">
        <v>0.09</v>
      </c>
      <c r="N85" s="2">
        <v>3.82E-5</v>
      </c>
      <c r="O85" s="2">
        <v>8.9999999999999992E-5</v>
      </c>
    </row>
    <row r="86" spans="2:15">
      <c r="B86" t="s">
        <v>36</v>
      </c>
      <c r="C86" t="s">
        <v>139</v>
      </c>
      <c r="D86" t="s">
        <v>380</v>
      </c>
      <c r="E86" t="s">
        <v>381</v>
      </c>
      <c r="F86" t="s">
        <v>12</v>
      </c>
      <c r="G86" t="s">
        <v>380</v>
      </c>
      <c r="H86" t="s">
        <v>382</v>
      </c>
      <c r="I86" t="s">
        <v>27</v>
      </c>
      <c r="J86">
        <v>3</v>
      </c>
      <c r="K86">
        <v>0</v>
      </c>
      <c r="L86" s="2">
        <v>3.8199999999999998E-2</v>
      </c>
      <c r="M86">
        <v>0.09</v>
      </c>
      <c r="N86" s="2">
        <v>1.1459999999999999E-4</v>
      </c>
      <c r="O86" s="2">
        <v>2.7E-4</v>
      </c>
    </row>
    <row r="87" spans="2:15">
      <c r="B87" t="s">
        <v>36</v>
      </c>
      <c r="C87" t="s">
        <v>37</v>
      </c>
      <c r="D87" t="s">
        <v>413</v>
      </c>
      <c r="E87" t="s">
        <v>414</v>
      </c>
      <c r="F87" t="s">
        <v>10</v>
      </c>
      <c r="G87" t="s">
        <v>413</v>
      </c>
      <c r="H87" t="s">
        <v>415</v>
      </c>
      <c r="I87" t="s">
        <v>27</v>
      </c>
      <c r="J87">
        <v>0</v>
      </c>
      <c r="K87">
        <v>1</v>
      </c>
      <c r="L87" s="2">
        <v>3.5000000000000001E-3</v>
      </c>
      <c r="M87">
        <v>0.02</v>
      </c>
      <c r="N87" s="2">
        <v>3.5000000000000001E-3</v>
      </c>
      <c r="O87" s="2">
        <v>0.02</v>
      </c>
    </row>
    <row r="88" spans="2:15">
      <c r="B88" t="s">
        <v>36</v>
      </c>
      <c r="C88" t="s">
        <v>41</v>
      </c>
      <c r="D88" t="s">
        <v>416</v>
      </c>
      <c r="E88" t="s">
        <v>417</v>
      </c>
      <c r="F88" t="s">
        <v>10</v>
      </c>
      <c r="G88" t="s">
        <v>416</v>
      </c>
      <c r="H88" t="s">
        <v>418</v>
      </c>
      <c r="I88" t="s">
        <v>27</v>
      </c>
      <c r="J88">
        <v>0</v>
      </c>
      <c r="K88">
        <v>1</v>
      </c>
      <c r="L88" s="2">
        <v>3.5000000000000001E-3</v>
      </c>
      <c r="M88">
        <v>0.02</v>
      </c>
      <c r="N88" s="2">
        <v>3.5000000000000001E-3</v>
      </c>
      <c r="O88" s="2">
        <v>0.02</v>
      </c>
    </row>
    <row r="89" spans="2:15">
      <c r="B89" t="s">
        <v>36</v>
      </c>
      <c r="C89" t="s">
        <v>41</v>
      </c>
      <c r="D89" t="s">
        <v>419</v>
      </c>
      <c r="E89" t="s">
        <v>420</v>
      </c>
      <c r="F89" t="s">
        <v>10</v>
      </c>
      <c r="G89" t="s">
        <v>419</v>
      </c>
      <c r="H89" t="s">
        <v>421</v>
      </c>
      <c r="I89" t="s">
        <v>27</v>
      </c>
      <c r="J89">
        <v>0</v>
      </c>
      <c r="K89">
        <v>2</v>
      </c>
      <c r="L89" s="2">
        <v>3.5000000000000001E-3</v>
      </c>
      <c r="M89">
        <v>0.02</v>
      </c>
      <c r="N89" s="2">
        <v>7.0000000000000001E-3</v>
      </c>
      <c r="O89" s="2">
        <v>0.04</v>
      </c>
    </row>
    <row r="90" spans="2:15">
      <c r="B90" t="s">
        <v>36</v>
      </c>
      <c r="C90" t="s">
        <v>41</v>
      </c>
      <c r="D90" t="s">
        <v>317</v>
      </c>
      <c r="E90" t="s">
        <v>318</v>
      </c>
      <c r="F90" t="s">
        <v>10</v>
      </c>
      <c r="G90" t="s">
        <v>317</v>
      </c>
      <c r="H90" t="s">
        <v>319</v>
      </c>
      <c r="I90" t="s">
        <v>27</v>
      </c>
      <c r="J90">
        <v>0</v>
      </c>
      <c r="K90">
        <v>2</v>
      </c>
      <c r="L90" s="2">
        <v>3.5000000000000001E-3</v>
      </c>
      <c r="M90">
        <v>0.02</v>
      </c>
      <c r="N90" s="2">
        <v>7.0000000000000001E-3</v>
      </c>
      <c r="O90" s="2">
        <v>0.04</v>
      </c>
    </row>
    <row r="91" spans="2:15">
      <c r="B91" t="s">
        <v>36</v>
      </c>
      <c r="C91" t="s">
        <v>41</v>
      </c>
      <c r="D91" t="s">
        <v>320</v>
      </c>
      <c r="E91" t="s">
        <v>321</v>
      </c>
      <c r="F91" t="s">
        <v>10</v>
      </c>
      <c r="G91" t="s">
        <v>320</v>
      </c>
      <c r="H91" t="s">
        <v>322</v>
      </c>
      <c r="I91" t="s">
        <v>27</v>
      </c>
      <c r="J91">
        <v>0</v>
      </c>
      <c r="K91">
        <v>1</v>
      </c>
      <c r="L91" s="2">
        <v>3.5000000000000001E-3</v>
      </c>
      <c r="M91">
        <v>0.02</v>
      </c>
      <c r="N91" s="2">
        <v>3.5000000000000001E-3</v>
      </c>
      <c r="O91" s="2">
        <v>0.02</v>
      </c>
    </row>
    <row r="92" spans="2:15">
      <c r="B92" t="s">
        <v>36</v>
      </c>
      <c r="C92" t="s">
        <v>41</v>
      </c>
      <c r="D92" t="s">
        <v>323</v>
      </c>
      <c r="E92" t="s">
        <v>324</v>
      </c>
      <c r="F92" t="s">
        <v>10</v>
      </c>
      <c r="G92" t="s">
        <v>323</v>
      </c>
      <c r="H92" t="s">
        <v>325</v>
      </c>
      <c r="I92" t="s">
        <v>27</v>
      </c>
      <c r="J92">
        <v>0</v>
      </c>
      <c r="K92">
        <v>1</v>
      </c>
      <c r="L92" s="2">
        <v>3.5000000000000001E-3</v>
      </c>
      <c r="M92">
        <v>0.02</v>
      </c>
      <c r="N92" s="2">
        <v>3.5000000000000001E-3</v>
      </c>
      <c r="O92" s="2">
        <v>0.02</v>
      </c>
    </row>
    <row r="93" spans="2:15">
      <c r="B93" t="s">
        <v>36</v>
      </c>
      <c r="C93" t="s">
        <v>41</v>
      </c>
      <c r="D93" t="s">
        <v>326</v>
      </c>
      <c r="E93" t="s">
        <v>327</v>
      </c>
      <c r="F93" t="s">
        <v>10</v>
      </c>
      <c r="G93" t="s">
        <v>326</v>
      </c>
      <c r="H93" t="s">
        <v>328</v>
      </c>
      <c r="I93" t="s">
        <v>27</v>
      </c>
      <c r="J93">
        <v>0</v>
      </c>
      <c r="K93">
        <v>2</v>
      </c>
      <c r="L93" s="2">
        <v>3.5000000000000001E-3</v>
      </c>
      <c r="M93">
        <v>0.02</v>
      </c>
      <c r="N93" s="2">
        <v>7.0000000000000001E-3</v>
      </c>
      <c r="O93" s="2">
        <v>0.04</v>
      </c>
    </row>
    <row r="94" spans="2:15">
      <c r="B94" t="s">
        <v>36</v>
      </c>
      <c r="C94" t="s">
        <v>41</v>
      </c>
      <c r="D94" t="s">
        <v>329</v>
      </c>
      <c r="E94" t="s">
        <v>330</v>
      </c>
      <c r="F94" t="s">
        <v>10</v>
      </c>
      <c r="G94" t="s">
        <v>329</v>
      </c>
      <c r="H94" t="s">
        <v>331</v>
      </c>
      <c r="I94" t="s">
        <v>27</v>
      </c>
      <c r="J94">
        <v>0</v>
      </c>
      <c r="K94">
        <v>14</v>
      </c>
      <c r="L94" s="2">
        <v>3.5000000000000001E-3</v>
      </c>
      <c r="M94">
        <v>0.02</v>
      </c>
      <c r="N94" s="2">
        <v>4.9000000000000002E-2</v>
      </c>
      <c r="O94" s="2">
        <v>0.28000000000000003</v>
      </c>
    </row>
    <row r="95" spans="2:15">
      <c r="B95" t="s">
        <v>36</v>
      </c>
      <c r="C95" t="s">
        <v>41</v>
      </c>
      <c r="D95" t="s">
        <v>332</v>
      </c>
      <c r="E95" t="s">
        <v>333</v>
      </c>
      <c r="F95" t="s">
        <v>10</v>
      </c>
      <c r="G95" t="s">
        <v>332</v>
      </c>
      <c r="H95" t="s">
        <v>334</v>
      </c>
      <c r="I95" t="s">
        <v>27</v>
      </c>
      <c r="J95">
        <v>0</v>
      </c>
      <c r="K95">
        <v>1</v>
      </c>
      <c r="L95" s="2">
        <v>3.5000000000000001E-3</v>
      </c>
      <c r="M95">
        <v>0.02</v>
      </c>
      <c r="N95" s="2">
        <v>3.5000000000000001E-3</v>
      </c>
      <c r="O95" s="2">
        <v>0.02</v>
      </c>
    </row>
    <row r="96" spans="2:15">
      <c r="B96" t="s">
        <v>36</v>
      </c>
      <c r="C96" t="s">
        <v>41</v>
      </c>
      <c r="D96" t="s">
        <v>335</v>
      </c>
      <c r="E96" t="s">
        <v>336</v>
      </c>
      <c r="F96" t="s">
        <v>10</v>
      </c>
      <c r="G96" t="s">
        <v>335</v>
      </c>
      <c r="H96" t="s">
        <v>337</v>
      </c>
      <c r="I96" t="s">
        <v>27</v>
      </c>
      <c r="J96">
        <v>0</v>
      </c>
      <c r="K96">
        <v>2</v>
      </c>
      <c r="L96" s="2">
        <v>3.5000000000000001E-3</v>
      </c>
      <c r="M96">
        <v>0.02</v>
      </c>
      <c r="N96" s="2">
        <v>7.0000000000000001E-3</v>
      </c>
      <c r="O96" s="2">
        <v>0.04</v>
      </c>
    </row>
    <row r="97" spans="2:15">
      <c r="B97" t="s">
        <v>36</v>
      </c>
      <c r="C97" t="s">
        <v>44</v>
      </c>
      <c r="D97" t="s">
        <v>338</v>
      </c>
      <c r="E97" t="s">
        <v>339</v>
      </c>
      <c r="F97" t="s">
        <v>10</v>
      </c>
      <c r="G97" t="s">
        <v>338</v>
      </c>
      <c r="H97" t="s">
        <v>340</v>
      </c>
      <c r="I97" t="s">
        <v>27</v>
      </c>
      <c r="J97">
        <v>0</v>
      </c>
      <c r="K97">
        <v>2</v>
      </c>
      <c r="L97" s="2">
        <v>3.5000000000000001E-3</v>
      </c>
      <c r="M97">
        <v>0.02</v>
      </c>
      <c r="N97" s="2">
        <v>7.0000000000000001E-3</v>
      </c>
      <c r="O97" s="2">
        <v>0.04</v>
      </c>
    </row>
    <row r="98" spans="2:15">
      <c r="B98" t="s">
        <v>36</v>
      </c>
      <c r="C98" t="s">
        <v>422</v>
      </c>
      <c r="D98" t="s">
        <v>423</v>
      </c>
      <c r="E98" t="s">
        <v>424</v>
      </c>
      <c r="F98" t="s">
        <v>12</v>
      </c>
      <c r="G98" t="s">
        <v>423</v>
      </c>
      <c r="H98" t="s">
        <v>425</v>
      </c>
      <c r="I98" t="s">
        <v>27</v>
      </c>
      <c r="J98">
        <v>1</v>
      </c>
      <c r="K98">
        <v>0</v>
      </c>
      <c r="L98" s="2">
        <v>3.8199999999999998E-2</v>
      </c>
      <c r="M98">
        <v>0.09</v>
      </c>
      <c r="N98" s="2">
        <v>3.82E-5</v>
      </c>
      <c r="O98" s="2">
        <v>8.9999999999999992E-5</v>
      </c>
    </row>
    <row r="99" spans="2:15">
      <c r="B99" t="s">
        <v>36</v>
      </c>
      <c r="C99" t="s">
        <v>422</v>
      </c>
      <c r="D99" t="s">
        <v>426</v>
      </c>
      <c r="E99" t="s">
        <v>427</v>
      </c>
      <c r="F99" t="s">
        <v>12</v>
      </c>
      <c r="G99" t="s">
        <v>426</v>
      </c>
      <c r="H99" t="s">
        <v>428</v>
      </c>
      <c r="I99" t="s">
        <v>27</v>
      </c>
      <c r="J99">
        <v>1</v>
      </c>
      <c r="K99">
        <v>0</v>
      </c>
      <c r="L99" s="2">
        <v>3.8199999999999998E-2</v>
      </c>
      <c r="M99">
        <v>0.09</v>
      </c>
      <c r="N99" s="2">
        <v>3.82E-5</v>
      </c>
      <c r="O99" s="2">
        <v>8.9999999999999992E-5</v>
      </c>
    </row>
    <row r="100" spans="2:15">
      <c r="B100" t="s">
        <v>36</v>
      </c>
      <c r="C100" t="s">
        <v>42</v>
      </c>
      <c r="D100" t="s">
        <v>140</v>
      </c>
      <c r="E100" t="s">
        <v>141</v>
      </c>
      <c r="F100" t="s">
        <v>12</v>
      </c>
      <c r="G100" t="s">
        <v>140</v>
      </c>
      <c r="H100" t="s">
        <v>142</v>
      </c>
      <c r="I100" t="s">
        <v>27</v>
      </c>
      <c r="J100">
        <v>1</v>
      </c>
      <c r="K100">
        <v>0</v>
      </c>
      <c r="L100" s="2">
        <v>3.8199999999999998E-2</v>
      </c>
      <c r="M100">
        <v>0.09</v>
      </c>
      <c r="N100" s="2">
        <v>3.82E-5</v>
      </c>
      <c r="O100" s="2">
        <v>8.9999999999999992E-5</v>
      </c>
    </row>
    <row r="101" spans="2:15">
      <c r="B101" t="s">
        <v>36</v>
      </c>
      <c r="C101" t="s">
        <v>42</v>
      </c>
      <c r="D101" t="s">
        <v>429</v>
      </c>
      <c r="E101" t="s">
        <v>430</v>
      </c>
      <c r="F101" t="s">
        <v>12</v>
      </c>
      <c r="G101" t="s">
        <v>429</v>
      </c>
      <c r="H101" t="s">
        <v>431</v>
      </c>
      <c r="I101" t="s">
        <v>27</v>
      </c>
      <c r="J101">
        <v>4</v>
      </c>
      <c r="K101">
        <v>0</v>
      </c>
      <c r="L101" s="2">
        <v>3.8199999999999998E-2</v>
      </c>
      <c r="M101">
        <v>0.09</v>
      </c>
      <c r="N101" s="2">
        <v>1.528E-4</v>
      </c>
      <c r="O101" s="2">
        <v>3.5999999999999997E-4</v>
      </c>
    </row>
    <row r="102" spans="2:15">
      <c r="B102" t="s">
        <v>36</v>
      </c>
      <c r="C102" t="s">
        <v>42</v>
      </c>
      <c r="D102" t="s">
        <v>143</v>
      </c>
      <c r="E102" t="s">
        <v>144</v>
      </c>
      <c r="F102" t="s">
        <v>10</v>
      </c>
      <c r="G102" t="s">
        <v>143</v>
      </c>
      <c r="H102" t="s">
        <v>145</v>
      </c>
      <c r="I102" t="s">
        <v>27</v>
      </c>
      <c r="J102">
        <v>0</v>
      </c>
      <c r="K102">
        <v>1</v>
      </c>
      <c r="L102" s="2">
        <v>3.5000000000000001E-3</v>
      </c>
      <c r="M102">
        <v>0.02</v>
      </c>
      <c r="N102" s="2">
        <v>3.5000000000000001E-3</v>
      </c>
      <c r="O102" s="2">
        <v>0.02</v>
      </c>
    </row>
    <row r="103" spans="2:15">
      <c r="B103" t="s">
        <v>36</v>
      </c>
      <c r="C103" t="s">
        <v>42</v>
      </c>
      <c r="D103" t="s">
        <v>146</v>
      </c>
      <c r="E103" t="s">
        <v>147</v>
      </c>
      <c r="F103" t="s">
        <v>10</v>
      </c>
      <c r="G103" t="s">
        <v>146</v>
      </c>
      <c r="H103" t="s">
        <v>148</v>
      </c>
      <c r="I103" t="s">
        <v>27</v>
      </c>
      <c r="J103">
        <v>3</v>
      </c>
      <c r="K103">
        <v>10</v>
      </c>
      <c r="L103" s="2">
        <v>3.5000000000000001E-3</v>
      </c>
      <c r="M103">
        <v>0.02</v>
      </c>
      <c r="N103" s="2">
        <v>3.5000000000000003E-2</v>
      </c>
      <c r="O103" s="2">
        <v>0.2</v>
      </c>
    </row>
    <row r="104" spans="2:15">
      <c r="B104" t="s">
        <v>36</v>
      </c>
      <c r="C104" t="s">
        <v>50</v>
      </c>
      <c r="D104" t="s">
        <v>72</v>
      </c>
      <c r="E104" t="s">
        <v>73</v>
      </c>
      <c r="F104" t="s">
        <v>10</v>
      </c>
      <c r="G104" t="s">
        <v>72</v>
      </c>
      <c r="H104" t="s">
        <v>74</v>
      </c>
      <c r="I104" t="s">
        <v>27</v>
      </c>
      <c r="J104">
        <v>0</v>
      </c>
      <c r="K104">
        <v>1</v>
      </c>
      <c r="L104" s="2">
        <v>3.5000000000000001E-3</v>
      </c>
      <c r="M104">
        <v>0.02</v>
      </c>
      <c r="N104" s="2">
        <v>3.5000000000000001E-3</v>
      </c>
      <c r="O104" s="2">
        <v>0.02</v>
      </c>
    </row>
    <row r="105" spans="2:15">
      <c r="B105" t="s">
        <v>36</v>
      </c>
      <c r="C105" t="s">
        <v>50</v>
      </c>
      <c r="D105" t="s">
        <v>432</v>
      </c>
      <c r="E105" t="s">
        <v>433</v>
      </c>
      <c r="F105" t="s">
        <v>10</v>
      </c>
      <c r="G105" t="s">
        <v>432</v>
      </c>
      <c r="H105" t="s">
        <v>434</v>
      </c>
      <c r="I105" t="s">
        <v>27</v>
      </c>
      <c r="J105">
        <v>0</v>
      </c>
      <c r="K105">
        <v>4</v>
      </c>
      <c r="L105" s="2">
        <v>3.5000000000000001E-3</v>
      </c>
      <c r="M105">
        <v>0.02</v>
      </c>
      <c r="N105" s="2">
        <v>1.4E-2</v>
      </c>
      <c r="O105" s="2">
        <v>0.08</v>
      </c>
    </row>
    <row r="106" spans="2:15">
      <c r="B106" t="s">
        <v>36</v>
      </c>
      <c r="C106" t="s">
        <v>43</v>
      </c>
      <c r="D106" t="s">
        <v>75</v>
      </c>
      <c r="E106" t="s">
        <v>76</v>
      </c>
      <c r="F106" t="s">
        <v>10</v>
      </c>
      <c r="G106" t="s">
        <v>75</v>
      </c>
      <c r="H106" t="s">
        <v>77</v>
      </c>
      <c r="I106" t="s">
        <v>27</v>
      </c>
      <c r="J106">
        <v>0</v>
      </c>
      <c r="K106">
        <v>6</v>
      </c>
      <c r="L106" s="2">
        <v>3.5000000000000001E-3</v>
      </c>
      <c r="M106">
        <v>0.02</v>
      </c>
      <c r="N106" s="2">
        <v>2.1000000000000001E-2</v>
      </c>
      <c r="O106" s="2">
        <v>0.12</v>
      </c>
    </row>
    <row r="107" spans="2:15">
      <c r="B107" t="s">
        <v>36</v>
      </c>
      <c r="C107" t="s">
        <v>43</v>
      </c>
      <c r="D107" t="s">
        <v>78</v>
      </c>
      <c r="E107" t="s">
        <v>79</v>
      </c>
      <c r="F107" t="s">
        <v>10</v>
      </c>
      <c r="G107" t="s">
        <v>78</v>
      </c>
      <c r="H107" t="s">
        <v>80</v>
      </c>
      <c r="I107" t="s">
        <v>27</v>
      </c>
      <c r="J107">
        <v>0</v>
      </c>
      <c r="K107">
        <v>4</v>
      </c>
      <c r="L107" s="2">
        <v>3.5000000000000001E-3</v>
      </c>
      <c r="M107">
        <v>0.02</v>
      </c>
      <c r="N107" s="2">
        <v>1.4E-2</v>
      </c>
      <c r="O107" s="2">
        <v>0.08</v>
      </c>
    </row>
    <row r="108" spans="2:15">
      <c r="B108" t="s">
        <v>36</v>
      </c>
      <c r="C108" t="s">
        <v>43</v>
      </c>
      <c r="D108" t="s">
        <v>81</v>
      </c>
      <c r="E108" t="s">
        <v>82</v>
      </c>
      <c r="F108" t="s">
        <v>10</v>
      </c>
      <c r="G108" t="s">
        <v>81</v>
      </c>
      <c r="H108" t="s">
        <v>83</v>
      </c>
      <c r="I108" t="s">
        <v>27</v>
      </c>
      <c r="J108">
        <v>0</v>
      </c>
      <c r="K108">
        <v>4</v>
      </c>
      <c r="L108" s="2">
        <v>3.5000000000000001E-3</v>
      </c>
      <c r="M108">
        <v>0.02</v>
      </c>
      <c r="N108" s="2">
        <v>1.4E-2</v>
      </c>
      <c r="O108" s="2">
        <v>0.08</v>
      </c>
    </row>
    <row r="109" spans="2:15">
      <c r="B109" t="s">
        <v>36</v>
      </c>
      <c r="C109" t="s">
        <v>43</v>
      </c>
      <c r="D109" t="s">
        <v>435</v>
      </c>
      <c r="E109" t="s">
        <v>436</v>
      </c>
      <c r="F109" t="s">
        <v>10</v>
      </c>
      <c r="G109" t="s">
        <v>435</v>
      </c>
      <c r="H109" t="s">
        <v>437</v>
      </c>
      <c r="I109" t="s">
        <v>27</v>
      </c>
      <c r="J109">
        <v>0</v>
      </c>
      <c r="K109">
        <v>3</v>
      </c>
      <c r="L109" s="2">
        <v>3.5000000000000001E-3</v>
      </c>
      <c r="M109">
        <v>0.02</v>
      </c>
      <c r="N109" s="2">
        <v>1.0500000000000001E-2</v>
      </c>
      <c r="O109" s="2">
        <v>0.06</v>
      </c>
    </row>
    <row r="110" spans="2:15">
      <c r="B110" t="s">
        <v>36</v>
      </c>
      <c r="C110" t="s">
        <v>43</v>
      </c>
      <c r="D110" t="s">
        <v>84</v>
      </c>
      <c r="E110" t="s">
        <v>85</v>
      </c>
      <c r="F110" t="s">
        <v>10</v>
      </c>
      <c r="G110" t="s">
        <v>84</v>
      </c>
      <c r="H110" t="s">
        <v>86</v>
      </c>
      <c r="I110" t="s">
        <v>27</v>
      </c>
      <c r="J110">
        <v>0</v>
      </c>
      <c r="K110">
        <v>5</v>
      </c>
      <c r="L110" s="2">
        <v>3.5000000000000001E-3</v>
      </c>
      <c r="M110">
        <v>0.02</v>
      </c>
      <c r="N110" s="2">
        <v>1.7500000000000002E-2</v>
      </c>
      <c r="O110" s="2">
        <v>0.1</v>
      </c>
    </row>
    <row r="111" spans="2:15">
      <c r="B111" t="s">
        <v>36</v>
      </c>
      <c r="C111" t="s">
        <v>43</v>
      </c>
      <c r="D111" t="s">
        <v>149</v>
      </c>
      <c r="E111" t="s">
        <v>150</v>
      </c>
      <c r="F111" t="s">
        <v>10</v>
      </c>
      <c r="G111" t="s">
        <v>149</v>
      </c>
      <c r="H111" t="s">
        <v>151</v>
      </c>
      <c r="I111" t="s">
        <v>27</v>
      </c>
      <c r="J111">
        <v>0</v>
      </c>
      <c r="K111">
        <v>3</v>
      </c>
      <c r="L111" s="2">
        <v>3.5000000000000001E-3</v>
      </c>
      <c r="M111">
        <v>0.02</v>
      </c>
      <c r="N111" s="2">
        <v>1.0500000000000001E-2</v>
      </c>
      <c r="O111" s="2">
        <v>0.06</v>
      </c>
    </row>
    <row r="112" spans="2:15">
      <c r="B112" t="s">
        <v>36</v>
      </c>
      <c r="C112" t="s">
        <v>87</v>
      </c>
      <c r="D112" t="s">
        <v>438</v>
      </c>
      <c r="E112" t="s">
        <v>439</v>
      </c>
      <c r="F112" t="s">
        <v>10</v>
      </c>
      <c r="G112" t="s">
        <v>438</v>
      </c>
      <c r="H112" t="s">
        <v>440</v>
      </c>
      <c r="I112" t="s">
        <v>27</v>
      </c>
      <c r="J112">
        <v>0</v>
      </c>
      <c r="K112">
        <v>1</v>
      </c>
      <c r="L112" s="2">
        <v>3.5000000000000001E-3</v>
      </c>
      <c r="M112">
        <v>0.02</v>
      </c>
      <c r="N112" s="2">
        <v>3.5000000000000001E-3</v>
      </c>
      <c r="O112" s="2">
        <v>0.02</v>
      </c>
    </row>
    <row r="113" spans="2:15">
      <c r="B113" t="s">
        <v>36</v>
      </c>
      <c r="C113" t="s">
        <v>441</v>
      </c>
      <c r="D113" t="s">
        <v>442</v>
      </c>
      <c r="E113" t="s">
        <v>443</v>
      </c>
      <c r="F113" t="s">
        <v>10</v>
      </c>
      <c r="G113" t="s">
        <v>442</v>
      </c>
      <c r="H113" t="s">
        <v>444</v>
      </c>
      <c r="I113" t="s">
        <v>27</v>
      </c>
      <c r="J113">
        <v>0</v>
      </c>
      <c r="K113">
        <v>7</v>
      </c>
      <c r="L113" s="2">
        <v>3.5000000000000001E-3</v>
      </c>
      <c r="M113">
        <v>0.02</v>
      </c>
      <c r="N113" s="2">
        <v>2.4500000000000001E-2</v>
      </c>
      <c r="O113" s="2">
        <v>0.14000000000000001</v>
      </c>
    </row>
    <row r="114" spans="2:15">
      <c r="B114" t="s">
        <v>36</v>
      </c>
      <c r="C114" t="s">
        <v>88</v>
      </c>
      <c r="D114" t="s">
        <v>230</v>
      </c>
      <c r="E114" t="s">
        <v>231</v>
      </c>
      <c r="F114" t="s">
        <v>12</v>
      </c>
      <c r="G114" t="s">
        <v>230</v>
      </c>
      <c r="H114" t="s">
        <v>232</v>
      </c>
      <c r="I114" t="s">
        <v>27</v>
      </c>
      <c r="J114">
        <v>2059</v>
      </c>
      <c r="K114">
        <v>2</v>
      </c>
      <c r="L114" s="2">
        <v>3.8199999999999998E-2</v>
      </c>
      <c r="M114">
        <v>0.09</v>
      </c>
      <c r="N114" s="2">
        <v>7.8653799999999996E-2</v>
      </c>
      <c r="O114" s="2">
        <v>0.18531</v>
      </c>
    </row>
    <row r="115" spans="2:15">
      <c r="B115" t="s">
        <v>36</v>
      </c>
      <c r="C115" t="s">
        <v>32</v>
      </c>
      <c r="D115" t="s">
        <v>233</v>
      </c>
      <c r="E115" t="s">
        <v>234</v>
      </c>
      <c r="F115" t="s">
        <v>10</v>
      </c>
      <c r="G115" t="s">
        <v>233</v>
      </c>
      <c r="H115" t="s">
        <v>235</v>
      </c>
      <c r="I115" t="s">
        <v>27</v>
      </c>
      <c r="J115">
        <v>0</v>
      </c>
      <c r="K115">
        <v>2</v>
      </c>
      <c r="L115" s="2">
        <v>3.5000000000000001E-3</v>
      </c>
      <c r="M115">
        <v>0.02</v>
      </c>
      <c r="N115" s="2">
        <v>7.0000000000000001E-3</v>
      </c>
      <c r="O115" s="2">
        <v>0.04</v>
      </c>
    </row>
    <row r="116" spans="2:15">
      <c r="B116" t="s">
        <v>36</v>
      </c>
      <c r="C116" t="s">
        <v>32</v>
      </c>
      <c r="D116" t="s">
        <v>236</v>
      </c>
      <c r="E116" t="s">
        <v>237</v>
      </c>
      <c r="F116" t="s">
        <v>10</v>
      </c>
      <c r="G116" t="s">
        <v>236</v>
      </c>
      <c r="H116" t="s">
        <v>238</v>
      </c>
      <c r="I116" t="s">
        <v>27</v>
      </c>
      <c r="J116">
        <v>0</v>
      </c>
      <c r="K116">
        <v>1</v>
      </c>
      <c r="L116" s="2">
        <v>3.5000000000000001E-3</v>
      </c>
      <c r="M116">
        <v>0.02</v>
      </c>
      <c r="N116" s="2">
        <v>3.5000000000000001E-3</v>
      </c>
      <c r="O116" s="2">
        <v>0.02</v>
      </c>
    </row>
    <row r="117" spans="2:15">
      <c r="B117" t="s">
        <v>36</v>
      </c>
      <c r="C117" t="s">
        <v>32</v>
      </c>
      <c r="D117" t="s">
        <v>239</v>
      </c>
      <c r="E117" t="s">
        <v>240</v>
      </c>
      <c r="F117" t="s">
        <v>10</v>
      </c>
      <c r="G117" t="s">
        <v>239</v>
      </c>
      <c r="H117" t="s">
        <v>241</v>
      </c>
      <c r="I117" t="s">
        <v>27</v>
      </c>
      <c r="J117">
        <v>0</v>
      </c>
      <c r="K117">
        <v>4</v>
      </c>
      <c r="L117" s="2">
        <v>3.5000000000000001E-3</v>
      </c>
      <c r="M117">
        <v>0.02</v>
      </c>
      <c r="N117" s="2">
        <v>1.4E-2</v>
      </c>
      <c r="O117" s="2">
        <v>0.08</v>
      </c>
    </row>
    <row r="118" spans="2:15">
      <c r="B118" t="s">
        <v>36</v>
      </c>
      <c r="C118" t="s">
        <v>32</v>
      </c>
      <c r="D118" t="s">
        <v>242</v>
      </c>
      <c r="E118" t="s">
        <v>243</v>
      </c>
      <c r="F118" t="s">
        <v>10</v>
      </c>
      <c r="G118" t="s">
        <v>242</v>
      </c>
      <c r="H118" t="s">
        <v>244</v>
      </c>
      <c r="I118" t="s">
        <v>27</v>
      </c>
      <c r="J118">
        <v>0</v>
      </c>
      <c r="K118">
        <v>1</v>
      </c>
      <c r="L118" s="2">
        <v>3.5000000000000001E-3</v>
      </c>
      <c r="M118">
        <v>0.02</v>
      </c>
      <c r="N118" s="2">
        <v>3.5000000000000001E-3</v>
      </c>
      <c r="O118" s="2">
        <v>0.02</v>
      </c>
    </row>
    <row r="119" spans="2:15">
      <c r="B119" t="s">
        <v>36</v>
      </c>
      <c r="C119" t="s">
        <v>32</v>
      </c>
      <c r="D119" t="s">
        <v>245</v>
      </c>
      <c r="E119" t="s">
        <v>246</v>
      </c>
      <c r="F119" t="s">
        <v>10</v>
      </c>
      <c r="G119" t="s">
        <v>245</v>
      </c>
      <c r="H119" t="s">
        <v>247</v>
      </c>
      <c r="I119" t="s">
        <v>27</v>
      </c>
      <c r="J119">
        <v>0</v>
      </c>
      <c r="K119">
        <v>3</v>
      </c>
      <c r="L119" s="2">
        <v>3.5000000000000001E-3</v>
      </c>
      <c r="M119">
        <v>0.02</v>
      </c>
      <c r="N119" s="2">
        <v>1.0500000000000001E-2</v>
      </c>
      <c r="O119" s="2">
        <v>0.06</v>
      </c>
    </row>
    <row r="120" spans="2:15">
      <c r="B120" t="s">
        <v>36</v>
      </c>
      <c r="C120" t="s">
        <v>32</v>
      </c>
      <c r="D120" t="s">
        <v>89</v>
      </c>
      <c r="E120" t="s">
        <v>90</v>
      </c>
      <c r="F120" t="s">
        <v>10</v>
      </c>
      <c r="G120" t="s">
        <v>89</v>
      </c>
      <c r="H120" t="s">
        <v>91</v>
      </c>
      <c r="I120" t="s">
        <v>27</v>
      </c>
      <c r="J120">
        <v>0</v>
      </c>
      <c r="K120">
        <v>3</v>
      </c>
      <c r="L120" s="2">
        <v>3.5000000000000001E-3</v>
      </c>
      <c r="M120">
        <v>0.02</v>
      </c>
      <c r="N120" s="2">
        <v>1.0500000000000001E-2</v>
      </c>
      <c r="O120" s="2">
        <v>0.06</v>
      </c>
    </row>
    <row r="121" spans="2:15">
      <c r="B121" t="s">
        <v>36</v>
      </c>
      <c r="C121" t="s">
        <v>32</v>
      </c>
      <c r="D121" t="s">
        <v>445</v>
      </c>
      <c r="E121" t="s">
        <v>446</v>
      </c>
      <c r="F121" t="s">
        <v>10</v>
      </c>
      <c r="G121" t="s">
        <v>445</v>
      </c>
      <c r="H121" t="s">
        <v>447</v>
      </c>
      <c r="I121" t="s">
        <v>27</v>
      </c>
      <c r="J121">
        <v>0</v>
      </c>
      <c r="K121">
        <v>1</v>
      </c>
      <c r="L121" s="2">
        <v>3.5000000000000001E-3</v>
      </c>
      <c r="M121">
        <v>0.02</v>
      </c>
      <c r="N121" s="2">
        <v>3.5000000000000001E-3</v>
      </c>
      <c r="O121" s="2">
        <v>0.02</v>
      </c>
    </row>
    <row r="122" spans="2:15">
      <c r="B122" t="s">
        <v>36</v>
      </c>
      <c r="C122" t="s">
        <v>32</v>
      </c>
      <c r="D122" t="s">
        <v>51</v>
      </c>
      <c r="E122" t="s">
        <v>52</v>
      </c>
      <c r="F122" t="s">
        <v>10</v>
      </c>
      <c r="G122" t="s">
        <v>51</v>
      </c>
      <c r="H122" t="s">
        <v>53</v>
      </c>
      <c r="I122" t="s">
        <v>27</v>
      </c>
      <c r="J122">
        <v>0</v>
      </c>
      <c r="K122">
        <v>6</v>
      </c>
      <c r="L122" s="2">
        <v>3.5000000000000001E-3</v>
      </c>
      <c r="M122">
        <v>0.02</v>
      </c>
      <c r="N122" s="2">
        <v>2.1000000000000001E-2</v>
      </c>
      <c r="O122" s="2">
        <v>0.12</v>
      </c>
    </row>
    <row r="123" spans="2:15">
      <c r="B123" t="s">
        <v>36</v>
      </c>
      <c r="C123" t="s">
        <v>32</v>
      </c>
      <c r="D123" t="s">
        <v>341</v>
      </c>
      <c r="E123" t="s">
        <v>342</v>
      </c>
      <c r="F123" t="s">
        <v>10</v>
      </c>
      <c r="G123" t="s">
        <v>341</v>
      </c>
      <c r="H123" t="s">
        <v>343</v>
      </c>
      <c r="I123" t="s">
        <v>27</v>
      </c>
      <c r="J123">
        <v>0</v>
      </c>
      <c r="K123">
        <v>12</v>
      </c>
      <c r="L123" s="2">
        <v>3.5000000000000001E-3</v>
      </c>
      <c r="M123">
        <v>0.02</v>
      </c>
      <c r="N123" s="2">
        <v>4.2000000000000003E-2</v>
      </c>
      <c r="O123" s="2">
        <v>0.24</v>
      </c>
    </row>
    <row r="124" spans="2:15">
      <c r="B124" t="s">
        <v>36</v>
      </c>
      <c r="C124" t="s">
        <v>32</v>
      </c>
      <c r="D124" t="s">
        <v>92</v>
      </c>
      <c r="E124" t="s">
        <v>93</v>
      </c>
      <c r="F124" t="s">
        <v>10</v>
      </c>
      <c r="G124" t="s">
        <v>92</v>
      </c>
      <c r="H124" t="s">
        <v>94</v>
      </c>
      <c r="I124" t="s">
        <v>27</v>
      </c>
      <c r="J124">
        <v>0</v>
      </c>
      <c r="K124">
        <v>1</v>
      </c>
      <c r="L124" s="2">
        <v>3.5000000000000001E-3</v>
      </c>
      <c r="M124">
        <v>0.02</v>
      </c>
      <c r="N124" s="2">
        <v>3.5000000000000001E-3</v>
      </c>
      <c r="O124" s="2">
        <v>0.02</v>
      </c>
    </row>
    <row r="125" spans="2:15">
      <c r="B125" t="s">
        <v>36</v>
      </c>
      <c r="C125" t="s">
        <v>32</v>
      </c>
      <c r="D125" t="s">
        <v>45</v>
      </c>
      <c r="E125" t="s">
        <v>38</v>
      </c>
      <c r="F125" t="s">
        <v>10</v>
      </c>
      <c r="G125" t="s">
        <v>45</v>
      </c>
      <c r="H125" t="s">
        <v>39</v>
      </c>
      <c r="I125" t="s">
        <v>27</v>
      </c>
      <c r="J125">
        <v>0</v>
      </c>
      <c r="K125">
        <v>1</v>
      </c>
      <c r="L125" s="2">
        <v>3.5000000000000001E-3</v>
      </c>
      <c r="M125">
        <v>0.02</v>
      </c>
      <c r="N125" s="2">
        <v>3.5000000000000001E-3</v>
      </c>
      <c r="O125" s="2">
        <v>0.02</v>
      </c>
    </row>
    <row r="126" spans="2:15">
      <c r="B126" t="s">
        <v>36</v>
      </c>
      <c r="C126" t="s">
        <v>32</v>
      </c>
      <c r="D126" t="s">
        <v>448</v>
      </c>
      <c r="E126" t="s">
        <v>449</v>
      </c>
      <c r="F126" t="s">
        <v>10</v>
      </c>
      <c r="G126" t="s">
        <v>448</v>
      </c>
      <c r="H126" t="s">
        <v>450</v>
      </c>
      <c r="I126" t="s">
        <v>27</v>
      </c>
      <c r="J126">
        <v>0</v>
      </c>
      <c r="K126">
        <v>1</v>
      </c>
      <c r="L126" s="2">
        <v>3.5000000000000001E-3</v>
      </c>
      <c r="M126">
        <v>0.02</v>
      </c>
      <c r="N126" s="2">
        <v>3.5000000000000001E-3</v>
      </c>
      <c r="O126" s="2">
        <v>0.02</v>
      </c>
    </row>
    <row r="127" spans="2:15">
      <c r="B127" t="s">
        <v>36</v>
      </c>
      <c r="C127" t="s">
        <v>32</v>
      </c>
      <c r="D127" t="s">
        <v>152</v>
      </c>
      <c r="E127" t="s">
        <v>153</v>
      </c>
      <c r="F127" t="s">
        <v>12</v>
      </c>
      <c r="G127" t="s">
        <v>152</v>
      </c>
      <c r="H127" t="s">
        <v>154</v>
      </c>
      <c r="I127" t="s">
        <v>27</v>
      </c>
      <c r="J127">
        <v>1</v>
      </c>
      <c r="K127">
        <v>0</v>
      </c>
      <c r="L127" s="2">
        <v>3.8199999999999998E-2</v>
      </c>
      <c r="M127">
        <v>0.09</v>
      </c>
      <c r="N127" s="2">
        <v>3.82E-5</v>
      </c>
      <c r="O127" s="2">
        <v>8.9999999999999992E-5</v>
      </c>
    </row>
    <row r="128" spans="2:15">
      <c r="B128" t="s">
        <v>36</v>
      </c>
      <c r="C128" t="s">
        <v>32</v>
      </c>
      <c r="D128" t="s">
        <v>155</v>
      </c>
      <c r="E128" t="s">
        <v>156</v>
      </c>
      <c r="F128" t="s">
        <v>10</v>
      </c>
      <c r="G128" t="s">
        <v>155</v>
      </c>
      <c r="H128" t="s">
        <v>157</v>
      </c>
      <c r="I128" t="s">
        <v>27</v>
      </c>
      <c r="J128">
        <v>0</v>
      </c>
      <c r="K128">
        <v>8</v>
      </c>
      <c r="L128" s="2">
        <v>3.5000000000000001E-3</v>
      </c>
      <c r="M128">
        <v>0.02</v>
      </c>
      <c r="N128" s="2">
        <v>2.8000000000000001E-2</v>
      </c>
      <c r="O128" s="2">
        <v>0.16</v>
      </c>
    </row>
    <row r="129" spans="2:15">
      <c r="B129" t="s">
        <v>36</v>
      </c>
      <c r="C129" t="s">
        <v>32</v>
      </c>
      <c r="D129" t="s">
        <v>158</v>
      </c>
      <c r="E129" t="s">
        <v>159</v>
      </c>
      <c r="F129" t="s">
        <v>10</v>
      </c>
      <c r="G129" t="s">
        <v>158</v>
      </c>
      <c r="H129" t="s">
        <v>160</v>
      </c>
      <c r="I129" t="s">
        <v>27</v>
      </c>
      <c r="J129">
        <v>0</v>
      </c>
      <c r="K129">
        <v>2</v>
      </c>
      <c r="L129" s="2">
        <v>3.5000000000000001E-3</v>
      </c>
      <c r="M129">
        <v>0.02</v>
      </c>
      <c r="N129" s="2">
        <v>7.0000000000000001E-3</v>
      </c>
      <c r="O129" s="2">
        <v>0.04</v>
      </c>
    </row>
    <row r="130" spans="2:15">
      <c r="B130" t="s">
        <v>36</v>
      </c>
      <c r="C130" t="s">
        <v>32</v>
      </c>
      <c r="D130" t="s">
        <v>95</v>
      </c>
      <c r="E130" t="s">
        <v>96</v>
      </c>
      <c r="F130" t="s">
        <v>10</v>
      </c>
      <c r="G130" t="s">
        <v>95</v>
      </c>
      <c r="H130" t="s">
        <v>97</v>
      </c>
      <c r="I130" t="s">
        <v>27</v>
      </c>
      <c r="J130">
        <v>0</v>
      </c>
      <c r="K130">
        <v>3</v>
      </c>
      <c r="L130" s="2">
        <v>3.5000000000000001E-3</v>
      </c>
      <c r="M130">
        <v>0.02</v>
      </c>
      <c r="N130" s="2">
        <v>1.0500000000000001E-2</v>
      </c>
      <c r="O130" s="2">
        <v>0.06</v>
      </c>
    </row>
    <row r="131" spans="2:15">
      <c r="B131" t="s">
        <v>36</v>
      </c>
      <c r="C131" t="s">
        <v>32</v>
      </c>
      <c r="D131" t="s">
        <v>161</v>
      </c>
      <c r="E131" t="s">
        <v>162</v>
      </c>
      <c r="F131" t="s">
        <v>10</v>
      </c>
      <c r="G131" t="s">
        <v>161</v>
      </c>
      <c r="H131" t="s">
        <v>163</v>
      </c>
      <c r="I131" t="s">
        <v>27</v>
      </c>
      <c r="J131">
        <v>0</v>
      </c>
      <c r="K131">
        <v>1</v>
      </c>
      <c r="L131" s="2">
        <v>3.5000000000000001E-3</v>
      </c>
      <c r="M131">
        <v>0.02</v>
      </c>
      <c r="N131" s="2">
        <v>3.5000000000000001E-3</v>
      </c>
      <c r="O131" s="2">
        <v>0.02</v>
      </c>
    </row>
    <row r="132" spans="2:15">
      <c r="B132" t="s">
        <v>36</v>
      </c>
      <c r="C132" t="s">
        <v>32</v>
      </c>
      <c r="D132" t="s">
        <v>164</v>
      </c>
      <c r="E132" t="s">
        <v>165</v>
      </c>
      <c r="F132" t="s">
        <v>10</v>
      </c>
      <c r="G132" t="s">
        <v>164</v>
      </c>
      <c r="H132" t="s">
        <v>166</v>
      </c>
      <c r="I132" t="s">
        <v>27</v>
      </c>
      <c r="J132">
        <v>0</v>
      </c>
      <c r="K132">
        <v>15</v>
      </c>
      <c r="L132" s="2">
        <v>3.5000000000000001E-3</v>
      </c>
      <c r="M132">
        <v>0.02</v>
      </c>
      <c r="N132" s="2">
        <v>5.2499999999999998E-2</v>
      </c>
      <c r="O132" s="2">
        <v>0.3</v>
      </c>
    </row>
    <row r="133" spans="2:15">
      <c r="B133" t="s">
        <v>36</v>
      </c>
      <c r="C133" t="s">
        <v>32</v>
      </c>
      <c r="D133" t="s">
        <v>451</v>
      </c>
      <c r="E133" t="s">
        <v>452</v>
      </c>
      <c r="F133" t="s">
        <v>10</v>
      </c>
      <c r="G133" t="s">
        <v>451</v>
      </c>
      <c r="H133" t="s">
        <v>453</v>
      </c>
      <c r="I133" t="s">
        <v>27</v>
      </c>
      <c r="J133">
        <v>0</v>
      </c>
      <c r="K133">
        <v>2</v>
      </c>
      <c r="L133" s="2">
        <v>3.5000000000000001E-3</v>
      </c>
      <c r="M133">
        <v>0.02</v>
      </c>
      <c r="N133" s="2">
        <v>7.0000000000000001E-3</v>
      </c>
      <c r="O133" s="2">
        <v>0.04</v>
      </c>
    </row>
    <row r="134" spans="2:15">
      <c r="B134" t="s">
        <v>36</v>
      </c>
      <c r="C134" t="s">
        <v>32</v>
      </c>
      <c r="D134" t="s">
        <v>454</v>
      </c>
      <c r="E134" t="s">
        <v>455</v>
      </c>
      <c r="F134" t="s">
        <v>10</v>
      </c>
      <c r="G134" t="s">
        <v>454</v>
      </c>
      <c r="H134" t="s">
        <v>456</v>
      </c>
      <c r="I134" t="s">
        <v>27</v>
      </c>
      <c r="J134">
        <v>0</v>
      </c>
      <c r="K134">
        <v>3</v>
      </c>
      <c r="L134" s="2">
        <v>3.5000000000000001E-3</v>
      </c>
      <c r="M134">
        <v>0.02</v>
      </c>
      <c r="N134" s="2">
        <v>1.0500000000000001E-2</v>
      </c>
      <c r="O134" s="2">
        <v>0.06</v>
      </c>
    </row>
    <row r="135" spans="2:15">
      <c r="B135" t="s">
        <v>36</v>
      </c>
      <c r="C135" t="s">
        <v>32</v>
      </c>
      <c r="D135" t="s">
        <v>383</v>
      </c>
      <c r="E135" t="s">
        <v>384</v>
      </c>
      <c r="F135" t="s">
        <v>10</v>
      </c>
      <c r="G135" t="s">
        <v>383</v>
      </c>
      <c r="H135" t="s">
        <v>385</v>
      </c>
      <c r="I135" t="s">
        <v>27</v>
      </c>
      <c r="J135">
        <v>0</v>
      </c>
      <c r="K135">
        <v>1</v>
      </c>
      <c r="L135" s="2">
        <v>3.5000000000000001E-3</v>
      </c>
      <c r="M135">
        <v>0.02</v>
      </c>
      <c r="N135" s="2">
        <v>3.5000000000000001E-3</v>
      </c>
      <c r="O135" s="2">
        <v>0.02</v>
      </c>
    </row>
    <row r="136" spans="2:15">
      <c r="B136" t="s">
        <v>36</v>
      </c>
      <c r="C136" t="s">
        <v>32</v>
      </c>
      <c r="D136" t="s">
        <v>344</v>
      </c>
      <c r="E136" t="s">
        <v>345</v>
      </c>
      <c r="F136" t="s">
        <v>10</v>
      </c>
      <c r="G136" t="s">
        <v>344</v>
      </c>
      <c r="H136" t="s">
        <v>346</v>
      </c>
      <c r="I136" t="s">
        <v>27</v>
      </c>
      <c r="J136">
        <v>0</v>
      </c>
      <c r="K136">
        <v>1</v>
      </c>
      <c r="L136" s="2">
        <v>3.5000000000000001E-3</v>
      </c>
      <c r="M136">
        <v>0.02</v>
      </c>
      <c r="N136" s="2">
        <v>3.5000000000000001E-3</v>
      </c>
      <c r="O136" s="2">
        <v>0.02</v>
      </c>
    </row>
    <row r="137" spans="2:15">
      <c r="B137" t="s">
        <v>36</v>
      </c>
      <c r="C137" t="s">
        <v>32</v>
      </c>
      <c r="D137" t="s">
        <v>347</v>
      </c>
      <c r="E137" t="s">
        <v>348</v>
      </c>
      <c r="F137" t="s">
        <v>10</v>
      </c>
      <c r="G137" t="s">
        <v>347</v>
      </c>
      <c r="H137" t="s">
        <v>349</v>
      </c>
      <c r="I137" t="s">
        <v>27</v>
      </c>
      <c r="J137">
        <v>0</v>
      </c>
      <c r="K137">
        <v>12</v>
      </c>
      <c r="L137" s="2">
        <v>3.5000000000000001E-3</v>
      </c>
      <c r="M137">
        <v>0.02</v>
      </c>
      <c r="N137" s="2">
        <v>4.2000000000000003E-2</v>
      </c>
      <c r="O137" s="2">
        <v>0.24</v>
      </c>
    </row>
    <row r="138" spans="2:15">
      <c r="B138" t="s">
        <v>36</v>
      </c>
      <c r="C138" t="s">
        <v>32</v>
      </c>
      <c r="D138" t="s">
        <v>167</v>
      </c>
      <c r="E138" t="s">
        <v>168</v>
      </c>
      <c r="F138" t="s">
        <v>12</v>
      </c>
      <c r="G138" t="s">
        <v>167</v>
      </c>
      <c r="H138" t="s">
        <v>169</v>
      </c>
      <c r="I138" t="s">
        <v>27</v>
      </c>
      <c r="J138">
        <v>6</v>
      </c>
      <c r="K138">
        <v>3</v>
      </c>
      <c r="L138" s="2">
        <v>3.8199999999999998E-2</v>
      </c>
      <c r="M138">
        <v>0.09</v>
      </c>
      <c r="N138" s="2">
        <v>2.2919999999999999E-4</v>
      </c>
      <c r="O138" s="2">
        <v>5.4000000000000001E-4</v>
      </c>
    </row>
    <row r="139" spans="2:15">
      <c r="B139" t="s">
        <v>36</v>
      </c>
      <c r="C139" t="s">
        <v>32</v>
      </c>
      <c r="D139" t="s">
        <v>170</v>
      </c>
      <c r="E139" t="s">
        <v>171</v>
      </c>
      <c r="F139" t="s">
        <v>10</v>
      </c>
      <c r="G139" t="s">
        <v>170</v>
      </c>
      <c r="H139" t="s">
        <v>172</v>
      </c>
      <c r="I139" t="s">
        <v>27</v>
      </c>
      <c r="J139">
        <v>0</v>
      </c>
      <c r="K139">
        <v>1</v>
      </c>
      <c r="L139" s="2">
        <v>3.5000000000000001E-3</v>
      </c>
      <c r="M139">
        <v>0.02</v>
      </c>
      <c r="N139" s="2">
        <v>3.5000000000000001E-3</v>
      </c>
      <c r="O139" s="2">
        <v>0.02</v>
      </c>
    </row>
    <row r="140" spans="2:15">
      <c r="B140" t="s">
        <v>36</v>
      </c>
      <c r="C140" t="s">
        <v>32</v>
      </c>
      <c r="D140" t="s">
        <v>173</v>
      </c>
      <c r="E140" t="s">
        <v>174</v>
      </c>
      <c r="F140" t="s">
        <v>10</v>
      </c>
      <c r="G140" t="s">
        <v>173</v>
      </c>
      <c r="H140" t="s">
        <v>175</v>
      </c>
      <c r="I140" t="s">
        <v>27</v>
      </c>
      <c r="J140">
        <v>0</v>
      </c>
      <c r="K140">
        <v>4</v>
      </c>
      <c r="L140" s="2">
        <v>3.5000000000000001E-3</v>
      </c>
      <c r="M140">
        <v>0.02</v>
      </c>
      <c r="N140" s="2">
        <v>1.4E-2</v>
      </c>
      <c r="O140" s="2">
        <v>0.08</v>
      </c>
    </row>
    <row r="141" spans="2:15">
      <c r="B141" t="s">
        <v>36</v>
      </c>
      <c r="C141" t="s">
        <v>32</v>
      </c>
      <c r="D141" t="s">
        <v>176</v>
      </c>
      <c r="E141" t="s">
        <v>177</v>
      </c>
      <c r="F141" t="s">
        <v>10</v>
      </c>
      <c r="G141" t="s">
        <v>176</v>
      </c>
      <c r="H141" t="s">
        <v>178</v>
      </c>
      <c r="I141" t="s">
        <v>27</v>
      </c>
      <c r="J141">
        <v>0</v>
      </c>
      <c r="K141">
        <v>1</v>
      </c>
      <c r="L141" s="2">
        <v>3.5000000000000001E-3</v>
      </c>
      <c r="M141">
        <v>0.02</v>
      </c>
      <c r="N141" s="2">
        <v>3.5000000000000001E-3</v>
      </c>
      <c r="O141" s="2">
        <v>0.02</v>
      </c>
    </row>
    <row r="142" spans="2:15">
      <c r="B142" t="s">
        <v>36</v>
      </c>
      <c r="C142" t="s">
        <v>32</v>
      </c>
      <c r="D142" t="s">
        <v>98</v>
      </c>
      <c r="E142" t="s">
        <v>99</v>
      </c>
      <c r="F142" t="s">
        <v>10</v>
      </c>
      <c r="G142" t="s">
        <v>98</v>
      </c>
      <c r="H142" t="s">
        <v>100</v>
      </c>
      <c r="I142" t="s">
        <v>27</v>
      </c>
      <c r="J142">
        <v>0</v>
      </c>
      <c r="K142">
        <v>3</v>
      </c>
      <c r="L142" s="2">
        <v>3.5000000000000001E-3</v>
      </c>
      <c r="M142">
        <v>0.02</v>
      </c>
      <c r="N142" s="2">
        <v>1.0500000000000001E-2</v>
      </c>
      <c r="O142" s="2">
        <v>0.06</v>
      </c>
    </row>
    <row r="143" spans="2:15">
      <c r="B143" t="s">
        <v>36</v>
      </c>
      <c r="C143" t="s">
        <v>32</v>
      </c>
      <c r="D143" t="s">
        <v>457</v>
      </c>
      <c r="E143" t="s">
        <v>458</v>
      </c>
      <c r="F143" t="s">
        <v>10</v>
      </c>
      <c r="G143" t="s">
        <v>457</v>
      </c>
      <c r="H143" t="s">
        <v>459</v>
      </c>
      <c r="I143" t="s">
        <v>27</v>
      </c>
      <c r="J143">
        <v>0</v>
      </c>
      <c r="K143">
        <v>1</v>
      </c>
      <c r="L143" s="2">
        <v>3.5000000000000001E-3</v>
      </c>
      <c r="M143">
        <v>0.02</v>
      </c>
      <c r="N143" s="2">
        <v>3.5000000000000001E-3</v>
      </c>
      <c r="O143" s="2">
        <v>0.02</v>
      </c>
    </row>
    <row r="144" spans="2:15">
      <c r="B144" t="s">
        <v>36</v>
      </c>
      <c r="C144" t="s">
        <v>32</v>
      </c>
      <c r="D144" t="s">
        <v>350</v>
      </c>
      <c r="E144" t="s">
        <v>351</v>
      </c>
      <c r="F144" t="s">
        <v>10</v>
      </c>
      <c r="G144" t="s">
        <v>350</v>
      </c>
      <c r="H144" t="s">
        <v>352</v>
      </c>
      <c r="I144" t="s">
        <v>27</v>
      </c>
      <c r="J144">
        <v>0</v>
      </c>
      <c r="K144">
        <v>2</v>
      </c>
      <c r="L144" s="2">
        <v>3.5000000000000001E-3</v>
      </c>
      <c r="M144">
        <v>0.02</v>
      </c>
      <c r="N144" s="2">
        <v>7.0000000000000001E-3</v>
      </c>
      <c r="O144" s="2">
        <v>0.04</v>
      </c>
    </row>
    <row r="145" spans="2:15">
      <c r="B145" t="s">
        <v>36</v>
      </c>
      <c r="C145" t="s">
        <v>32</v>
      </c>
      <c r="D145" t="s">
        <v>353</v>
      </c>
      <c r="E145" t="s">
        <v>354</v>
      </c>
      <c r="F145" t="s">
        <v>10</v>
      </c>
      <c r="G145" t="s">
        <v>353</v>
      </c>
      <c r="H145" t="s">
        <v>355</v>
      </c>
      <c r="I145" t="s">
        <v>27</v>
      </c>
      <c r="J145">
        <v>0</v>
      </c>
      <c r="K145">
        <v>4</v>
      </c>
      <c r="L145" s="2">
        <v>3.5000000000000001E-3</v>
      </c>
      <c r="M145">
        <v>0.02</v>
      </c>
      <c r="N145" s="2">
        <v>1.4E-2</v>
      </c>
      <c r="O145" s="2">
        <v>0.08</v>
      </c>
    </row>
    <row r="146" spans="2:15">
      <c r="B146" t="s">
        <v>36</v>
      </c>
      <c r="C146" t="s">
        <v>32</v>
      </c>
      <c r="D146" t="s">
        <v>356</v>
      </c>
      <c r="E146" t="s">
        <v>357</v>
      </c>
      <c r="F146" t="s">
        <v>10</v>
      </c>
      <c r="G146" t="s">
        <v>356</v>
      </c>
      <c r="H146" t="s">
        <v>358</v>
      </c>
      <c r="I146" t="s">
        <v>27</v>
      </c>
      <c r="J146">
        <v>0</v>
      </c>
      <c r="K146">
        <v>15</v>
      </c>
      <c r="L146" s="2">
        <v>3.5000000000000001E-3</v>
      </c>
      <c r="M146">
        <v>0.02</v>
      </c>
      <c r="N146" s="2">
        <v>5.2499999999999998E-2</v>
      </c>
      <c r="O146" s="2">
        <v>0.3</v>
      </c>
    </row>
    <row r="147" spans="2:15">
      <c r="B147" t="s">
        <v>36</v>
      </c>
      <c r="C147" t="s">
        <v>32</v>
      </c>
      <c r="D147" t="s">
        <v>54</v>
      </c>
      <c r="E147" t="s">
        <v>55</v>
      </c>
      <c r="F147" t="s">
        <v>10</v>
      </c>
      <c r="G147" t="s">
        <v>54</v>
      </c>
      <c r="H147" t="s">
        <v>56</v>
      </c>
      <c r="I147" t="s">
        <v>27</v>
      </c>
      <c r="J147">
        <v>0</v>
      </c>
      <c r="K147">
        <v>8</v>
      </c>
      <c r="L147" s="2">
        <v>3.5000000000000001E-3</v>
      </c>
      <c r="M147">
        <v>0.02</v>
      </c>
      <c r="N147" s="2">
        <v>2.8000000000000001E-2</v>
      </c>
      <c r="O147" s="2">
        <v>0.16</v>
      </c>
    </row>
    <row r="148" spans="2:15">
      <c r="B148" t="s">
        <v>36</v>
      </c>
      <c r="C148" t="s">
        <v>32</v>
      </c>
      <c r="D148" t="s">
        <v>57</v>
      </c>
      <c r="E148" t="s">
        <v>58</v>
      </c>
      <c r="F148" t="s">
        <v>10</v>
      </c>
      <c r="G148" t="s">
        <v>57</v>
      </c>
      <c r="H148" t="s">
        <v>59</v>
      </c>
      <c r="I148" t="s">
        <v>27</v>
      </c>
      <c r="J148">
        <v>0</v>
      </c>
      <c r="K148">
        <v>8</v>
      </c>
      <c r="L148" s="2">
        <v>3.5000000000000001E-3</v>
      </c>
      <c r="M148">
        <v>0.02</v>
      </c>
      <c r="N148" s="2">
        <v>2.8000000000000001E-2</v>
      </c>
      <c r="O148" s="2">
        <v>0.16</v>
      </c>
    </row>
    <row r="149" spans="2:15">
      <c r="B149" t="s">
        <v>36</v>
      </c>
      <c r="C149" t="s">
        <v>32</v>
      </c>
      <c r="D149" t="s">
        <v>359</v>
      </c>
      <c r="E149" t="s">
        <v>360</v>
      </c>
      <c r="F149" t="s">
        <v>12</v>
      </c>
      <c r="G149" t="s">
        <v>359</v>
      </c>
      <c r="H149" t="s">
        <v>361</v>
      </c>
      <c r="I149" t="s">
        <v>27</v>
      </c>
      <c r="J149">
        <v>726</v>
      </c>
      <c r="K149">
        <v>20</v>
      </c>
      <c r="L149" s="2">
        <v>3.8199999999999998E-2</v>
      </c>
      <c r="M149">
        <v>0.09</v>
      </c>
      <c r="N149" s="2">
        <v>2.77332E-2</v>
      </c>
      <c r="O149" s="2">
        <v>6.5340000000000009E-2</v>
      </c>
    </row>
    <row r="150" spans="2:15">
      <c r="B150" t="s">
        <v>36</v>
      </c>
      <c r="C150" t="s">
        <v>32</v>
      </c>
      <c r="D150" t="s">
        <v>101</v>
      </c>
      <c r="E150" t="s">
        <v>102</v>
      </c>
      <c r="F150" t="s">
        <v>10</v>
      </c>
      <c r="G150" t="s">
        <v>103</v>
      </c>
      <c r="H150" t="s">
        <v>104</v>
      </c>
      <c r="I150" t="s">
        <v>27</v>
      </c>
      <c r="J150">
        <v>0</v>
      </c>
      <c r="K150">
        <v>2</v>
      </c>
      <c r="L150" s="2">
        <v>3.5000000000000001E-3</v>
      </c>
      <c r="M150">
        <v>0.02</v>
      </c>
      <c r="N150" s="2">
        <v>7.0000000000000001E-3</v>
      </c>
      <c r="O150" s="2">
        <v>0.04</v>
      </c>
    </row>
    <row r="151" spans="2:15">
      <c r="B151" t="s">
        <v>36</v>
      </c>
      <c r="C151" t="s">
        <v>32</v>
      </c>
      <c r="D151" t="s">
        <v>362</v>
      </c>
      <c r="E151" t="s">
        <v>363</v>
      </c>
      <c r="F151" t="s">
        <v>10</v>
      </c>
      <c r="G151" t="s">
        <v>362</v>
      </c>
      <c r="H151" t="s">
        <v>364</v>
      </c>
      <c r="I151" t="s">
        <v>27</v>
      </c>
      <c r="J151">
        <v>0</v>
      </c>
      <c r="K151">
        <v>1</v>
      </c>
      <c r="L151" s="2">
        <v>3.5000000000000001E-3</v>
      </c>
      <c r="M151">
        <v>0.02</v>
      </c>
      <c r="N151" s="2">
        <v>3.5000000000000001E-3</v>
      </c>
      <c r="O151" s="2">
        <v>0.02</v>
      </c>
    </row>
    <row r="152" spans="2:15">
      <c r="B152" t="s">
        <v>36</v>
      </c>
      <c r="C152" t="s">
        <v>32</v>
      </c>
      <c r="D152" t="s">
        <v>365</v>
      </c>
      <c r="E152" t="s">
        <v>366</v>
      </c>
      <c r="F152" t="s">
        <v>12</v>
      </c>
      <c r="G152" t="s">
        <v>365</v>
      </c>
      <c r="H152" t="s">
        <v>367</v>
      </c>
      <c r="I152" t="s">
        <v>27</v>
      </c>
      <c r="J152">
        <v>151</v>
      </c>
      <c r="K152">
        <v>16</v>
      </c>
      <c r="L152" s="2">
        <v>3.8199999999999998E-2</v>
      </c>
      <c r="M152">
        <v>0.09</v>
      </c>
      <c r="N152" s="2">
        <v>5.7681999999999994E-3</v>
      </c>
      <c r="O152" s="2">
        <v>1.359E-2</v>
      </c>
    </row>
    <row r="153" spans="2:15">
      <c r="B153" t="s">
        <v>36</v>
      </c>
      <c r="C153" t="s">
        <v>32</v>
      </c>
      <c r="D153" t="s">
        <v>368</v>
      </c>
      <c r="E153" t="s">
        <v>369</v>
      </c>
      <c r="F153" t="s">
        <v>10</v>
      </c>
      <c r="G153" t="s">
        <v>368</v>
      </c>
      <c r="H153" t="s">
        <v>370</v>
      </c>
      <c r="I153" t="s">
        <v>27</v>
      </c>
      <c r="J153">
        <v>0</v>
      </c>
      <c r="K153">
        <v>1</v>
      </c>
      <c r="L153" s="2">
        <v>3.5000000000000001E-3</v>
      </c>
      <c r="M153">
        <v>0.02</v>
      </c>
      <c r="N153" s="2">
        <v>3.5000000000000001E-3</v>
      </c>
      <c r="O153" s="2">
        <v>0.02</v>
      </c>
    </row>
    <row r="154" spans="2:15">
      <c r="B154" t="s">
        <v>36</v>
      </c>
      <c r="C154" t="s">
        <v>46</v>
      </c>
      <c r="D154" t="s">
        <v>105</v>
      </c>
      <c r="E154" t="s">
        <v>106</v>
      </c>
      <c r="F154" t="s">
        <v>10</v>
      </c>
      <c r="G154" t="s">
        <v>105</v>
      </c>
      <c r="H154" t="s">
        <v>107</v>
      </c>
      <c r="I154" t="s">
        <v>27</v>
      </c>
      <c r="J154">
        <v>0</v>
      </c>
      <c r="K154">
        <v>1</v>
      </c>
      <c r="L154" s="2">
        <v>3.5000000000000001E-3</v>
      </c>
      <c r="M154">
        <v>0.02</v>
      </c>
      <c r="N154" s="2">
        <v>3.5000000000000001E-3</v>
      </c>
      <c r="O154" s="2">
        <v>0.02</v>
      </c>
    </row>
    <row r="155" spans="2:15">
      <c r="B155" t="s">
        <v>36</v>
      </c>
      <c r="C155" t="s">
        <v>40</v>
      </c>
      <c r="D155" t="s">
        <v>108</v>
      </c>
      <c r="E155" t="s">
        <v>109</v>
      </c>
      <c r="F155" t="s">
        <v>12</v>
      </c>
      <c r="G155" t="s">
        <v>108</v>
      </c>
      <c r="H155" t="s">
        <v>110</v>
      </c>
      <c r="I155" t="s">
        <v>26</v>
      </c>
      <c r="J155">
        <v>1557</v>
      </c>
      <c r="K155">
        <v>10</v>
      </c>
      <c r="L155" s="2">
        <v>3.8199999999999998E-2</v>
      </c>
      <c r="M155">
        <v>0.09</v>
      </c>
      <c r="N155" s="2">
        <v>5.9477399999999993E-2</v>
      </c>
      <c r="O155" s="2">
        <v>0.14013</v>
      </c>
    </row>
    <row r="156" spans="2:15">
      <c r="B156" t="s">
        <v>36</v>
      </c>
      <c r="C156" t="s">
        <v>40</v>
      </c>
      <c r="D156" t="s">
        <v>111</v>
      </c>
      <c r="E156" t="s">
        <v>112</v>
      </c>
      <c r="F156" t="s">
        <v>12</v>
      </c>
      <c r="G156" t="s">
        <v>111</v>
      </c>
      <c r="H156" t="s">
        <v>113</v>
      </c>
      <c r="I156" t="s">
        <v>26</v>
      </c>
      <c r="J156">
        <v>2396</v>
      </c>
      <c r="K156">
        <v>11</v>
      </c>
      <c r="L156" s="2">
        <v>3.8199999999999998E-2</v>
      </c>
      <c r="M156">
        <v>0.09</v>
      </c>
      <c r="N156" s="2">
        <v>9.1527199999999989E-2</v>
      </c>
      <c r="O156" s="2">
        <v>0.21564</v>
      </c>
    </row>
    <row r="157" spans="2:15">
      <c r="N157" s="3"/>
      <c r="O157" s="3"/>
    </row>
    <row r="158" spans="2:15">
      <c r="N158" s="3"/>
      <c r="O158" s="3"/>
    </row>
    <row r="159" spans="2:15">
      <c r="L159" s="2"/>
      <c r="N159" s="2"/>
      <c r="O159" s="2"/>
    </row>
    <row r="160" spans="2:15">
      <c r="L160" s="2"/>
      <c r="N160" s="2"/>
      <c r="O160" s="2"/>
    </row>
    <row r="161" spans="12:15">
      <c r="L161" s="2"/>
      <c r="N161" s="2"/>
      <c r="O161" s="2"/>
    </row>
    <row r="162" spans="12:15">
      <c r="L162" s="2"/>
      <c r="N162" s="2"/>
      <c r="O162" s="2"/>
    </row>
    <row r="163" spans="12:15">
      <c r="L163" s="2"/>
      <c r="N163" s="2"/>
      <c r="O163" s="2"/>
    </row>
    <row r="164" spans="12:15">
      <c r="L164" s="2"/>
      <c r="N164" s="2"/>
      <c r="O164" s="2"/>
    </row>
    <row r="165" spans="12:15">
      <c r="L165" s="2"/>
      <c r="N165" s="2"/>
      <c r="O165" s="2"/>
    </row>
    <row r="166" spans="12:15">
      <c r="L166" s="2"/>
      <c r="N166" s="2"/>
      <c r="O166" s="2"/>
    </row>
    <row r="167" spans="12:15">
      <c r="L167" s="2"/>
      <c r="N167" s="2"/>
      <c r="O167" s="2"/>
    </row>
    <row r="168" spans="12:15">
      <c r="L168" s="2"/>
      <c r="N168" s="2"/>
      <c r="O168" s="2"/>
    </row>
    <row r="169" spans="12:15">
      <c r="L169" s="2"/>
      <c r="N169" s="2"/>
      <c r="O169" s="2"/>
    </row>
    <row r="170" spans="12:15">
      <c r="L170" s="2"/>
      <c r="N170" s="2"/>
      <c r="O170" s="2"/>
    </row>
    <row r="171" spans="12:15">
      <c r="L171" s="2"/>
      <c r="N171" s="2"/>
      <c r="O171" s="2"/>
    </row>
    <row r="172" spans="12:15">
      <c r="L172" s="2"/>
      <c r="N172" s="2"/>
      <c r="O172" s="2"/>
    </row>
    <row r="173" spans="12:15">
      <c r="L173" s="2"/>
      <c r="N173" s="2"/>
      <c r="O173" s="2"/>
    </row>
    <row r="174" spans="12:15">
      <c r="L174" s="2"/>
      <c r="N174" s="2"/>
      <c r="O174" s="2"/>
    </row>
    <row r="175" spans="12:15">
      <c r="L175" s="2"/>
      <c r="N175" s="2"/>
      <c r="O175" s="2"/>
    </row>
    <row r="176" spans="12:15">
      <c r="L176" s="2"/>
      <c r="N176" s="2"/>
      <c r="O176" s="2"/>
    </row>
    <row r="177" spans="12:15">
      <c r="L177" s="2"/>
      <c r="N177" s="2"/>
      <c r="O177" s="2"/>
    </row>
    <row r="178" spans="12:15">
      <c r="L178" s="2"/>
      <c r="N178" s="2"/>
      <c r="O178" s="2"/>
    </row>
    <row r="179" spans="12:15">
      <c r="L179" s="2"/>
      <c r="N179" s="2"/>
      <c r="O179" s="2"/>
    </row>
    <row r="180" spans="12:15">
      <c r="L180" s="2"/>
      <c r="N180" s="2"/>
      <c r="O180" s="2"/>
    </row>
    <row r="181" spans="12:15">
      <c r="L181" s="2"/>
      <c r="N181" s="2"/>
      <c r="O181" s="2"/>
    </row>
    <row r="182" spans="12:15">
      <c r="L182" s="2"/>
      <c r="N182" s="2"/>
      <c r="O182" s="2"/>
    </row>
    <row r="183" spans="12:15">
      <c r="L183" s="2"/>
      <c r="N183" s="2"/>
      <c r="O183" s="2"/>
    </row>
    <row r="184" spans="12:15">
      <c r="L184" s="2"/>
      <c r="N184" s="2"/>
      <c r="O184" s="2"/>
    </row>
    <row r="185" spans="12:15">
      <c r="L185" s="2"/>
      <c r="N185" s="2"/>
      <c r="O185" s="2"/>
    </row>
    <row r="186" spans="12:15">
      <c r="L186" s="2"/>
      <c r="N186" s="2"/>
      <c r="O186" s="2"/>
    </row>
    <row r="187" spans="12:15">
      <c r="L187" s="2"/>
      <c r="N187" s="2"/>
      <c r="O187" s="2"/>
    </row>
    <row r="188" spans="12:15">
      <c r="L188" s="2"/>
      <c r="N188" s="2"/>
      <c r="O188" s="2"/>
    </row>
    <row r="189" spans="12:15">
      <c r="L189" s="2"/>
      <c r="N189" s="2"/>
      <c r="O189" s="2"/>
    </row>
    <row r="190" spans="12:15">
      <c r="L190" s="2"/>
      <c r="N190" s="2"/>
      <c r="O190" s="2"/>
    </row>
    <row r="191" spans="12:15">
      <c r="L191" s="2"/>
      <c r="N191" s="2"/>
      <c r="O191" s="2"/>
    </row>
    <row r="192" spans="12:15">
      <c r="L192" s="2"/>
      <c r="N192" s="2"/>
      <c r="O192" s="2"/>
    </row>
    <row r="193" spans="12:15">
      <c r="L193" s="2"/>
      <c r="N193" s="2"/>
      <c r="O193" s="2"/>
    </row>
    <row r="194" spans="12:15">
      <c r="L194" s="2"/>
      <c r="N194" s="2"/>
      <c r="O194" s="2"/>
    </row>
    <row r="195" spans="12:15">
      <c r="L195" s="2"/>
      <c r="N195" s="2"/>
      <c r="O195" s="2"/>
    </row>
    <row r="196" spans="12:15">
      <c r="L196" s="2"/>
      <c r="N196" s="2"/>
      <c r="O196" s="2"/>
    </row>
    <row r="197" spans="12:15">
      <c r="L197" s="2"/>
      <c r="N197" s="2"/>
      <c r="O197" s="2"/>
    </row>
    <row r="198" spans="12:15">
      <c r="L198" s="2"/>
      <c r="N198" s="2"/>
      <c r="O198" s="2"/>
    </row>
    <row r="199" spans="12:15">
      <c r="L199" s="2"/>
      <c r="N199" s="2"/>
      <c r="O199" s="2"/>
    </row>
    <row r="200" spans="12:15">
      <c r="L200" s="2"/>
      <c r="N200" s="2"/>
      <c r="O200" s="2"/>
    </row>
    <row r="201" spans="12:15">
      <c r="L201" s="2"/>
      <c r="N201" s="2"/>
      <c r="O201" s="2"/>
    </row>
    <row r="202" spans="12:15">
      <c r="L202" s="2"/>
      <c r="N202" s="2"/>
      <c r="O202" s="2"/>
    </row>
    <row r="203" spans="12:15">
      <c r="L203" s="2"/>
      <c r="N203" s="2"/>
      <c r="O203" s="2"/>
    </row>
    <row r="204" spans="12:15">
      <c r="L204" s="2"/>
      <c r="N204" s="2"/>
      <c r="O204" s="2"/>
    </row>
    <row r="205" spans="12:15">
      <c r="L205" s="2"/>
      <c r="N205" s="2"/>
      <c r="O205" s="2"/>
    </row>
    <row r="206" spans="12:15">
      <c r="L206" s="2"/>
      <c r="N206" s="2"/>
      <c r="O206" s="2"/>
    </row>
    <row r="207" spans="12:15">
      <c r="L207" s="2"/>
      <c r="N207" s="2"/>
      <c r="O207" s="2"/>
    </row>
    <row r="208" spans="12:15">
      <c r="L208" s="2"/>
      <c r="N208" s="2"/>
      <c r="O208" s="2"/>
    </row>
    <row r="209" spans="12:15">
      <c r="L209" s="2"/>
      <c r="N209" s="2"/>
      <c r="O209" s="2"/>
    </row>
    <row r="210" spans="12:15">
      <c r="L210" s="2"/>
      <c r="N210" s="2"/>
      <c r="O210" s="2"/>
    </row>
    <row r="211" spans="12:15">
      <c r="L211" s="2"/>
      <c r="N211" s="2"/>
      <c r="O211" s="2"/>
    </row>
    <row r="212" spans="12:15">
      <c r="L212" s="2"/>
      <c r="N212" s="2"/>
      <c r="O212" s="2"/>
    </row>
    <row r="213" spans="12:15">
      <c r="L213" s="2"/>
      <c r="N213" s="2"/>
      <c r="O213" s="2"/>
    </row>
    <row r="214" spans="12:15">
      <c r="L214" s="2"/>
      <c r="N214" s="2"/>
      <c r="O214" s="2"/>
    </row>
    <row r="215" spans="12:15">
      <c r="L215" s="2"/>
      <c r="N215" s="2"/>
      <c r="O215" s="2"/>
    </row>
    <row r="216" spans="12:15">
      <c r="L216" s="2"/>
      <c r="N216" s="2"/>
      <c r="O216" s="2"/>
    </row>
    <row r="217" spans="12:15">
      <c r="L217" s="2"/>
      <c r="N217" s="2"/>
      <c r="O217" s="2"/>
    </row>
    <row r="218" spans="12:15">
      <c r="L218" s="2"/>
      <c r="N218" s="2"/>
      <c r="O218" s="2"/>
    </row>
    <row r="219" spans="12:15">
      <c r="L219" s="2"/>
      <c r="N219" s="2"/>
      <c r="O219" s="2"/>
    </row>
    <row r="220" spans="12:15">
      <c r="L220" s="2"/>
      <c r="N220" s="2"/>
      <c r="O220" s="2"/>
    </row>
    <row r="221" spans="12:15">
      <c r="L221" s="2"/>
      <c r="N221" s="2"/>
      <c r="O221" s="2"/>
    </row>
    <row r="222" spans="12:15">
      <c r="L222" s="2"/>
      <c r="N222" s="2"/>
      <c r="O222" s="2"/>
    </row>
    <row r="223" spans="12:15">
      <c r="L223" s="2"/>
      <c r="N223" s="2"/>
      <c r="O223" s="2"/>
    </row>
    <row r="224" spans="12:15">
      <c r="L224" s="2"/>
      <c r="N224" s="2"/>
      <c r="O224" s="2"/>
    </row>
    <row r="225" spans="12:15">
      <c r="L225" s="2"/>
      <c r="N225" s="2"/>
      <c r="O225" s="2"/>
    </row>
    <row r="226" spans="12:15">
      <c r="L226" s="2"/>
      <c r="N226" s="2"/>
      <c r="O226" s="2"/>
    </row>
    <row r="227" spans="12:15">
      <c r="L227" s="2"/>
      <c r="N227" s="2"/>
      <c r="O227" s="2"/>
    </row>
    <row r="228" spans="12:15">
      <c r="L228" s="2"/>
      <c r="N228" s="2"/>
      <c r="O228" s="2"/>
    </row>
    <row r="229" spans="12:15">
      <c r="L229" s="2"/>
      <c r="N229" s="2"/>
      <c r="O229" s="2"/>
    </row>
    <row r="230" spans="12:15">
      <c r="L230" s="2"/>
      <c r="N230" s="2"/>
      <c r="O230" s="2"/>
    </row>
    <row r="231" spans="12:15">
      <c r="L231" s="2"/>
      <c r="N231" s="2"/>
      <c r="O231" s="2"/>
    </row>
    <row r="232" spans="12:15">
      <c r="L232" s="2"/>
      <c r="N232" s="2"/>
      <c r="O232" s="2"/>
    </row>
    <row r="233" spans="12:15">
      <c r="L233" s="2"/>
      <c r="N233" s="2"/>
      <c r="O233" s="2"/>
    </row>
    <row r="234" spans="12:15">
      <c r="L234" s="2"/>
      <c r="N234" s="2"/>
      <c r="O234" s="2"/>
    </row>
    <row r="235" spans="12:15">
      <c r="L235" s="2"/>
      <c r="N235" s="2"/>
      <c r="O235" s="2"/>
    </row>
    <row r="236" spans="12:15">
      <c r="L236" s="2"/>
      <c r="N236" s="2"/>
      <c r="O236" s="2"/>
    </row>
    <row r="237" spans="12:15">
      <c r="L237" s="2"/>
      <c r="N237" s="2"/>
      <c r="O237" s="2"/>
    </row>
    <row r="238" spans="12:15">
      <c r="L238" s="2"/>
      <c r="N238" s="2"/>
      <c r="O238" s="2"/>
    </row>
    <row r="239" spans="12:15">
      <c r="L239" s="2"/>
      <c r="N239" s="2"/>
      <c r="O239" s="2"/>
    </row>
    <row r="240" spans="12:15">
      <c r="L240" s="2"/>
      <c r="N240" s="2"/>
      <c r="O240" s="2"/>
    </row>
    <row r="241" spans="12:15">
      <c r="L241" s="2"/>
      <c r="N241" s="2"/>
      <c r="O241" s="2"/>
    </row>
    <row r="242" spans="12:15">
      <c r="L242" s="2"/>
      <c r="N242" s="2"/>
      <c r="O242" s="2"/>
    </row>
    <row r="243" spans="12:15">
      <c r="L243" s="2"/>
      <c r="N243" s="2"/>
      <c r="O243" s="2"/>
    </row>
    <row r="244" spans="12:15">
      <c r="L244" s="2"/>
      <c r="N244" s="2"/>
      <c r="O244" s="2"/>
    </row>
    <row r="245" spans="12:15">
      <c r="L245" s="2"/>
      <c r="N245" s="2"/>
      <c r="O245" s="2"/>
    </row>
    <row r="246" spans="12:15">
      <c r="L246" s="2"/>
      <c r="N246" s="2"/>
      <c r="O246" s="2"/>
    </row>
    <row r="247" spans="12:15">
      <c r="L247" s="2"/>
      <c r="N247" s="2"/>
      <c r="O247" s="2"/>
    </row>
    <row r="248" spans="12:15">
      <c r="L248" s="2"/>
      <c r="N248" s="2"/>
      <c r="O248" s="2"/>
    </row>
    <row r="249" spans="12:15">
      <c r="L249" s="2"/>
      <c r="N249" s="2"/>
      <c r="O249" s="2"/>
    </row>
    <row r="250" spans="12:15">
      <c r="L250" s="2"/>
      <c r="N250" s="2"/>
      <c r="O250" s="2"/>
    </row>
    <row r="251" spans="12:15">
      <c r="L251" s="2"/>
      <c r="N251" s="2"/>
      <c r="O251" s="2"/>
    </row>
    <row r="252" spans="12:15">
      <c r="L252" s="2"/>
      <c r="N252" s="2"/>
      <c r="O252" s="2"/>
    </row>
    <row r="253" spans="12:15">
      <c r="L253" s="2"/>
      <c r="N253" s="2"/>
      <c r="O253" s="2"/>
    </row>
    <row r="254" spans="12:15">
      <c r="L254" s="2"/>
      <c r="N254" s="2"/>
      <c r="O254" s="2"/>
    </row>
    <row r="255" spans="12:15">
      <c r="L255" s="2"/>
      <c r="N255" s="2"/>
      <c r="O255" s="2"/>
    </row>
    <row r="256" spans="12:15">
      <c r="L256" s="2"/>
      <c r="N256" s="2"/>
      <c r="O256" s="2"/>
    </row>
    <row r="257" spans="12:15">
      <c r="L257" s="2"/>
      <c r="N257" s="2"/>
      <c r="O257" s="2"/>
    </row>
    <row r="258" spans="12:15">
      <c r="L258" s="2"/>
      <c r="N258" s="2"/>
      <c r="O258" s="2"/>
    </row>
    <row r="259" spans="12:15">
      <c r="L259" s="2"/>
      <c r="N259" s="2"/>
      <c r="O259" s="2"/>
    </row>
    <row r="260" spans="12:15">
      <c r="L260" s="2"/>
      <c r="N260" s="2"/>
      <c r="O260" s="2"/>
    </row>
    <row r="261" spans="12:15">
      <c r="L261" s="2"/>
      <c r="N261" s="2"/>
      <c r="O261" s="2"/>
    </row>
    <row r="262" spans="12:15">
      <c r="L262" s="2"/>
      <c r="N262" s="2"/>
      <c r="O262" s="2"/>
    </row>
    <row r="263" spans="12:15">
      <c r="L263" s="2"/>
      <c r="N263" s="2"/>
      <c r="O263" s="2"/>
    </row>
    <row r="264" spans="12:15">
      <c r="L264" s="2"/>
      <c r="N264" s="2"/>
      <c r="O264" s="2"/>
    </row>
    <row r="265" spans="12:15">
      <c r="L265" s="2"/>
      <c r="N265" s="2"/>
      <c r="O265" s="2"/>
    </row>
    <row r="266" spans="12:15">
      <c r="L266" s="2"/>
      <c r="N266" s="2"/>
      <c r="O266" s="2"/>
    </row>
    <row r="267" spans="12:15">
      <c r="L267" s="2"/>
      <c r="N267" s="2"/>
      <c r="O267" s="2"/>
    </row>
    <row r="268" spans="12:15">
      <c r="L268" s="2"/>
      <c r="N268" s="2"/>
      <c r="O268" s="2"/>
    </row>
    <row r="269" spans="12:15">
      <c r="L269" s="2"/>
      <c r="N269" s="2"/>
      <c r="O269" s="2"/>
    </row>
    <row r="270" spans="12:15">
      <c r="L270" s="2"/>
      <c r="N270" s="2"/>
      <c r="O270" s="2"/>
    </row>
    <row r="271" spans="12:15">
      <c r="L271" s="2"/>
      <c r="N271" s="2"/>
      <c r="O271" s="2"/>
    </row>
    <row r="272" spans="12:15">
      <c r="L272" s="2"/>
      <c r="N272" s="2"/>
      <c r="O272" s="2"/>
    </row>
    <row r="273" spans="12:15">
      <c r="L273" s="2"/>
      <c r="N273" s="2"/>
      <c r="O273" s="2"/>
    </row>
    <row r="274" spans="12:15">
      <c r="L274" s="2"/>
      <c r="N274" s="2"/>
      <c r="O274" s="2"/>
    </row>
    <row r="275" spans="12:15">
      <c r="N275" s="3"/>
      <c r="O275" s="3"/>
    </row>
    <row r="276" spans="12:15">
      <c r="N276" s="3"/>
      <c r="O276" s="3"/>
    </row>
    <row r="277" spans="12:15">
      <c r="L277" s="2"/>
      <c r="N277" s="2"/>
      <c r="O277" s="2"/>
    </row>
    <row r="278" spans="12:15">
      <c r="L278" s="2"/>
      <c r="N278" s="2"/>
      <c r="O278" s="2"/>
    </row>
    <row r="279" spans="12:15">
      <c r="L279" s="2"/>
      <c r="N279" s="2"/>
      <c r="O279" s="2"/>
    </row>
    <row r="280" spans="12:15">
      <c r="N280" s="3"/>
      <c r="O280" s="3"/>
    </row>
    <row r="281" spans="12:15">
      <c r="N281" s="3"/>
      <c r="O281" s="3"/>
    </row>
    <row r="282" spans="12:15">
      <c r="L282" s="2"/>
      <c r="N282" s="2"/>
      <c r="O282" s="2"/>
    </row>
    <row r="283" spans="12:15">
      <c r="L283" s="2"/>
      <c r="N283" s="2"/>
      <c r="O283" s="2"/>
    </row>
    <row r="284" spans="12:15">
      <c r="L284" s="2"/>
      <c r="N284" s="2"/>
      <c r="O284" s="2"/>
    </row>
    <row r="285" spans="12:15">
      <c r="L285" s="2"/>
      <c r="N285" s="2"/>
      <c r="O285" s="2"/>
    </row>
    <row r="286" spans="12:15">
      <c r="L286" s="2"/>
      <c r="N286" s="2"/>
      <c r="O286" s="2"/>
    </row>
    <row r="287" spans="12:15">
      <c r="L287" s="2"/>
      <c r="N287" s="2"/>
      <c r="O287" s="2"/>
    </row>
    <row r="288" spans="12:15">
      <c r="L288" s="2"/>
      <c r="N288" s="2"/>
      <c r="O288" s="2"/>
    </row>
    <row r="289" spans="12:15">
      <c r="L289" s="2"/>
      <c r="N289" s="2"/>
      <c r="O289" s="2"/>
    </row>
    <row r="290" spans="12:15">
      <c r="L290" s="2"/>
      <c r="N290" s="2"/>
      <c r="O290" s="2"/>
    </row>
    <row r="291" spans="12:15">
      <c r="L291" s="2"/>
      <c r="N291" s="2"/>
      <c r="O291" s="2"/>
    </row>
    <row r="292" spans="12:15">
      <c r="L292" s="2"/>
      <c r="N292" s="2"/>
      <c r="O292" s="2"/>
    </row>
    <row r="293" spans="12:15">
      <c r="L293" s="2"/>
      <c r="N293" s="2"/>
      <c r="O293" s="2"/>
    </row>
    <row r="294" spans="12:15">
      <c r="L294" s="2"/>
      <c r="N294" s="2"/>
      <c r="O294" s="2"/>
    </row>
    <row r="295" spans="12:15">
      <c r="L295" s="2"/>
      <c r="N295" s="2"/>
      <c r="O295" s="2"/>
    </row>
    <row r="296" spans="12:15">
      <c r="L296" s="2"/>
      <c r="N296" s="2"/>
      <c r="O296" s="2"/>
    </row>
    <row r="297" spans="12:15">
      <c r="L297" s="2"/>
      <c r="N297" s="2"/>
      <c r="O297" s="2"/>
    </row>
    <row r="298" spans="12:15">
      <c r="L298" s="2"/>
      <c r="N298" s="2"/>
      <c r="O298" s="2"/>
    </row>
    <row r="299" spans="12:15">
      <c r="L299" s="2"/>
      <c r="N299" s="2"/>
      <c r="O299" s="2"/>
    </row>
    <row r="300" spans="12:15">
      <c r="L300" s="2"/>
      <c r="N300" s="2"/>
      <c r="O300" s="2"/>
    </row>
    <row r="301" spans="12:15">
      <c r="L301" s="2"/>
      <c r="N301" s="2"/>
      <c r="O301" s="2"/>
    </row>
    <row r="302" spans="12:15">
      <c r="L302" s="2"/>
      <c r="N302" s="2"/>
      <c r="O302" s="2"/>
    </row>
    <row r="303" spans="12:15">
      <c r="L303" s="2"/>
      <c r="N303" s="2"/>
      <c r="O303" s="2"/>
    </row>
    <row r="304" spans="12:15">
      <c r="L304" s="2"/>
      <c r="N304" s="2"/>
      <c r="O304" s="2"/>
    </row>
    <row r="305" spans="12:15">
      <c r="L305" s="2"/>
      <c r="N305" s="2"/>
      <c r="O305" s="2"/>
    </row>
    <row r="306" spans="12:15">
      <c r="L306" s="2"/>
      <c r="N306" s="2"/>
      <c r="O306" s="2"/>
    </row>
    <row r="307" spans="12:15">
      <c r="L307" s="2"/>
      <c r="N307" s="2"/>
      <c r="O307" s="2"/>
    </row>
    <row r="308" spans="12:15">
      <c r="L308" s="2"/>
      <c r="N308" s="2"/>
      <c r="O308" s="2"/>
    </row>
    <row r="309" spans="12:15">
      <c r="L309" s="2"/>
      <c r="N309" s="2"/>
      <c r="O309" s="2"/>
    </row>
    <row r="310" spans="12:15">
      <c r="L310" s="2"/>
      <c r="N310" s="2"/>
      <c r="O310" s="2"/>
    </row>
    <row r="311" spans="12:15">
      <c r="L311" s="2"/>
      <c r="N311" s="2"/>
      <c r="O311" s="2"/>
    </row>
    <row r="312" spans="12:15">
      <c r="L312" s="2"/>
      <c r="N312" s="2"/>
      <c r="O312" s="2"/>
    </row>
    <row r="313" spans="12:15">
      <c r="L313" s="2"/>
      <c r="N313" s="2"/>
      <c r="O313" s="2"/>
    </row>
    <row r="314" spans="12:15">
      <c r="L314" s="2"/>
      <c r="N314" s="2"/>
      <c r="O314" s="2"/>
    </row>
    <row r="315" spans="12:15">
      <c r="L315" s="2"/>
      <c r="N315" s="2"/>
      <c r="O315" s="2"/>
    </row>
    <row r="316" spans="12:15">
      <c r="L316" s="2"/>
      <c r="N316" s="2"/>
      <c r="O316" s="2"/>
    </row>
    <row r="317" spans="12:15">
      <c r="L317" s="2"/>
      <c r="N317" s="2"/>
      <c r="O317" s="2"/>
    </row>
    <row r="318" spans="12:15">
      <c r="L318" s="2"/>
      <c r="N318" s="2"/>
      <c r="O318" s="2"/>
    </row>
    <row r="319" spans="12:15">
      <c r="L319" s="2"/>
      <c r="N319" s="2"/>
      <c r="O319" s="2"/>
    </row>
    <row r="320" spans="12:15">
      <c r="L320" s="2"/>
      <c r="N320" s="2"/>
      <c r="O320" s="2"/>
    </row>
    <row r="321" spans="12:15">
      <c r="L321" s="2"/>
      <c r="N321" s="2"/>
      <c r="O321" s="2"/>
    </row>
    <row r="322" spans="12:15">
      <c r="L322" s="2"/>
      <c r="N322" s="2"/>
      <c r="O322" s="2"/>
    </row>
    <row r="323" spans="12:15">
      <c r="L323" s="2"/>
      <c r="N323" s="2"/>
      <c r="O323" s="2"/>
    </row>
    <row r="324" spans="12:15">
      <c r="L324" s="2"/>
      <c r="N324" s="2"/>
      <c r="O324" s="2"/>
    </row>
    <row r="325" spans="12:15">
      <c r="L325" s="2"/>
      <c r="N325" s="2"/>
      <c r="O325" s="2"/>
    </row>
    <row r="326" spans="12:15">
      <c r="L326" s="2"/>
      <c r="N326" s="2"/>
      <c r="O326" s="2"/>
    </row>
    <row r="327" spans="12:15">
      <c r="L327" s="2"/>
      <c r="N327" s="2"/>
      <c r="O327" s="2"/>
    </row>
    <row r="328" spans="12:15">
      <c r="L328" s="2"/>
      <c r="N328" s="2"/>
      <c r="O328" s="2"/>
    </row>
    <row r="329" spans="12:15">
      <c r="L329" s="2"/>
      <c r="N329" s="2"/>
      <c r="O329" s="2"/>
    </row>
    <row r="330" spans="12:15">
      <c r="L330" s="2"/>
      <c r="N330" s="2"/>
      <c r="O330" s="2"/>
    </row>
    <row r="331" spans="12:15">
      <c r="L331" s="2"/>
      <c r="N331" s="2"/>
      <c r="O331" s="2"/>
    </row>
    <row r="332" spans="12:15">
      <c r="L332" s="2"/>
      <c r="N332" s="2"/>
      <c r="O332" s="2"/>
    </row>
    <row r="333" spans="12:15">
      <c r="L333" s="2"/>
      <c r="N333" s="2"/>
      <c r="O333" s="2"/>
    </row>
    <row r="334" spans="12:15">
      <c r="L334" s="2"/>
      <c r="N334" s="2"/>
      <c r="O334" s="2"/>
    </row>
    <row r="335" spans="12:15">
      <c r="L335" s="2"/>
      <c r="N335" s="2"/>
      <c r="O335" s="2"/>
    </row>
    <row r="336" spans="12:15">
      <c r="L336" s="2"/>
      <c r="N336" s="2"/>
      <c r="O336" s="2"/>
    </row>
    <row r="337" spans="12:15">
      <c r="L337" s="2"/>
      <c r="N337" s="2"/>
      <c r="O337" s="2"/>
    </row>
    <row r="338" spans="12:15">
      <c r="L338" s="2"/>
      <c r="N338" s="2"/>
      <c r="O338" s="2"/>
    </row>
    <row r="339" spans="12:15">
      <c r="L339" s="2"/>
      <c r="N339" s="2"/>
      <c r="O339" s="2"/>
    </row>
    <row r="340" spans="12:15">
      <c r="L340" s="2"/>
      <c r="N340" s="2"/>
      <c r="O340" s="2"/>
    </row>
    <row r="341" spans="12:15">
      <c r="L341" s="2"/>
      <c r="N341" s="2"/>
      <c r="O341" s="2"/>
    </row>
    <row r="342" spans="12:15">
      <c r="L342" s="2"/>
      <c r="N342" s="2"/>
      <c r="O342" s="2"/>
    </row>
    <row r="343" spans="12:15">
      <c r="L343" s="2"/>
      <c r="N343" s="2"/>
      <c r="O343" s="2"/>
    </row>
    <row r="344" spans="12:15">
      <c r="L344" s="2"/>
      <c r="N344" s="2"/>
      <c r="O344" s="2"/>
    </row>
    <row r="345" spans="12:15">
      <c r="L345" s="2"/>
      <c r="N345" s="2"/>
      <c r="O345" s="2"/>
    </row>
    <row r="346" spans="12:15">
      <c r="L346" s="2"/>
      <c r="N346" s="2"/>
      <c r="O346" s="2"/>
    </row>
    <row r="347" spans="12:15">
      <c r="L347" s="2"/>
      <c r="N347" s="2"/>
      <c r="O347" s="2"/>
    </row>
    <row r="348" spans="12:15">
      <c r="L348" s="2"/>
      <c r="N348" s="2"/>
      <c r="O348" s="2"/>
    </row>
    <row r="349" spans="12:15">
      <c r="L349" s="2"/>
      <c r="N349" s="2"/>
      <c r="O349" s="2"/>
    </row>
    <row r="350" spans="12:15">
      <c r="L350" s="2"/>
      <c r="N350" s="2"/>
      <c r="O350" s="2"/>
    </row>
    <row r="351" spans="12:15">
      <c r="L351" s="2"/>
      <c r="N351" s="2"/>
      <c r="O351" s="2"/>
    </row>
    <row r="352" spans="12:15">
      <c r="L352" s="2"/>
      <c r="N352" s="2"/>
      <c r="O352" s="2"/>
    </row>
    <row r="353" spans="12:15">
      <c r="L353" s="2"/>
      <c r="N353" s="2"/>
      <c r="O353" s="2"/>
    </row>
    <row r="354" spans="12:15">
      <c r="L354" s="2"/>
      <c r="N354" s="2"/>
      <c r="O354" s="2"/>
    </row>
    <row r="355" spans="12:15">
      <c r="L355" s="2"/>
      <c r="N355" s="2"/>
      <c r="O355" s="2"/>
    </row>
    <row r="356" spans="12:15">
      <c r="L356" s="2"/>
      <c r="N356" s="2"/>
      <c r="O356" s="2"/>
    </row>
    <row r="357" spans="12:15">
      <c r="L357" s="2"/>
      <c r="N357" s="2"/>
      <c r="O357" s="2"/>
    </row>
    <row r="358" spans="12:15">
      <c r="L358" s="2"/>
      <c r="N358" s="2"/>
      <c r="O358" s="2"/>
    </row>
    <row r="359" spans="12:15">
      <c r="L359" s="2"/>
      <c r="N359" s="2"/>
      <c r="O359" s="2"/>
    </row>
    <row r="360" spans="12:15">
      <c r="L360" s="2"/>
      <c r="N360" s="2"/>
      <c r="O360" s="2"/>
    </row>
    <row r="361" spans="12:15">
      <c r="L361" s="2"/>
      <c r="N361" s="2"/>
      <c r="O361" s="2"/>
    </row>
    <row r="362" spans="12:15">
      <c r="L362" s="2"/>
      <c r="N362" s="2"/>
      <c r="O362" s="2"/>
    </row>
    <row r="363" spans="12:15">
      <c r="L363" s="2"/>
      <c r="N363" s="2"/>
      <c r="O363" s="2"/>
    </row>
    <row r="364" spans="12:15">
      <c r="L364" s="2"/>
      <c r="N364" s="2"/>
      <c r="O364" s="2"/>
    </row>
    <row r="365" spans="12:15">
      <c r="L365" s="2"/>
      <c r="N365" s="2"/>
      <c r="O365" s="2"/>
    </row>
    <row r="366" spans="12:15">
      <c r="L366" s="2"/>
      <c r="N366" s="2"/>
      <c r="O366" s="2"/>
    </row>
    <row r="367" spans="12:15">
      <c r="L367" s="2"/>
      <c r="N367" s="2"/>
      <c r="O367" s="2"/>
    </row>
    <row r="368" spans="12:15">
      <c r="L368" s="2"/>
      <c r="N368" s="2"/>
      <c r="O368" s="2"/>
    </row>
    <row r="369" spans="12:15">
      <c r="L369" s="2"/>
      <c r="N369" s="2"/>
      <c r="O369" s="2"/>
    </row>
    <row r="370" spans="12:15">
      <c r="L370" s="2"/>
      <c r="N370" s="2"/>
      <c r="O370" s="2"/>
    </row>
    <row r="371" spans="12:15">
      <c r="L371" s="2"/>
      <c r="N371" s="2"/>
      <c r="O371" s="2"/>
    </row>
    <row r="372" spans="12:15">
      <c r="L372" s="2"/>
      <c r="N372" s="2"/>
      <c r="O372" s="2"/>
    </row>
    <row r="373" spans="12:15">
      <c r="L373" s="2"/>
      <c r="N373" s="2"/>
      <c r="O373" s="2"/>
    </row>
    <row r="374" spans="12:15">
      <c r="L374" s="2"/>
      <c r="N374" s="2"/>
      <c r="O374" s="2"/>
    </row>
    <row r="375" spans="12:15">
      <c r="L375" s="2"/>
      <c r="N375" s="2"/>
      <c r="O375" s="2"/>
    </row>
    <row r="376" spans="12:15">
      <c r="L376" s="2"/>
      <c r="N376" s="2"/>
      <c r="O376" s="2"/>
    </row>
    <row r="377" spans="12:15">
      <c r="L377" s="2"/>
      <c r="N377" s="2"/>
      <c r="O377" s="2"/>
    </row>
    <row r="378" spans="12:15">
      <c r="L378" s="2"/>
      <c r="N378" s="2"/>
      <c r="O378" s="2"/>
    </row>
    <row r="379" spans="12:15">
      <c r="L379" s="2"/>
      <c r="N379" s="2"/>
      <c r="O379" s="2"/>
    </row>
    <row r="380" spans="12:15">
      <c r="L380" s="2"/>
      <c r="N380" s="2"/>
      <c r="O380" s="2"/>
    </row>
    <row r="381" spans="12:15">
      <c r="L381" s="2"/>
      <c r="N381" s="2"/>
      <c r="O381" s="2"/>
    </row>
    <row r="382" spans="12:15">
      <c r="L382" s="2"/>
      <c r="N382" s="2"/>
      <c r="O382" s="2"/>
    </row>
    <row r="383" spans="12:15">
      <c r="L383" s="2"/>
      <c r="N383" s="2"/>
      <c r="O383" s="2"/>
    </row>
    <row r="384" spans="12:15">
      <c r="L384" s="2"/>
      <c r="N384" s="2"/>
      <c r="O384" s="2"/>
    </row>
    <row r="385" spans="12:15">
      <c r="L385" s="2"/>
      <c r="N385" s="2"/>
      <c r="O385" s="2"/>
    </row>
    <row r="386" spans="12:15">
      <c r="L386" s="2"/>
      <c r="N386" s="2"/>
      <c r="O386" s="2"/>
    </row>
    <row r="387" spans="12:15">
      <c r="L387" s="2"/>
      <c r="N387" s="2"/>
      <c r="O387" s="2"/>
    </row>
    <row r="388" spans="12:15">
      <c r="L388" s="2"/>
      <c r="N388" s="2"/>
      <c r="O388" s="2"/>
    </row>
    <row r="389" spans="12:15">
      <c r="L389" s="2"/>
      <c r="N389" s="2"/>
      <c r="O389" s="2"/>
    </row>
    <row r="390" spans="12:15">
      <c r="L390" s="2"/>
      <c r="N390" s="2"/>
      <c r="O390" s="2"/>
    </row>
    <row r="391" spans="12:15">
      <c r="L391" s="2"/>
      <c r="N391" s="2"/>
      <c r="O391" s="2"/>
    </row>
    <row r="392" spans="12:15">
      <c r="L392" s="2"/>
      <c r="N392" s="2"/>
      <c r="O392" s="2"/>
    </row>
    <row r="393" spans="12:15">
      <c r="L393" s="2"/>
      <c r="N393" s="2"/>
      <c r="O393" s="2"/>
    </row>
    <row r="394" spans="12:15">
      <c r="L394" s="2"/>
      <c r="N394" s="2"/>
      <c r="O394" s="2"/>
    </row>
    <row r="395" spans="12:15">
      <c r="L395" s="2"/>
      <c r="N395" s="2"/>
      <c r="O395" s="2"/>
    </row>
    <row r="396" spans="12:15">
      <c r="L396" s="2"/>
      <c r="N396" s="2"/>
      <c r="O396" s="2"/>
    </row>
    <row r="397" spans="12:15">
      <c r="L397" s="2"/>
      <c r="N397" s="2"/>
      <c r="O397" s="2"/>
    </row>
    <row r="398" spans="12:15">
      <c r="L398" s="2"/>
      <c r="N398" s="2"/>
      <c r="O398" s="2"/>
    </row>
    <row r="399" spans="12:15">
      <c r="L399" s="2"/>
      <c r="N399" s="2"/>
      <c r="O399" s="2"/>
    </row>
    <row r="400" spans="12:15">
      <c r="L400" s="2"/>
      <c r="N400" s="2"/>
      <c r="O400" s="2"/>
    </row>
    <row r="401" spans="12:15">
      <c r="L401" s="2"/>
      <c r="N401" s="2"/>
      <c r="O401" s="2"/>
    </row>
    <row r="402" spans="12:15">
      <c r="L402" s="2"/>
      <c r="N402" s="2"/>
      <c r="O402" s="2"/>
    </row>
    <row r="403" spans="12:15">
      <c r="L403" s="2"/>
      <c r="N403" s="2"/>
      <c r="O403" s="2"/>
    </row>
    <row r="404" spans="12:15">
      <c r="L404" s="2"/>
      <c r="N404" s="2"/>
      <c r="O404" s="2"/>
    </row>
    <row r="405" spans="12:15">
      <c r="L405" s="2"/>
      <c r="N405" s="2"/>
      <c r="O405" s="2"/>
    </row>
    <row r="406" spans="12:15">
      <c r="L406" s="2"/>
      <c r="N406" s="2"/>
      <c r="O406" s="2"/>
    </row>
    <row r="407" spans="12:15">
      <c r="L407" s="2"/>
      <c r="N407" s="2"/>
      <c r="O407" s="2"/>
    </row>
    <row r="408" spans="12:15">
      <c r="L408" s="2"/>
      <c r="N408" s="2"/>
      <c r="O408" s="2"/>
    </row>
    <row r="409" spans="12:15">
      <c r="L409" s="2"/>
      <c r="N409" s="2"/>
      <c r="O409" s="2"/>
    </row>
    <row r="410" spans="12:15">
      <c r="L410" s="2"/>
      <c r="N410" s="2"/>
      <c r="O410" s="2"/>
    </row>
    <row r="411" spans="12:15">
      <c r="L411" s="2"/>
      <c r="N411" s="2"/>
      <c r="O411" s="2"/>
    </row>
    <row r="412" spans="12:15">
      <c r="L412" s="2"/>
      <c r="N412" s="2"/>
      <c r="O412" s="2"/>
    </row>
    <row r="413" spans="12:15">
      <c r="L413" s="2"/>
      <c r="N413" s="2"/>
      <c r="O413" s="2"/>
    </row>
    <row r="414" spans="12:15">
      <c r="L414" s="2"/>
      <c r="N414" s="2"/>
      <c r="O414" s="2"/>
    </row>
    <row r="415" spans="12:15">
      <c r="L415" s="2"/>
      <c r="N415" s="2"/>
      <c r="O415" s="2"/>
    </row>
    <row r="416" spans="1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2:15">
      <c r="L1009" s="2"/>
      <c r="N1009" s="2"/>
      <c r="O1009" s="2"/>
    </row>
    <row r="1010" spans="12:15">
      <c r="L1010" s="2"/>
      <c r="N1010" s="2"/>
      <c r="O1010" s="2"/>
    </row>
    <row r="1011" spans="12:15">
      <c r="L1011" s="2"/>
      <c r="N1011" s="2"/>
      <c r="O1011" s="2"/>
    </row>
    <row r="1012" spans="12:15">
      <c r="L1012" s="2"/>
      <c r="N1012" s="2"/>
      <c r="O1012" s="2"/>
    </row>
    <row r="1013" spans="12:15">
      <c r="L1013" s="2"/>
      <c r="N1013" s="2"/>
      <c r="O1013" s="2"/>
    </row>
    <row r="1014" spans="12:15">
      <c r="L1014" s="2"/>
      <c r="N1014" s="2"/>
      <c r="O1014" s="2"/>
    </row>
    <row r="1015" spans="12:15">
      <c r="L1015" s="2"/>
      <c r="N1015" s="2"/>
      <c r="O1015" s="2"/>
    </row>
    <row r="1016" spans="12:15">
      <c r="L1016" s="2"/>
      <c r="N1016" s="2"/>
      <c r="O1016" s="2"/>
    </row>
    <row r="1017" spans="12:15">
      <c r="L1017" s="2"/>
      <c r="N1017" s="2"/>
      <c r="O1017" s="2"/>
    </row>
    <row r="1018" spans="12:15">
      <c r="L1018" s="2"/>
      <c r="N1018" s="2"/>
      <c r="O1018" s="2"/>
    </row>
    <row r="1019" spans="12:15">
      <c r="L1019" s="2"/>
      <c r="N1019" s="2"/>
      <c r="O1019" s="2"/>
    </row>
    <row r="1020" spans="12:15">
      <c r="L1020" s="2"/>
      <c r="N1020" s="2"/>
      <c r="O1020" s="2"/>
    </row>
    <row r="1021" spans="12:15">
      <c r="L1021" s="2"/>
      <c r="N1021" s="2"/>
      <c r="O1021" s="2"/>
    </row>
    <row r="1022" spans="12:15">
      <c r="L1022" s="2"/>
      <c r="N1022" s="2"/>
      <c r="O1022" s="2"/>
    </row>
    <row r="1023" spans="12:15">
      <c r="L1023" s="2"/>
      <c r="N1023" s="2"/>
      <c r="O1023" s="2"/>
    </row>
    <row r="1024" spans="12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2:15">
      <c r="L1041" s="2"/>
      <c r="N1041" s="2"/>
      <c r="O1041" s="2"/>
    </row>
    <row r="1042" spans="12:15">
      <c r="L1042" s="2"/>
      <c r="N1042" s="2"/>
      <c r="O1042" s="2"/>
    </row>
    <row r="1043" spans="12:15">
      <c r="L1043" s="2"/>
      <c r="N1043" s="2"/>
      <c r="O1043" s="2"/>
    </row>
    <row r="1044" spans="12:15">
      <c r="L1044" s="2"/>
      <c r="N1044" s="2"/>
      <c r="O1044" s="2"/>
    </row>
    <row r="1045" spans="12:15">
      <c r="L1045" s="2"/>
      <c r="N1045" s="2"/>
      <c r="O1045" s="2"/>
    </row>
    <row r="1046" spans="12:15">
      <c r="L1046" s="2"/>
      <c r="N1046" s="2"/>
      <c r="O1046" s="2"/>
    </row>
    <row r="1047" spans="12:15">
      <c r="L1047" s="2"/>
      <c r="N1047" s="2"/>
      <c r="O1047" s="2"/>
    </row>
    <row r="1048" spans="12:15">
      <c r="L1048" s="2"/>
      <c r="N1048" s="2"/>
      <c r="O1048" s="2"/>
    </row>
    <row r="1049" spans="12:15">
      <c r="L1049" s="2"/>
      <c r="N1049" s="2"/>
      <c r="O1049" s="2"/>
    </row>
    <row r="1050" spans="12:15">
      <c r="L1050" s="2"/>
      <c r="N1050" s="2"/>
      <c r="O1050" s="2"/>
    </row>
    <row r="1051" spans="12:15">
      <c r="L1051" s="2"/>
      <c r="N1051" s="2"/>
      <c r="O1051" s="2"/>
    </row>
    <row r="1052" spans="12:15">
      <c r="L1052" s="2"/>
      <c r="N1052" s="2"/>
      <c r="O1052" s="2"/>
    </row>
    <row r="1053" spans="12:15">
      <c r="L1053" s="2"/>
      <c r="N1053" s="2"/>
      <c r="O1053" s="2"/>
    </row>
    <row r="1054" spans="12:15">
      <c r="L1054" s="2"/>
      <c r="N1054" s="2"/>
      <c r="O1054" s="2"/>
    </row>
    <row r="1055" spans="12:15">
      <c r="L1055" s="2"/>
      <c r="N1055" s="2"/>
      <c r="O1055" s="2"/>
    </row>
    <row r="1056" spans="12:15">
      <c r="L1056" s="2"/>
      <c r="N1056" s="2"/>
      <c r="O1056" s="2"/>
    </row>
    <row r="1057" spans="12:15">
      <c r="L1057" s="2"/>
      <c r="N1057" s="2"/>
      <c r="O1057" s="2"/>
    </row>
    <row r="1058" spans="12:15">
      <c r="L1058" s="2"/>
      <c r="N1058" s="2"/>
      <c r="O1058" s="2"/>
    </row>
    <row r="1059" spans="12:15">
      <c r="L1059" s="2"/>
      <c r="N1059" s="2"/>
      <c r="O1059" s="2"/>
    </row>
    <row r="1060" spans="12:15">
      <c r="L1060" s="2"/>
      <c r="N1060" s="2"/>
      <c r="O1060" s="2"/>
    </row>
    <row r="1061" spans="12:15">
      <c r="L1061" s="2"/>
      <c r="N1061" s="2"/>
      <c r="O1061" s="2"/>
    </row>
    <row r="1062" spans="12:15">
      <c r="L1062" s="2"/>
      <c r="N1062" s="2"/>
      <c r="O1062" s="2"/>
    </row>
    <row r="1063" spans="12:15">
      <c r="L1063" s="2"/>
      <c r="N1063" s="2"/>
      <c r="O1063" s="2"/>
    </row>
    <row r="1064" spans="12:15">
      <c r="L1064" s="2"/>
      <c r="N1064" s="2"/>
      <c r="O1064" s="2"/>
    </row>
    <row r="1065" spans="12:15">
      <c r="L1065" s="2"/>
      <c r="N1065" s="2"/>
      <c r="O1065" s="2"/>
    </row>
    <row r="1066" spans="12:15">
      <c r="L1066" s="2"/>
      <c r="N1066" s="2"/>
      <c r="O1066" s="2"/>
    </row>
    <row r="1067" spans="12:15">
      <c r="L1067" s="2"/>
      <c r="N1067" s="2"/>
      <c r="O1067" s="2"/>
    </row>
    <row r="1068" spans="12:15">
      <c r="L1068" s="2"/>
      <c r="N1068" s="2"/>
      <c r="O1068" s="2"/>
    </row>
    <row r="1069" spans="12:15">
      <c r="L1069" s="2"/>
      <c r="N1069" s="2"/>
      <c r="O1069" s="2"/>
    </row>
    <row r="1070" spans="12:15">
      <c r="L1070" s="2"/>
      <c r="N1070" s="2"/>
      <c r="O1070" s="2"/>
    </row>
    <row r="1071" spans="12:15">
      <c r="L1071" s="2"/>
      <c r="N1071" s="2"/>
      <c r="O1071" s="2"/>
    </row>
    <row r="1072" spans="12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L1214" s="2"/>
      <c r="N1214" s="2"/>
      <c r="O1214" s="2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N1225" s="3"/>
      <c r="O1225" s="3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L1229" s="2"/>
      <c r="N1229" s="2"/>
      <c r="O1229" s="2"/>
    </row>
    <row r="1230" spans="12:15">
      <c r="L1230" s="2"/>
      <c r="N1230" s="2"/>
      <c r="O1230" s="2"/>
    </row>
    <row r="1231" spans="12:15">
      <c r="L1231" s="2"/>
      <c r="N1231" s="2"/>
      <c r="O1231" s="2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  <row r="2145" spans="12:15">
      <c r="L2145" s="2"/>
      <c r="N2145" s="2"/>
      <c r="O2145" s="2"/>
    </row>
    <row r="2146" spans="12:15">
      <c r="L2146" s="2"/>
      <c r="N2146" s="2"/>
      <c r="O2146" s="2"/>
    </row>
    <row r="2147" spans="12:15">
      <c r="L2147" s="2"/>
      <c r="N2147" s="2"/>
      <c r="O2147" s="2"/>
    </row>
    <row r="2148" spans="12:15">
      <c r="L2148" s="2"/>
      <c r="N2148" s="2"/>
      <c r="O2148" s="2"/>
    </row>
    <row r="2149" spans="12:15">
      <c r="L2149" s="2"/>
      <c r="N2149" s="2"/>
      <c r="O2149" s="2"/>
    </row>
    <row r="2150" spans="12:15">
      <c r="L2150" s="2"/>
      <c r="N2150" s="2"/>
      <c r="O2150" s="2"/>
    </row>
    <row r="2151" spans="12:15">
      <c r="L2151" s="2"/>
      <c r="N2151" s="2"/>
      <c r="O2151" s="2"/>
    </row>
    <row r="2152" spans="12:15">
      <c r="L2152" s="2"/>
      <c r="N2152" s="2"/>
      <c r="O2152" s="2"/>
    </row>
    <row r="2153" spans="12:15">
      <c r="L2153" s="2"/>
      <c r="N2153" s="2"/>
      <c r="O2153" s="2"/>
    </row>
    <row r="2154" spans="12:15">
      <c r="L2154" s="2"/>
      <c r="N2154" s="2"/>
      <c r="O2154" s="2"/>
    </row>
    <row r="2155" spans="12:15">
      <c r="L2155" s="2"/>
      <c r="N2155" s="2"/>
      <c r="O2155" s="2"/>
    </row>
  </sheetData>
  <autoFilter ref="A19:O1224" xr:uid="{77595A25-A759-40B4-AE0D-A27FCE2AE26E}"/>
  <conditionalFormatting sqref="D19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13</xdr:row>
                    <xdr:rowOff>123825</xdr:rowOff>
                  </from>
                  <to>
                    <xdr:col>2</xdr:col>
                    <xdr:colOff>2286000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13</xdr:row>
                    <xdr:rowOff>114300</xdr:rowOff>
                  </from>
                  <to>
                    <xdr:col>3</xdr:col>
                    <xdr:colOff>2295525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10</vt:i4>
      </vt:variant>
    </vt:vector>
  </HeadingPairs>
  <TitlesOfParts>
    <vt:vector size="11" baseType="lpstr">
      <vt:lpstr>Resumo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2019-12-02T14:37:20Z</dcterms:modified>
</cp:coreProperties>
</file>