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elipe.lima\Desktop\"/>
    </mc:Choice>
  </mc:AlternateContent>
  <xr:revisionPtr revIDLastSave="0" documentId="8_{CF1716E9-47F5-4581-A34A-FADC95F0B640}" xr6:coauthVersionLast="44" xr6:coauthVersionMax="44" xr10:uidLastSave="{00000000-0000-0000-0000-000000000000}"/>
  <bookViews>
    <workbookView xWindow="-120" yWindow="-120" windowWidth="20730" windowHeight="11160" tabRatio="663" xr2:uid="{00000000-000D-0000-FFFF-FFFF00000000}"/>
  </bookViews>
  <sheets>
    <sheet name="CM" sheetId="1" r:id="rId1"/>
    <sheet name="Pivot CM" sheetId="3" r:id="rId2"/>
    <sheet name="DV" sheetId="2" r:id="rId3"/>
    <sheet name="Pivot DV" sheetId="4" r:id="rId4"/>
    <sheet name="Geral" sheetId="5" r:id="rId5"/>
    <sheet name="Pivot Geral" sheetId="6" r:id="rId6"/>
    <sheet name="Comparativo" sheetId="7" r:id="rId7"/>
    <sheet name="Comparativo sem Default" sheetId="8" r:id="rId8"/>
  </sheets>
  <definedNames>
    <definedName name="_xlnm._FilterDatabase" localSheetId="0" hidden="1">CM!$A$1:$F$267</definedName>
    <definedName name="_xlnm._FilterDatabase" localSheetId="6" hidden="1">Comparativo!$A$1:$G$93</definedName>
    <definedName name="_xlnm._FilterDatabase" localSheetId="7" hidden="1">'Comparativo sem Default'!$A$1:$G$93</definedName>
    <definedName name="_xlnm._FilterDatabase" localSheetId="2" hidden="1">DV!$A$1:$D$1</definedName>
    <definedName name="_xlnm._FilterDatabase" localSheetId="4" hidden="1">Geral!$A$1:$E$1</definedName>
    <definedName name="CM">CM!$B:$F</definedName>
    <definedName name="DV">DV!$B:$D</definedName>
  </definedNames>
  <calcPr calcId="191029"/>
  <pivotCaches>
    <pivotCache cacheId="4" r:id="rId9"/>
    <pivotCache cacheId="1" r:id="rId10"/>
    <pivotCache cacheId="2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" i="8" l="1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C3" i="8"/>
  <c r="C4" i="8"/>
  <c r="C5" i="8"/>
  <c r="C6" i="8"/>
  <c r="C7" i="8"/>
  <c r="C8" i="8"/>
  <c r="C9" i="8"/>
  <c r="G9" i="8" s="1"/>
  <c r="C10" i="8"/>
  <c r="G10" i="8" s="1"/>
  <c r="C11" i="8"/>
  <c r="C12" i="8"/>
  <c r="C13" i="8"/>
  <c r="C14" i="8"/>
  <c r="C15" i="8"/>
  <c r="C16" i="8"/>
  <c r="C17" i="8"/>
  <c r="G17" i="8" s="1"/>
  <c r="C18" i="8"/>
  <c r="G18" i="8" s="1"/>
  <c r="C19" i="8"/>
  <c r="C20" i="8"/>
  <c r="C21" i="8"/>
  <c r="C22" i="8"/>
  <c r="C23" i="8"/>
  <c r="C24" i="8"/>
  <c r="C25" i="8"/>
  <c r="G25" i="8" s="1"/>
  <c r="C26" i="8"/>
  <c r="G26" i="8" s="1"/>
  <c r="C27" i="8"/>
  <c r="C28" i="8"/>
  <c r="C29" i="8"/>
  <c r="C30" i="8"/>
  <c r="C31" i="8"/>
  <c r="C32" i="8"/>
  <c r="C33" i="8"/>
  <c r="G33" i="8" s="1"/>
  <c r="C34" i="8"/>
  <c r="G34" i="8" s="1"/>
  <c r="C35" i="8"/>
  <c r="C36" i="8"/>
  <c r="C37" i="8"/>
  <c r="C38" i="8"/>
  <c r="C39" i="8"/>
  <c r="C40" i="8"/>
  <c r="C41" i="8"/>
  <c r="G41" i="8" s="1"/>
  <c r="C42" i="8"/>
  <c r="G42" i="8" s="1"/>
  <c r="C43" i="8"/>
  <c r="C44" i="8"/>
  <c r="C45" i="8"/>
  <c r="C46" i="8"/>
  <c r="C47" i="8"/>
  <c r="C48" i="8"/>
  <c r="C49" i="8"/>
  <c r="G49" i="8" s="1"/>
  <c r="C50" i="8"/>
  <c r="G50" i="8" s="1"/>
  <c r="C51" i="8"/>
  <c r="C52" i="8"/>
  <c r="C53" i="8"/>
  <c r="C54" i="8"/>
  <c r="C55" i="8"/>
  <c r="C56" i="8"/>
  <c r="C57" i="8"/>
  <c r="G57" i="8" s="1"/>
  <c r="C58" i="8"/>
  <c r="G58" i="8" s="1"/>
  <c r="C59" i="8"/>
  <c r="C60" i="8"/>
  <c r="C61" i="8"/>
  <c r="C62" i="8"/>
  <c r="C63" i="8"/>
  <c r="C64" i="8"/>
  <c r="C65" i="8"/>
  <c r="G65" i="8" s="1"/>
  <c r="C66" i="8"/>
  <c r="G66" i="8" s="1"/>
  <c r="C67" i="8"/>
  <c r="C68" i="8"/>
  <c r="C69" i="8"/>
  <c r="C70" i="8"/>
  <c r="C71" i="8"/>
  <c r="C72" i="8"/>
  <c r="C73" i="8"/>
  <c r="G73" i="8" s="1"/>
  <c r="C74" i="8"/>
  <c r="G74" i="8" s="1"/>
  <c r="C75" i="8"/>
  <c r="C76" i="8"/>
  <c r="C77" i="8"/>
  <c r="C78" i="8"/>
  <c r="C79" i="8"/>
  <c r="C80" i="8"/>
  <c r="C81" i="8"/>
  <c r="G81" i="8" s="1"/>
  <c r="C82" i="8"/>
  <c r="G82" i="8" s="1"/>
  <c r="C83" i="8"/>
  <c r="C84" i="8"/>
  <c r="C85" i="8"/>
  <c r="C86" i="8"/>
  <c r="C87" i="8"/>
  <c r="C88" i="8"/>
  <c r="C89" i="8"/>
  <c r="G89" i="8" s="1"/>
  <c r="C90" i="8"/>
  <c r="G90" i="8" s="1"/>
  <c r="C91" i="8"/>
  <c r="C92" i="8"/>
  <c r="C93" i="8"/>
  <c r="B3" i="8"/>
  <c r="B4" i="8"/>
  <c r="F4" i="8" s="1"/>
  <c r="B5" i="8"/>
  <c r="B6" i="8"/>
  <c r="B7" i="8"/>
  <c r="B8" i="8"/>
  <c r="B9" i="8"/>
  <c r="B10" i="8"/>
  <c r="B11" i="8"/>
  <c r="B12" i="8"/>
  <c r="F12" i="8" s="1"/>
  <c r="B13" i="8"/>
  <c r="B14" i="8"/>
  <c r="B15" i="8"/>
  <c r="B16" i="8"/>
  <c r="B17" i="8"/>
  <c r="B18" i="8"/>
  <c r="B19" i="8"/>
  <c r="B20" i="8"/>
  <c r="F20" i="8" s="1"/>
  <c r="B21" i="8"/>
  <c r="B22" i="8"/>
  <c r="B23" i="8"/>
  <c r="B24" i="8"/>
  <c r="B25" i="8"/>
  <c r="B26" i="8"/>
  <c r="B27" i="8"/>
  <c r="B28" i="8"/>
  <c r="F28" i="8" s="1"/>
  <c r="B29" i="8"/>
  <c r="B30" i="8"/>
  <c r="B31" i="8"/>
  <c r="B32" i="8"/>
  <c r="F32" i="8" s="1"/>
  <c r="B33" i="8"/>
  <c r="F33" i="8" s="1"/>
  <c r="B34" i="8"/>
  <c r="B35" i="8"/>
  <c r="B36" i="8"/>
  <c r="B37" i="8"/>
  <c r="F37" i="8" s="1"/>
  <c r="B38" i="8"/>
  <c r="F38" i="8" s="1"/>
  <c r="B39" i="8"/>
  <c r="F39" i="8" s="1"/>
  <c r="B40" i="8"/>
  <c r="F40" i="8" s="1"/>
  <c r="B41" i="8"/>
  <c r="F41" i="8" s="1"/>
  <c r="B42" i="8"/>
  <c r="B43" i="8"/>
  <c r="B44" i="8"/>
  <c r="F44" i="8" s="1"/>
  <c r="B45" i="8"/>
  <c r="F45" i="8" s="1"/>
  <c r="B46" i="8"/>
  <c r="F46" i="8" s="1"/>
  <c r="B47" i="8"/>
  <c r="F47" i="8" s="1"/>
  <c r="B48" i="8"/>
  <c r="F48" i="8" s="1"/>
  <c r="B49" i="8"/>
  <c r="F49" i="8" s="1"/>
  <c r="B50" i="8"/>
  <c r="B51" i="8"/>
  <c r="B52" i="8"/>
  <c r="F52" i="8" s="1"/>
  <c r="B53" i="8"/>
  <c r="F53" i="8" s="1"/>
  <c r="B54" i="8"/>
  <c r="F54" i="8" s="1"/>
  <c r="B55" i="8"/>
  <c r="B56" i="8"/>
  <c r="B57" i="8"/>
  <c r="F57" i="8" s="1"/>
  <c r="B58" i="8"/>
  <c r="B59" i="8"/>
  <c r="B60" i="8"/>
  <c r="F60" i="8" s="1"/>
  <c r="B61" i="8"/>
  <c r="F61" i="8" s="1"/>
  <c r="B62" i="8"/>
  <c r="F62" i="8" s="1"/>
  <c r="B63" i="8"/>
  <c r="F63" i="8" s="1"/>
  <c r="B64" i="8"/>
  <c r="F64" i="8" s="1"/>
  <c r="B65" i="8"/>
  <c r="F65" i="8" s="1"/>
  <c r="B66" i="8"/>
  <c r="B67" i="8"/>
  <c r="B68" i="8"/>
  <c r="F68" i="8" s="1"/>
  <c r="B69" i="8"/>
  <c r="F69" i="8" s="1"/>
  <c r="B70" i="8"/>
  <c r="F70" i="8" s="1"/>
  <c r="B71" i="8"/>
  <c r="F71" i="8" s="1"/>
  <c r="B72" i="8"/>
  <c r="F72" i="8" s="1"/>
  <c r="B73" i="8"/>
  <c r="F73" i="8" s="1"/>
  <c r="B74" i="8"/>
  <c r="B75" i="8"/>
  <c r="B76" i="8"/>
  <c r="F76" i="8" s="1"/>
  <c r="B77" i="8"/>
  <c r="F77" i="8" s="1"/>
  <c r="B78" i="8"/>
  <c r="F78" i="8" s="1"/>
  <c r="B79" i="8"/>
  <c r="F79" i="8" s="1"/>
  <c r="B80" i="8"/>
  <c r="B81" i="8"/>
  <c r="F81" i="8" s="1"/>
  <c r="B82" i="8"/>
  <c r="B83" i="8"/>
  <c r="B84" i="8"/>
  <c r="B85" i="8"/>
  <c r="F85" i="8" s="1"/>
  <c r="B86" i="8"/>
  <c r="F86" i="8" s="1"/>
  <c r="B87" i="8"/>
  <c r="F87" i="8" s="1"/>
  <c r="B88" i="8"/>
  <c r="B89" i="8"/>
  <c r="F89" i="8" s="1"/>
  <c r="B90" i="8"/>
  <c r="B91" i="8"/>
  <c r="F91" i="8" s="1"/>
  <c r="B92" i="8"/>
  <c r="B93" i="8"/>
  <c r="F93" i="8" s="1"/>
  <c r="F3" i="8"/>
  <c r="F5" i="8"/>
  <c r="F6" i="8"/>
  <c r="F7" i="8"/>
  <c r="F8" i="8"/>
  <c r="F9" i="8"/>
  <c r="F10" i="8"/>
  <c r="F11" i="8"/>
  <c r="F13" i="8"/>
  <c r="F14" i="8"/>
  <c r="F15" i="8"/>
  <c r="F16" i="8"/>
  <c r="F17" i="8"/>
  <c r="F18" i="8"/>
  <c r="F19" i="8"/>
  <c r="F21" i="8"/>
  <c r="F22" i="8"/>
  <c r="F23" i="8"/>
  <c r="F24" i="8"/>
  <c r="F25" i="8"/>
  <c r="F26" i="8"/>
  <c r="F27" i="8"/>
  <c r="F29" i="8"/>
  <c r="F30" i="8"/>
  <c r="F31" i="8"/>
  <c r="F35" i="8"/>
  <c r="F36" i="8"/>
  <c r="F43" i="8"/>
  <c r="F51" i="8"/>
  <c r="F55" i="8"/>
  <c r="F56" i="8"/>
  <c r="F59" i="8"/>
  <c r="F67" i="8"/>
  <c r="F75" i="8"/>
  <c r="F83" i="8"/>
  <c r="E2" i="8"/>
  <c r="D2" i="8"/>
  <c r="C2" i="8"/>
  <c r="B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C3" i="7"/>
  <c r="C4" i="7"/>
  <c r="G4" i="7" s="1"/>
  <c r="C5" i="7"/>
  <c r="G5" i="7" s="1"/>
  <c r="C6" i="7"/>
  <c r="G6" i="7" s="1"/>
  <c r="C7" i="7"/>
  <c r="G7" i="7" s="1"/>
  <c r="C8" i="7"/>
  <c r="G8" i="7" s="1"/>
  <c r="C9" i="7"/>
  <c r="G9" i="7" s="1"/>
  <c r="C10" i="7"/>
  <c r="G10" i="7" s="1"/>
  <c r="C11" i="7"/>
  <c r="C12" i="7"/>
  <c r="G12" i="7" s="1"/>
  <c r="C13" i="7"/>
  <c r="G13" i="7" s="1"/>
  <c r="C14" i="7"/>
  <c r="G14" i="7" s="1"/>
  <c r="C15" i="7"/>
  <c r="G15" i="7" s="1"/>
  <c r="C16" i="7"/>
  <c r="G16" i="7" s="1"/>
  <c r="C17" i="7"/>
  <c r="G17" i="7" s="1"/>
  <c r="C18" i="7"/>
  <c r="G18" i="7" s="1"/>
  <c r="C19" i="7"/>
  <c r="C20" i="7"/>
  <c r="G20" i="7" s="1"/>
  <c r="C21" i="7"/>
  <c r="G21" i="7" s="1"/>
  <c r="C22" i="7"/>
  <c r="G22" i="7" s="1"/>
  <c r="C23" i="7"/>
  <c r="G23" i="7" s="1"/>
  <c r="C24" i="7"/>
  <c r="G24" i="7" s="1"/>
  <c r="C25" i="7"/>
  <c r="G25" i="7" s="1"/>
  <c r="C26" i="7"/>
  <c r="G26" i="7" s="1"/>
  <c r="C27" i="7"/>
  <c r="C28" i="7"/>
  <c r="G28" i="7" s="1"/>
  <c r="C29" i="7"/>
  <c r="G29" i="7" s="1"/>
  <c r="C30" i="7"/>
  <c r="G30" i="7" s="1"/>
  <c r="C31" i="7"/>
  <c r="G31" i="7" s="1"/>
  <c r="C32" i="7"/>
  <c r="G32" i="7" s="1"/>
  <c r="C33" i="7"/>
  <c r="G33" i="7" s="1"/>
  <c r="C34" i="7"/>
  <c r="G34" i="7" s="1"/>
  <c r="C35" i="7"/>
  <c r="C36" i="7"/>
  <c r="G36" i="7" s="1"/>
  <c r="C37" i="7"/>
  <c r="G37" i="7" s="1"/>
  <c r="C38" i="7"/>
  <c r="G38" i="7" s="1"/>
  <c r="C39" i="7"/>
  <c r="G39" i="7" s="1"/>
  <c r="C40" i="7"/>
  <c r="G40" i="7" s="1"/>
  <c r="C41" i="7"/>
  <c r="G41" i="7" s="1"/>
  <c r="C42" i="7"/>
  <c r="G42" i="7" s="1"/>
  <c r="C43" i="7"/>
  <c r="C44" i="7"/>
  <c r="G44" i="7" s="1"/>
  <c r="C45" i="7"/>
  <c r="G45" i="7" s="1"/>
  <c r="C46" i="7"/>
  <c r="G46" i="7" s="1"/>
  <c r="C47" i="7"/>
  <c r="G47" i="7" s="1"/>
  <c r="C48" i="7"/>
  <c r="G48" i="7" s="1"/>
  <c r="C49" i="7"/>
  <c r="G49" i="7" s="1"/>
  <c r="C50" i="7"/>
  <c r="G50" i="7" s="1"/>
  <c r="C51" i="7"/>
  <c r="C52" i="7"/>
  <c r="G52" i="7" s="1"/>
  <c r="C53" i="7"/>
  <c r="G53" i="7" s="1"/>
  <c r="C54" i="7"/>
  <c r="G54" i="7" s="1"/>
  <c r="C55" i="7"/>
  <c r="G55" i="7" s="1"/>
  <c r="C56" i="7"/>
  <c r="G56" i="7" s="1"/>
  <c r="C57" i="7"/>
  <c r="G57" i="7" s="1"/>
  <c r="C58" i="7"/>
  <c r="G58" i="7" s="1"/>
  <c r="C59" i="7"/>
  <c r="C60" i="7"/>
  <c r="G60" i="7" s="1"/>
  <c r="C61" i="7"/>
  <c r="G61" i="7" s="1"/>
  <c r="C62" i="7"/>
  <c r="G62" i="7" s="1"/>
  <c r="C63" i="7"/>
  <c r="G63" i="7" s="1"/>
  <c r="C64" i="7"/>
  <c r="G64" i="7" s="1"/>
  <c r="C65" i="7"/>
  <c r="G65" i="7" s="1"/>
  <c r="C66" i="7"/>
  <c r="G66" i="7" s="1"/>
  <c r="C67" i="7"/>
  <c r="C68" i="7"/>
  <c r="G68" i="7" s="1"/>
  <c r="C69" i="7"/>
  <c r="G69" i="7" s="1"/>
  <c r="C70" i="7"/>
  <c r="G70" i="7" s="1"/>
  <c r="C71" i="7"/>
  <c r="G71" i="7" s="1"/>
  <c r="C72" i="7"/>
  <c r="G72" i="7" s="1"/>
  <c r="C73" i="7"/>
  <c r="G73" i="7" s="1"/>
  <c r="C74" i="7"/>
  <c r="G74" i="7" s="1"/>
  <c r="C75" i="7"/>
  <c r="C76" i="7"/>
  <c r="G76" i="7" s="1"/>
  <c r="C77" i="7"/>
  <c r="G77" i="7" s="1"/>
  <c r="C78" i="7"/>
  <c r="G78" i="7" s="1"/>
  <c r="C79" i="7"/>
  <c r="G79" i="7" s="1"/>
  <c r="C80" i="7"/>
  <c r="G80" i="7" s="1"/>
  <c r="C81" i="7"/>
  <c r="G81" i="7" s="1"/>
  <c r="C82" i="7"/>
  <c r="G82" i="7" s="1"/>
  <c r="C83" i="7"/>
  <c r="C84" i="7"/>
  <c r="G84" i="7" s="1"/>
  <c r="C85" i="7"/>
  <c r="G85" i="7" s="1"/>
  <c r="C86" i="7"/>
  <c r="G86" i="7" s="1"/>
  <c r="C87" i="7"/>
  <c r="G87" i="7" s="1"/>
  <c r="C88" i="7"/>
  <c r="G88" i="7" s="1"/>
  <c r="C89" i="7"/>
  <c r="G89" i="7" s="1"/>
  <c r="C90" i="7"/>
  <c r="G90" i="7" s="1"/>
  <c r="C91" i="7"/>
  <c r="C92" i="7"/>
  <c r="G92" i="7" s="1"/>
  <c r="C93" i="7"/>
  <c r="G93" i="7" s="1"/>
  <c r="D2" i="7"/>
  <c r="E2" i="7"/>
  <c r="C2" i="7"/>
  <c r="B3" i="7"/>
  <c r="F3" i="7" s="1"/>
  <c r="B4" i="7"/>
  <c r="F4" i="7" s="1"/>
  <c r="B5" i="7"/>
  <c r="B6" i="7"/>
  <c r="F6" i="7" s="1"/>
  <c r="B7" i="7"/>
  <c r="F7" i="7" s="1"/>
  <c r="B8" i="7"/>
  <c r="F8" i="7" s="1"/>
  <c r="B9" i="7"/>
  <c r="F9" i="7" s="1"/>
  <c r="B10" i="7"/>
  <c r="F10" i="7" s="1"/>
  <c r="B11" i="7"/>
  <c r="F11" i="7" s="1"/>
  <c r="B12" i="7"/>
  <c r="F12" i="7" s="1"/>
  <c r="B13" i="7"/>
  <c r="B14" i="7"/>
  <c r="F14" i="7" s="1"/>
  <c r="B15" i="7"/>
  <c r="F15" i="7" s="1"/>
  <c r="B16" i="7"/>
  <c r="F16" i="7" s="1"/>
  <c r="B17" i="7"/>
  <c r="F17" i="7" s="1"/>
  <c r="B18" i="7"/>
  <c r="F18" i="7" s="1"/>
  <c r="B19" i="7"/>
  <c r="F19" i="7" s="1"/>
  <c r="B20" i="7"/>
  <c r="F20" i="7" s="1"/>
  <c r="B21" i="7"/>
  <c r="B22" i="7"/>
  <c r="F22" i="7" s="1"/>
  <c r="B23" i="7"/>
  <c r="F23" i="7" s="1"/>
  <c r="B24" i="7"/>
  <c r="F24" i="7" s="1"/>
  <c r="B25" i="7"/>
  <c r="F25" i="7" s="1"/>
  <c r="B26" i="7"/>
  <c r="F26" i="7" s="1"/>
  <c r="B27" i="7"/>
  <c r="F27" i="7" s="1"/>
  <c r="B28" i="7"/>
  <c r="F28" i="7" s="1"/>
  <c r="B29" i="7"/>
  <c r="F29" i="7" s="1"/>
  <c r="B30" i="7"/>
  <c r="F30" i="7" s="1"/>
  <c r="B31" i="7"/>
  <c r="F31" i="7" s="1"/>
  <c r="B32" i="7"/>
  <c r="B33" i="7"/>
  <c r="B34" i="7"/>
  <c r="F34" i="7" s="1"/>
  <c r="B35" i="7"/>
  <c r="F35" i="7" s="1"/>
  <c r="B36" i="7"/>
  <c r="F36" i="7" s="1"/>
  <c r="B37" i="7"/>
  <c r="F37" i="7" s="1"/>
  <c r="B38" i="7"/>
  <c r="F38" i="7" s="1"/>
  <c r="B39" i="7"/>
  <c r="F39" i="7" s="1"/>
  <c r="B40" i="7"/>
  <c r="B41" i="7"/>
  <c r="B42" i="7"/>
  <c r="F42" i="7" s="1"/>
  <c r="B43" i="7"/>
  <c r="F43" i="7" s="1"/>
  <c r="B44" i="7"/>
  <c r="F44" i="7" s="1"/>
  <c r="B45" i="7"/>
  <c r="F45" i="7" s="1"/>
  <c r="B46" i="7"/>
  <c r="F46" i="7" s="1"/>
  <c r="B47" i="7"/>
  <c r="F47" i="7" s="1"/>
  <c r="B48" i="7"/>
  <c r="B49" i="7"/>
  <c r="B50" i="7"/>
  <c r="F50" i="7" s="1"/>
  <c r="B51" i="7"/>
  <c r="F51" i="7" s="1"/>
  <c r="B52" i="7"/>
  <c r="F52" i="7" s="1"/>
  <c r="B53" i="7"/>
  <c r="F53" i="7" s="1"/>
  <c r="B54" i="7"/>
  <c r="F54" i="7" s="1"/>
  <c r="B55" i="7"/>
  <c r="F55" i="7" s="1"/>
  <c r="B56" i="7"/>
  <c r="B57" i="7"/>
  <c r="B58" i="7"/>
  <c r="F58" i="7" s="1"/>
  <c r="B59" i="7"/>
  <c r="F59" i="7" s="1"/>
  <c r="B60" i="7"/>
  <c r="F60" i="7" s="1"/>
  <c r="B61" i="7"/>
  <c r="F61" i="7" s="1"/>
  <c r="B62" i="7"/>
  <c r="F62" i="7" s="1"/>
  <c r="B63" i="7"/>
  <c r="F63" i="7" s="1"/>
  <c r="B64" i="7"/>
  <c r="B65" i="7"/>
  <c r="B66" i="7"/>
  <c r="F66" i="7" s="1"/>
  <c r="B67" i="7"/>
  <c r="F67" i="7" s="1"/>
  <c r="B68" i="7"/>
  <c r="F68" i="7" s="1"/>
  <c r="B69" i="7"/>
  <c r="F69" i="7" s="1"/>
  <c r="B70" i="7"/>
  <c r="F70" i="7" s="1"/>
  <c r="B71" i="7"/>
  <c r="F71" i="7" s="1"/>
  <c r="B72" i="7"/>
  <c r="B73" i="7"/>
  <c r="B74" i="7"/>
  <c r="F74" i="7" s="1"/>
  <c r="B75" i="7"/>
  <c r="F75" i="7" s="1"/>
  <c r="B76" i="7"/>
  <c r="F76" i="7" s="1"/>
  <c r="B77" i="7"/>
  <c r="F77" i="7" s="1"/>
  <c r="B78" i="7"/>
  <c r="F78" i="7" s="1"/>
  <c r="B79" i="7"/>
  <c r="F79" i="7" s="1"/>
  <c r="B80" i="7"/>
  <c r="B81" i="7"/>
  <c r="B82" i="7"/>
  <c r="F82" i="7" s="1"/>
  <c r="B83" i="7"/>
  <c r="F83" i="7" s="1"/>
  <c r="B84" i="7"/>
  <c r="F84" i="7" s="1"/>
  <c r="B85" i="7"/>
  <c r="F85" i="7" s="1"/>
  <c r="B86" i="7"/>
  <c r="F86" i="7" s="1"/>
  <c r="B87" i="7"/>
  <c r="F87" i="7" s="1"/>
  <c r="B88" i="7"/>
  <c r="F88" i="7" s="1"/>
  <c r="B89" i="7"/>
  <c r="F89" i="7" s="1"/>
  <c r="B90" i="7"/>
  <c r="F90" i="7" s="1"/>
  <c r="B91" i="7"/>
  <c r="F91" i="7" s="1"/>
  <c r="B92" i="7"/>
  <c r="F92" i="7" s="1"/>
  <c r="B93" i="7"/>
  <c r="F93" i="7" s="1"/>
  <c r="B2" i="7"/>
  <c r="F2" i="7" s="1"/>
  <c r="G88" i="8" l="1"/>
  <c r="G80" i="8"/>
  <c r="G72" i="8"/>
  <c r="G64" i="8"/>
  <c r="G56" i="8"/>
  <c r="G48" i="8"/>
  <c r="G40" i="8"/>
  <c r="G32" i="8"/>
  <c r="G24" i="8"/>
  <c r="G16" i="8"/>
  <c r="G8" i="8"/>
  <c r="F2" i="8"/>
  <c r="G2" i="8"/>
  <c r="F90" i="8"/>
  <c r="F82" i="8"/>
  <c r="F74" i="8"/>
  <c r="F66" i="8"/>
  <c r="F58" i="8"/>
  <c r="F50" i="8"/>
  <c r="F42" i="8"/>
  <c r="G87" i="8"/>
  <c r="G79" i="8"/>
  <c r="G71" i="8"/>
  <c r="G63" i="8"/>
  <c r="G55" i="8"/>
  <c r="G47" i="8"/>
  <c r="G39" i="8"/>
  <c r="G31" i="8"/>
  <c r="G23" i="8"/>
  <c r="G15" i="8"/>
  <c r="G7" i="8"/>
  <c r="G86" i="8"/>
  <c r="G78" i="8"/>
  <c r="G70" i="8"/>
  <c r="G62" i="8"/>
  <c r="G54" i="8"/>
  <c r="G46" i="8"/>
  <c r="G38" i="8"/>
  <c r="G30" i="8"/>
  <c r="G22" i="8"/>
  <c r="G14" i="8"/>
  <c r="G6" i="8"/>
  <c r="G93" i="8"/>
  <c r="G85" i="8"/>
  <c r="G77" i="8"/>
  <c r="G69" i="8"/>
  <c r="G61" i="8"/>
  <c r="G53" i="8"/>
  <c r="G45" i="8"/>
  <c r="G37" i="8"/>
  <c r="G29" i="8"/>
  <c r="G21" i="8"/>
  <c r="G13" i="8"/>
  <c r="G5" i="8"/>
  <c r="G92" i="8"/>
  <c r="G84" i="8"/>
  <c r="G76" i="8"/>
  <c r="G68" i="8"/>
  <c r="G60" i="8"/>
  <c r="G52" i="8"/>
  <c r="G44" i="8"/>
  <c r="G36" i="8"/>
  <c r="G28" i="8"/>
  <c r="G20" i="8"/>
  <c r="G12" i="8"/>
  <c r="G4" i="8"/>
  <c r="F34" i="8"/>
  <c r="G91" i="8"/>
  <c r="G83" i="8"/>
  <c r="G75" i="8"/>
  <c r="G67" i="8"/>
  <c r="G59" i="8"/>
  <c r="G51" i="8"/>
  <c r="G43" i="8"/>
  <c r="G35" i="8"/>
  <c r="G27" i="8"/>
  <c r="G19" i="8"/>
  <c r="G11" i="8"/>
  <c r="G3" i="8"/>
  <c r="F92" i="8"/>
  <c r="F84" i="8"/>
  <c r="F88" i="8"/>
  <c r="F80" i="8"/>
  <c r="F21" i="7"/>
  <c r="F13" i="7"/>
  <c r="F5" i="7"/>
  <c r="G2" i="7"/>
  <c r="F80" i="7"/>
  <c r="F72" i="7"/>
  <c r="F64" i="7"/>
  <c r="F56" i="7"/>
  <c r="F48" i="7"/>
  <c r="F40" i="7"/>
  <c r="F32" i="7"/>
  <c r="G91" i="7"/>
  <c r="G83" i="7"/>
  <c r="G75" i="7"/>
  <c r="G67" i="7"/>
  <c r="G59" i="7"/>
  <c r="G51" i="7"/>
  <c r="G43" i="7"/>
  <c r="G35" i="7"/>
  <c r="G27" i="7"/>
  <c r="G19" i="7"/>
  <c r="G11" i="7"/>
  <c r="G3" i="7"/>
  <c r="F81" i="7"/>
  <c r="F73" i="7"/>
  <c r="F65" i="7"/>
  <c r="F57" i="7"/>
  <c r="F49" i="7"/>
  <c r="F41" i="7"/>
  <c r="F33" i="7"/>
  <c r="E364" i="5"/>
  <c r="D364" i="5"/>
</calcChain>
</file>

<file path=xl/sharedStrings.xml><?xml version="1.0" encoding="utf-8"?>
<sst xmlns="http://schemas.openxmlformats.org/spreadsheetml/2006/main" count="2560" uniqueCount="458">
  <si>
    <t/>
  </si>
  <si>
    <t>MRC Accredited Metrics</t>
  </si>
  <si>
    <t>Active View metrics are accredited only when Measurement Source = Measured</t>
  </si>
  <si>
    <t>Campaign</t>
  </si>
  <si>
    <t>Placement</t>
  </si>
  <si>
    <t>Creative</t>
  </si>
  <si>
    <t>Site (DCM)</t>
  </si>
  <si>
    <t>Impressions</t>
  </si>
  <si>
    <t>Clicks</t>
  </si>
  <si>
    <t>BidManager_Campaign_DO_NOT_EDIT_9471586_1560977055413</t>
  </si>
  <si>
    <t>1200x627_rectangle (DFA Zero placement)</t>
  </si>
  <si>
    <t>1200x627_rectangle</t>
  </si>
  <si>
    <t>BidManager_DfaSite_2650516</t>
  </si>
  <si>
    <t>1200x627_square (DFA Zero placement)</t>
  </si>
  <si>
    <t>1200x627_square</t>
  </si>
  <si>
    <t>NativeAd_Loggi_ajustado_1200x627 (DFA Zero placement)</t>
  </si>
  <si>
    <t>NativeAd_Loggi_ajustado_1200x627</t>
  </si>
  <si>
    <t>aw_movimenta_awareness-geral_1200x627_rectangle (DFA Zero placement)</t>
  </si>
  <si>
    <t>aw_movimenta_awareness-geral_1200x627_rectangle</t>
  </si>
  <si>
    <t>aw_movimenta_awareness-geral_1200x627_square (DFA Zero placement)</t>
  </si>
  <si>
    <t>aw_movimenta_awareness-geral_1200x627_square</t>
  </si>
  <si>
    <t>superlink-marca-dv360_globo-superlink-native-native-luta_diaria_loggi_boost-as25_empreendedor_varejo_interesses_rectangle (DFA Zero placement)</t>
  </si>
  <si>
    <t>superlink-marca-dv360_globo-superlink-native-native-luta_diaria_loggi_boost-as25_empreendedor_varejo_interesses_rectangle</t>
  </si>
  <si>
    <t>alp-cielo_movimenta-marca-awa</t>
  </si>
  <si>
    <t>cielo_movimenta-marca-dv360-marca-video-pre_roll-cielo_movimenta_manifesto_30s-AS25_microempreendedor_medioempreendedor_negocios_vendasonline_donosdenegocios</t>
  </si>
  <si>
    <t>cielo_movimenta-comportamental-pre_roll-1920x1080-marca-cpm-cielo_movimenta_manifesto_30s-tag</t>
  </si>
  <si>
    <t>Google Brasil</t>
  </si>
  <si>
    <t>cielo_movimenta-marca-dv360_CorreioBrasiliense-marca-video-pre_roll-cielo_movimenta_manifesto_30s-AS25_microempreendedor_medioempreendedor_negocios_vendasonline_donosdenegocios</t>
  </si>
  <si>
    <t>cielo_movimenta-marca-dv360_Estadao-marca-video-pre_roll-cielo_movimenta_manifesto_30s-AS25_microempreendedor_medioempreendedor_negocios_vendasonline_donosdenegocios</t>
  </si>
  <si>
    <t>cielo_movimenta-marca-dv360_Folha-marca-video-pre_roll-cielo_movimenta_manifesto_30s-AS25_microempreendedor_medioempreendedor_negocios_vendasonline_donosdenegocios</t>
  </si>
  <si>
    <t>cielo_movimenta-marca-dv360_R7-marca-video-pre_roll-cielo_movimenta_manifesto_30s-AS25_microempreendedor_medioempreendedor_negocios_vendasonline_donosdenegocios</t>
  </si>
  <si>
    <t>cielo_movimenta-marca-estadao-marca-video-pre_roll-cielo_movimenta_manifesto_30s-AS25_microempreendedor_medioempreendedor_negocios_vendasonline_donosdenegocios</t>
  </si>
  <si>
    <t>Estadão</t>
  </si>
  <si>
    <t>cielo_movimenta-marca-olx-marca-display-arroba_banner-cielo_movimenta_olx_cadastro_fase1-canal_internas_olx</t>
  </si>
  <si>
    <t>cielo_movimenta-comportamental-arroba_banner-300x250-marca-cpm-cielo_movimenta_olx_cadastro_fase1-tag</t>
  </si>
  <si>
    <t>BR OLX</t>
  </si>
  <si>
    <t>cielo_movimenta-marca-olx-marca-display-arroba_banner-cielo_movimenta_olx_fase2-canal_internas_olx</t>
  </si>
  <si>
    <t>cielo_movimenta-comportamental-arroba_banner-300x250-marca-cpm-cielo_movimenta_olx_fase2-tag</t>
  </si>
  <si>
    <t>cielo_movimenta-marca-olx-marca-display-arroba_banner-cielo_movimenta_olx_fase2-canal_internas_olx_bonificado</t>
  </si>
  <si>
    <t>cielo_movimenta-marca-olx-marca-display-half_page-cielo_movimenta_olx_cadastro_fase1-canal_internas_olx</t>
  </si>
  <si>
    <t>cielo_movimenta-comportamental-half_page-300x600-marca-cpm-cielo_movimenta_olx_cadastro_fase1-tag</t>
  </si>
  <si>
    <t>cielo_movimenta-marca-olx-marca-display-half_page-cielo_movimenta_olx_fase2-canal_internas_olx_bonificado</t>
  </si>
  <si>
    <t>cielo_movimenta-comportamental-half_page-300x600-marca-cpm-cielo_movimenta_olx_fase2-tag</t>
  </si>
  <si>
    <t>cielo_movimenta-marca-olx-marca-display-medium_rectangle-cielo_movimenta_olx_cadastro_fase1-canal_internas_olx</t>
  </si>
  <si>
    <t>cielo_movimenta-comportamental-medium_rectangle-320x50-marca-cpm-cielo_movimenta_olx_cadastro_fase1-tag</t>
  </si>
  <si>
    <t>cielo_movimenta-marca-olx-marca-display-medium_rectangle-cielo_movimenta_olx_fase2-canal_internas_olx_bonificado</t>
  </si>
  <si>
    <t>cielo_movimenta-comportamental-medium_rectangle-320x50-marca-cpm-cielo_movimenta_olx_fase2-tag</t>
  </si>
  <si>
    <t>cielo_movimenta-marca-olx-marca-display-skyscraper-cielo_movimenta_olx_cadastro_fase1-canal_internas_olx</t>
  </si>
  <si>
    <t>cielo_movimenta-comportamental-skyscraper-120x600-marca-cpm-cielo_movimenta_olx_cadastro_fase1-tag</t>
  </si>
  <si>
    <t>cielo_movimenta-marca-olx-marca-display-super_banner-cielo_movimenta_olx_cadastro_fase1-canal_internas_olx</t>
  </si>
  <si>
    <t>cielo_movimenta-comportamental-super_banner-728x90-marca-cpm-cielo_movimenta_olx_cadastro_fase1-tag</t>
  </si>
  <si>
    <t>cielo_movimenta-marca-olx-marca-display-super_banner-cielo_movimenta_olx_fase2-canal_internas_olx_bonificado</t>
  </si>
  <si>
    <t>cielo_movimenta-comportamental-super_banner-728x90-marca-cpm-cielo_movimenta_olx_fase2-tag</t>
  </si>
  <si>
    <t>cielo_movimenta-marca-olx-marca-display-wide_skyscraper-cielo_movimenta_olx_cadastro_fase1-canal_internas_olx</t>
  </si>
  <si>
    <t>cielo_movimenta-comportamental-wide_skyscraper-160x600-marca-cpm-cielo_movimenta_olx_cadastro_fase1-tag</t>
  </si>
  <si>
    <t>cielo_movimenta-marca-olx-marca-native-big_native-cielo_movimenta_comunidade_olxmaes_cadastro-canal_internas_olx</t>
  </si>
  <si>
    <t>Tracking</t>
  </si>
  <si>
    <t>cielo_movimenta-marca-olx-marca-native-big_native-cielo_movimenta_comunidade_olxmaes_loja-canal_internas_olx</t>
  </si>
  <si>
    <t>cielo_movimenta-marca-olx-marca-native-big_native-cielo_movimenta_olx_cadastro_fase1-canal_internas_olx</t>
  </si>
  <si>
    <t>cielo_movimenta-marca-olx-marca-native-big_native-cielo_movimenta_olx_fase2-canal_internas_olx</t>
  </si>
  <si>
    <t>cielo_movimenta-marca-olx-marca-native-native_carrossel-cielo_movimenta_comunidade_olxmaes_cadastro-canal_internas_olx</t>
  </si>
  <si>
    <t>cielo_movimenta-marca-olx-marca-native-native_carrossel-cielo_movimenta_comunidade_olxmaes_loja-canal_internas_olx</t>
  </si>
  <si>
    <t>cielo_movimenta-marca-olx-marca-native-native_carrossel-cielo_movimenta_olx_cadastro_fase1-canal_internas_olx</t>
  </si>
  <si>
    <t>cielo_movimenta-marca-olx-marca-native-native_carrossel-cielo_movimenta_olx_fase2-canal_internas_olx</t>
  </si>
  <si>
    <t>cielo_movimenta-marca-verizon-marca-video-pre_roll-cielo_movimenta_manifesto_30s-AS25_microempreendedor_medioempreendedor_negocios_vendasonline_donosdenegocios</t>
  </si>
  <si>
    <t>Oath - Verizon Media</t>
  </si>
  <si>
    <t>alp-cielo_movimenta_comunidade-marca-awa</t>
  </si>
  <si>
    <t>cielo_movimenta_comunidade-marca-dv360-marca-display-bilboard-cielo_movimenta_comunidade_loggi-as_25_interesses_varejo</t>
  </si>
  <si>
    <t>Default_970x250</t>
  </si>
  <si>
    <t>cielo_movimenta_comunidade-comportamental-bilboard-970x250-marca-cpm-cielo_movimenta_comunidade_loggi-tag</t>
  </si>
  <si>
    <t>cielo_movimenta_comunidade-marca-dv360-marca-display-bilboard-cielo_movimenta_comunidade_olx-as_25_interesses_varejo</t>
  </si>
  <si>
    <t>cielo_movimenta_comunidade-comportamental-bilboard-970x250-marca-cpm-cielo_movimenta_comunidade_olx-tag</t>
  </si>
  <si>
    <t>cielo_movimenta_comunidade-marca-dv360-marca-display-bilboard-cielo_movimenta_comunidade_olx_cadastro-as_25_interesses_varejo</t>
  </si>
  <si>
    <t>cielo_movimenta_comunidade-comportamental-bilboard-970x250-marca-cpm-cielo_movimenta_comunidade_olx_cadastro-tag</t>
  </si>
  <si>
    <t>cielo_movimenta_comunidade-marca-dv360-marca-display-bilboard-comunidade_generica-as_25_interesses_varejo</t>
  </si>
  <si>
    <t>cielo_movimenta_comunidade-comportamental-bilboard-970x250-marca-cpm-comunidade_generica-tag</t>
  </si>
  <si>
    <t>cielo_movimenta_comunidade-marca-dv360-marca-display-bilboard-movimenta_comu_olxmaes-as_25_interesses_varejo_cadastro</t>
  </si>
  <si>
    <t>cielo_movimenta_comunidade-comportamental-bilboard-970x250-marca-cpm-movimenta_comu_olxmaes-tag</t>
  </si>
  <si>
    <t>cielo_movimenta_comunidade-marca-dv360-marca-display-bilboard-movimenta_comu_olxmaes-as_25_interesses_varejo_loja</t>
  </si>
  <si>
    <t>cielo_movimenta_comunidade-marca-dv360-marca-display-half_page-cielo_movimenta_comunidade_loggi-as_25_interesses_varejo</t>
  </si>
  <si>
    <t>Default_300x600</t>
  </si>
  <si>
    <t>cielo_movimenta_comunidade-comportamental-half_page-300x600-marca-cpm-cielo_movimenta_comunidade_loggi-tag</t>
  </si>
  <si>
    <t>cielo_movimenta_comunidade-marca-dv360-marca-display-half_page-cielo_movimenta_comunidade_olx-as_25_interesses_varejo</t>
  </si>
  <si>
    <t>cielo_movimenta_comunidade-comportamental-half_page-300x600-marca-cpm-cielo_movimenta_comunidade_olx-tag</t>
  </si>
  <si>
    <t>cielo_movimenta_comunidade-marca-dv360-marca-display-half_page-cielo_movimenta_comunidade_olx_cadastro-as_25_interesses_varejo</t>
  </si>
  <si>
    <t>cielo_movimenta_comunidade-comportamental-half_page-300x600-marca-cpm-cielo_movimenta_comunidade_olx_cadastro-tag</t>
  </si>
  <si>
    <t>cielo_movimenta_comunidade-marca-dv360-marca-display-half_page-comunidade_generica-as_25_interesses_varejo</t>
  </si>
  <si>
    <t>cielo_movimenta_comunidade-comportamental-half_page-300x600-marca-cpm-comunidade_generica-tag</t>
  </si>
  <si>
    <t>cielo_movimenta_comunidade-marca-dv360-marca-display-half_page-movimenta_comu_olxmaes-as_25_interesses_varejo_cadastro</t>
  </si>
  <si>
    <t>cielo_movimenta_comunidade-comportamental-half_page-300x600-marca-cpm-movimenta_comu_olxmaes-tag</t>
  </si>
  <si>
    <t>cielo_movimenta_comunidade-marca-dv360-marca-display-half_page-movimenta_comu_olxmaes-as_25_interesses_varejo_loja</t>
  </si>
  <si>
    <t>cielo_movimenta_comunidade-marca-dv360-marca-display-large_mobile_banner-cielo_movimenta_comunidade_loggi-as_25_interesses_varejo</t>
  </si>
  <si>
    <t>Default_320x100</t>
  </si>
  <si>
    <t>cielo_movimenta_comunidade-comportamental-large_mobile_banner-320x100-marca-cpm-cielo_movimenta_comunidade_loggi-tag</t>
  </si>
  <si>
    <t>cielo_movimenta_comunidade-marca-dv360-marca-display-large_mobile_banner-cielo_movimenta_comunidade_olx-as_25_interesses_varejo</t>
  </si>
  <si>
    <t>cielo_movimenta_comunidade-comportamental-large_mobile_banner-320x100-marca-cpm-cielo_movimenta_comunidade_olx-tag</t>
  </si>
  <si>
    <t>cielo_movimenta_comunidade-marca-dv360-marca-display-large_mobile_banner-cielo_movimenta_comunidade_olx_cadastro-as_25_interesses_varejo</t>
  </si>
  <si>
    <t>cielo_movimenta_comunidade-comportamental-large_mobile_banner-320x100-marca-cpm-cielo_movimenta_comunidade_olx_cadastro-tag</t>
  </si>
  <si>
    <t>cielo_movimenta_comunidade-marca-dv360-marca-display-large_mobile_banner-comunidade_generica-as_25_interesses_varejo</t>
  </si>
  <si>
    <t>cielo_movimenta_comunidade-comportamental-large_mobile_banner-320x100-marca-cpm-comunidade_generica-tag</t>
  </si>
  <si>
    <t>cielo_movimenta_comunidade-marca-dv360-marca-display-large_mobile_banner-movimenta_comu_olxmaes-as_25_interesses_varejo_cadastro</t>
  </si>
  <si>
    <t>cielo_movimenta_comunidade-comportamental-large_mobile_banner-320x100-marca-cpm-movimenta_comu_olxmaes-tag</t>
  </si>
  <si>
    <t>cielo_movimenta_comunidade-marca-dv360-marca-display-large_mobile_banner-movimenta_comu_olxmaes-as_25_interesses_varejo_loja</t>
  </si>
  <si>
    <t>cielo_movimenta_comunidade-marca-dv360-marca-display-large_rectangle-cielo_movimenta_comunidade_loggi-as_25_interesses_varejo</t>
  </si>
  <si>
    <t>cielo_movimenta_comunidade-comportamental-large_rectangle-336x280-marca-cpm-cielo_movimenta_comunidade_loggi-tag</t>
  </si>
  <si>
    <t>cielo_movimenta_comunidade-marca-dv360-marca-display-large_rectangle-cielo_movimenta_comunidade_olx-as_25_interesses_varejo</t>
  </si>
  <si>
    <t>cielo_movimenta_comunidade-comportamental-large_rectangle-336x280-marca-cpm-cielo_movimenta_comunidade_olx-tag</t>
  </si>
  <si>
    <t>cielo_movimenta_comunidade-marca-dv360-marca-display-large_rectangle-cielo_movimenta_comunidade_olx_cadastro-as_25_interesses_varejo</t>
  </si>
  <si>
    <t>cielo_movimenta_comunidade-comportamental-large_rectangle-336x280-marca-cpm-cielo_movimenta_comunidade_olx_cadastro-tag</t>
  </si>
  <si>
    <t>cielo_movimenta_comunidade-marca-dv360-marca-display-large_rectangle-comunidade_generica-as_25_interesses_varejo</t>
  </si>
  <si>
    <t>cielo_movimenta_comunidade-comportamental-large_rectangle-336x280-marca-cpm-comunidade_generica-tag</t>
  </si>
  <si>
    <t>cielo_movimenta_comunidade-marca-dv360-marca-display-leaderboard-cielo_movimenta_comunidade_loggi-as_25_interesses_varejo</t>
  </si>
  <si>
    <t>Default_728x90</t>
  </si>
  <si>
    <t>cielo_movimenta_comunidade-comportamental-leaderboard-728x90-marca-cpm-cielo_movimenta_comunidade_loggi-tag</t>
  </si>
  <si>
    <t>cielo_movimenta_comunidade-marca-dv360-marca-display-leaderboard-cielo_movimenta_comunidade_olx-as_25_interesses_varejo</t>
  </si>
  <si>
    <t>cielo_movimenta_comunidade-comportamental-leaderboard-728x90-marca-cpm-cielo_movimenta_comunidade_olx-tag</t>
  </si>
  <si>
    <t>cielo_movimenta_comunidade-marca-dv360-marca-display-leaderboard-cielo_movimenta_comunidade_olx_cadastro-as_25_interesses_varejo</t>
  </si>
  <si>
    <t>cielo_movimenta_comunidade-comportamental-leaderboard-728x90-marca-cpm-cielo_movimenta_comunidade_olx_cadastro-tag</t>
  </si>
  <si>
    <t>cielo_movimenta_comunidade-marca-dv360-marca-display-leaderboard-comunidade_generica-as_25_interesses_varejo</t>
  </si>
  <si>
    <t>cielo_movimenta_comunidade-comportamental-leaderboard-728x90-marca-cpm-comunidade_generica-tag</t>
  </si>
  <si>
    <t>cielo_movimenta_comunidade-marca-dv360-marca-display-leaderboard-movimenta_comu_olxmaes-as_25_interesses_varejo_cadastro</t>
  </si>
  <si>
    <t>cielo_movimenta_comunidade-comportamental-leaderboard-728x90-marca-cpm-movimenta_comu_olxmaes-tag</t>
  </si>
  <si>
    <t>cielo_movimenta_comunidade-marca-dv360-marca-display-leaderboard-movimenta_comu_olxmaes-as_25_interesses_varejo_loja</t>
  </si>
  <si>
    <t>cielo_movimenta_comunidade-marca-dv360-marca-display-medium_rectangle-cielo_movimenta_comunidade_loggi-as_25_interesses_varejo</t>
  </si>
  <si>
    <t>Default_300x250</t>
  </si>
  <si>
    <t>cielo_movimenta_comunidade-comportamental-medium_rectangle-300x250-marca-cpm-cielo_movimenta_comunidade_loggi-tag</t>
  </si>
  <si>
    <t>cielo_movimenta_comunidade-marca-dv360-marca-display-medium_rectangle-cielo_movimenta_comunidade_olx-as_25_interesses_varejo</t>
  </si>
  <si>
    <t>cielo_movimenta_comunidade-comportamental-medium_rectangle-300x250-marca-cpm-cielo_movimenta_comunidade_olx-tag</t>
  </si>
  <si>
    <t>cielo_movimenta_comunidade-marca-dv360-marca-display-medium_rectangle-cielo_movimenta_comunidade_olx_cadastro-as_25_interesses_varejo</t>
  </si>
  <si>
    <t>cielo_movimenta_comunidade-comportamental-medium_rectangle-300x250-marca-cpm-cielo_movimenta_comunidade_olx_cadastro-tag</t>
  </si>
  <si>
    <t>cielo_movimenta_comunidade-marca-dv360-marca-display-medium_rectangle-comunidade_generica-as_25_interesses_varejo</t>
  </si>
  <si>
    <t>cielo_movimenta_comunidade-comportamental-medium_rectangle-300x250-marca-cpm-comunidade_generica-tag</t>
  </si>
  <si>
    <t>cielo_movimenta_comunidade-marca-dv360-marca-display-medium_rectangle-movimenta_comu_olxmaes-as_25_interesses_varejo_cadastro</t>
  </si>
  <si>
    <t>cielo_movimenta_comunidade-comportamental-medium_rectangle-300x250-marca-cpm-movimenta_comu_olxmaes-tag</t>
  </si>
  <si>
    <t>cielo_movimenta_comunidade-marca-dv360-marca-display-medium_rectangle-movimenta_comu_olxmaes-as_25_interesses_varejo_loja</t>
  </si>
  <si>
    <t>cielo_movimenta_comunidade-marca-dv360-marca-display-mobile_leaderboard-cielo_movimenta_comunidade_loggi-as_25_interesses_varejo</t>
  </si>
  <si>
    <t>Default_320x50</t>
  </si>
  <si>
    <t>cielo_movimenta_comunidade-comportamental-mobile_leaderboard-320x50-marca-cpm-cielo_movimenta_comunidade_loggi-tag</t>
  </si>
  <si>
    <t>cielo_movimenta_comunidade-marca-dv360-marca-display-mobile_leaderboard-cielo_movimenta_comunidade_olx-as_25_interesses_varejo</t>
  </si>
  <si>
    <t>cielo_movimenta_comunidade-comportamental-mobile_leaderboard-320x50-marca-cpm-cielo_movimenta_comunidade_olx-tag</t>
  </si>
  <si>
    <t>cielo_movimenta_comunidade-marca-dv360-marca-display-mobile_leaderboard-cielo_movimenta_comunidade_olx_cadastro-as_25_interesses_varejo</t>
  </si>
  <si>
    <t>cielo_movimenta_comunidade-comportamental-mobile_leaderboard-320x50-marca-cpm-cielo_movimenta_comunidade_olx_cadastro-tag</t>
  </si>
  <si>
    <t>cielo_movimenta_comunidade-marca-dv360-marca-display-mobile_leaderboard-comunidade_generica-as_25_interesses_varejo</t>
  </si>
  <si>
    <t>cielo_movimenta_comunidade-comportamental-mobile_leaderboard-320x50-marca-cpm-comunidade_generica-tag</t>
  </si>
  <si>
    <t>cielo_movimenta_comunidade-marca-dv360-marca-display-mobile_leaderboard-movimenta_comu_olxmaes-as_25_interesses_varejo_cadastro</t>
  </si>
  <si>
    <t>cielo_movimenta_comunidade-comportamental-mobile_leaderboard-320x50-marca-cpm-movimenta_comu_olxmaes-tag</t>
  </si>
  <si>
    <t>cielo_movimenta_comunidade-marca-dv360-marca-display-mobile_leaderboard-movimenta_comu_olxmaes-as_25_interesses_varejo_loja</t>
  </si>
  <si>
    <t>cielo_movimenta_comunidade-marca-dv360-marca-display-skyscraper-cielo_movimenta_comunidade_loggi-as_25_interesses_varejo</t>
  </si>
  <si>
    <t>cielo_movimenta_comunidade-comportamental-skyscraper-160x600-marca-cpm-cielo_movimenta_comunidade_loggi-tag</t>
  </si>
  <si>
    <t>cielo_movimenta_comunidade-marca-dv360-marca-display-skyscraper-cielo_movimenta_comunidade_olx-as_25_interesses_varejo</t>
  </si>
  <si>
    <t>cielo_movimenta_comunidade-comportamental-skyscraper-160x600-marca-cpm-cielo_movimenta_comunidade_olx-tag</t>
  </si>
  <si>
    <t>cielo_movimenta_comunidade-marca-dv360-marca-display-skyscraper-cielo_movimenta_comunidade_olx_cadastro-as_25_interesses_varejo</t>
  </si>
  <si>
    <t>cielo_movimenta_comunidade-comportamental-skyscraper-160x600-marca-cpm-cielo_movimenta_comunidade_olx_cadastro-tag</t>
  </si>
  <si>
    <t>cielo_movimenta_comunidade-marca-dv360-marca-display-skyscraper-comunidade_generica-as_25_interesses_varejo</t>
  </si>
  <si>
    <t>cielo_movimenta_comunidade-comportamental-skyscraper-160x600-marca-cpm-comunidade_generica-tag</t>
  </si>
  <si>
    <t>cielo_movimenta_comunidade-marca-dv360-marca-display-skyscraper-movimenta_comu_olxmaes-as_25_interesses_varejo_cadastro</t>
  </si>
  <si>
    <t>cielo_movimenta_comunidade-comportamental-skyscraper-160x600-marca-cpm-movimenta_comu_olxmaes-tag</t>
  </si>
  <si>
    <t>cielo_movimenta_comunidade-marca-dv360-marca-display-skyscraper-movimenta_comu_olxmaes-as_25_interesses_varejo_loja</t>
  </si>
  <si>
    <t>cielo_movimenta_comunidade-marca-dv360-marca-display-small_rectangle-cielo_movimenta_comunidade_loggi-as_25_interesses_varejo</t>
  </si>
  <si>
    <t>cielo_movimenta_comunidade-comportamental-small_rectangle-180x150-marca-cpm-cielo_movimenta_comunidade_loggi-tag</t>
  </si>
  <si>
    <t>cielo_movimenta_comunidade-marca-dv360-marca-display-small_rectangle-cielo_movimenta_comunidade_olx-as_25_interesses_varejo</t>
  </si>
  <si>
    <t>cielo_movimenta_comunidade-comportamental-small_rectangle-180x150-marca-cpm-cielo_movimenta_comunidade_olx-tag</t>
  </si>
  <si>
    <t>cielo_movimenta_comunidade-marca-dv360-marca-display-small_rectangle-cielo_movimenta_comunidade_olx_cadastro-as_25_interesses_varejo</t>
  </si>
  <si>
    <t>cielo_movimenta_comunidade-comportamental-small_rectangle-180x150-marca-cpm-cielo_movimenta_comunidade_olx_cadastro-tag</t>
  </si>
  <si>
    <t>cielo_movimenta_comunidade-marca-dv360-marca-display-small_rectangle-comunidade_generica-as_25_interesses_varejo</t>
  </si>
  <si>
    <t>cielo_movimenta_comunidade-comportamental-small_rectangle-180x150-marca-cpm-comunidade_generica-tag</t>
  </si>
  <si>
    <t>cielo_movimenta_comunidade-marca-dv360-marca-display-small_rectangle-movimenta_comu_olxmaes-as_25_interesses_varejo_cadastro</t>
  </si>
  <si>
    <t>cielo_movimenta_comunidade-comportamental-small_rectangle-180x150-marca-cpm-movimenta_comu_olxmaes-tag</t>
  </si>
  <si>
    <t>cielo_movimenta_comunidade-marca-dv360-marca-display-small_rectangle-movimenta_comu_olxmaes-as_25_interesses_varejo_loja</t>
  </si>
  <si>
    <t>cielo_movimenta_comunidade-marca-dv360-marca-native-big_native-cielo_movimenta_comunidade_olx-as_25_interesses_varejo</t>
  </si>
  <si>
    <t>cielo_movimenta_comunidade-marca-dv360-marca-native-big_native-cielo_movimenta_comunidade_olx_cadastro-as_25_interesses_varejo</t>
  </si>
  <si>
    <t>cielo_movimenta_comunidade-marca-dv360-marca-native-big_native-cielo_movimenta_comunidade_sl_loggi-as_25_interesses_varejo</t>
  </si>
  <si>
    <t>cielo_movimenta_comunidade-marca-dv360-marca-native-native-cielo_movimenta_comunidade_loggi-as_25_interesses_varejo</t>
  </si>
  <si>
    <t>cielo_movimenta_comunidade-comportamental-native-627x627-marca-cpm-cielo_movimenta_comunidade_loggi-tag</t>
  </si>
  <si>
    <t>cielo_movimenta_comunidade-marca-dv360-marca-native-native-cielo_movimenta_comunidade_olx-as_25_interesses_varejo</t>
  </si>
  <si>
    <t>cielo_movimenta_comunidade-marca-dv360-marca-native-native-cielo_movimenta_comunidade_sl_loggi-as_25_interesses_varejo</t>
  </si>
  <si>
    <t>cielo_movimenta_comunidade-marca-dv360-marca-native-native-comunidade_generica-as_25_interesses_varejo</t>
  </si>
  <si>
    <t>cielo_movimenta_comunidade-marca-dv360-marca-native-native-comunidade_parcerias-as_25_interesses_varejo</t>
  </si>
  <si>
    <t>cielo_movimenta_comunidade-marca-istoe-marca-display-super_banner-comunidade_generica-as_25_interesses_varejo</t>
  </si>
  <si>
    <t>cielo_movimenta_comunidade-comportamental-super_banner-300x250-marca-cpm-comunidade_generica-tag</t>
  </si>
  <si>
    <t>istoé</t>
  </si>
  <si>
    <t>cielo_movimenta_comunidade-marca-olx-marca-display-arroba_banner-cielo_movimenta_comunidade_olx_cadastro-canal_internas_olx</t>
  </si>
  <si>
    <t>cielo_movimenta_comunidade-comportamental-arroba_banner-300x250-marca-cpm-cielo_movimenta_comunidade_olx_cadastro-tag</t>
  </si>
  <si>
    <t>cielo_movimenta_comunidade-marca-olx-marca-display-arroba_banner-cielo_movimenta_comunidade_olx_loja-canal_internas_olx</t>
  </si>
  <si>
    <t>cielo_movimenta_comunidade-comportamental-arroba_banner-300x250-marca-cpm-cielo_movimenta_comunidade_olx_loja-tag</t>
  </si>
  <si>
    <t>cielo_movimenta_comunidade-marca-olx-marca-display-arroba_banner-cielo_movimenta_comunidade_olxmaes_cadastro-canal_internas_olx</t>
  </si>
  <si>
    <t>cielo_movimenta_comunidade-comportamental-arroba_banner-300x250-marca-cpm-cielo_movimenta_comunidade_olxmaes_cadastro-tag</t>
  </si>
  <si>
    <t>cielo_movimenta_comunidade-marca-olx-marca-display-arroba_banner-cielo_movimenta_comunidade_olxmaes_loja-canal_internas_olx</t>
  </si>
  <si>
    <t>cielo_movimenta_comunidade-comportamental-arroba_banner-300x250-marca-cpm-cielo_movimenta_comunidade_olxmaes_loja-tag</t>
  </si>
  <si>
    <t>cielo_movimenta_comunidade-marca-olx-marca-display-half_page-cielo_movimenta_comunidade_olx_cadastro-canal_internas_olx</t>
  </si>
  <si>
    <t>cielo_movimenta_comunidade-marca-olx-marca-display-half_page-cielo_movimenta_comunidade_olx_loja-canal_internas_olx</t>
  </si>
  <si>
    <t>cielo_movimenta_comunidade-comportamental-half_page-300x600-marca-cpm-cielo_movimenta_comunidade_olx_loja-tag</t>
  </si>
  <si>
    <t>cielo_movimenta_comunidade-marca-olx-marca-display-half_page-cielo_movimenta_comunidade_olxmaes_cadastro-canal_internas_olx</t>
  </si>
  <si>
    <t>cielo_movimenta_comunidade-comportamental-half_page-300x600-marca-cpm-cielo_movimenta_comunidade_olxmaes_cadastro-tag</t>
  </si>
  <si>
    <t>cielo_movimenta_comunidade-marca-olx-marca-display-half_page-cielo_movimenta_comunidade_olxmaes_loja-canal_internas_olx</t>
  </si>
  <si>
    <t>cielo_movimenta_comunidade-comportamental-half_page-300x600-marca-cpm-cielo_movimenta_comunidade_olxmaes_loja-tag</t>
  </si>
  <si>
    <t>cielo_movimenta_comunidade-marca-olx-marca-display-medium_rectangle-cielo_movimenta_comunidade_olx_cadastro-canal_internas_olx</t>
  </si>
  <si>
    <t>cielo_movimenta_comunidade-comportamental-medium_rectangle-320x50-marca-cpm-cielo_movimenta_comunidade_olx_cadastro-tag</t>
  </si>
  <si>
    <t>cielo_movimenta_comunidade-marca-olx-marca-display-medium_rectangle-cielo_movimenta_comunidade_olx_loja-canal_internas_olx</t>
  </si>
  <si>
    <t>cielo_movimenta_comunidade-comportamental-medium_rectangle-320x50-marca-cpm-cielo_movimenta_comunidade_olx_loja-tag</t>
  </si>
  <si>
    <t>cielo_movimenta_comunidade-marca-olx-marca-display-medium_rectangle-cielo_movimenta_comunidade_olxmaes_cadastro-canal_internas_olx</t>
  </si>
  <si>
    <t>cielo_movimenta_comunidade-comportamental-medium_rectangle-320x50-marca-cpm-cielo_movimenta_comunidade_olxmaes_cadastro-tag</t>
  </si>
  <si>
    <t>cielo_movimenta_comunidade-marca-olx-marca-display-medium_rectangle-cielo_movimenta_comunidade_olxmaes_loja-canal_internas_olx</t>
  </si>
  <si>
    <t>cielo_movimenta_comunidade-comportamental-medium_rectangle-320x50-marca-cpm-cielo_movimenta_comunidade_olxmaes_loja-tag</t>
  </si>
  <si>
    <t>cielo_movimenta_comunidade-marca-olx-marca-native-big_native-cielo_movimenta_comunidade_olx_cadastro-canal_internas_olx</t>
  </si>
  <si>
    <t>cielo_movimenta_comunidade-marca-olx-marca-native-big_native-cielo_movimenta_comunidade_olx_loja-canal_internas_olx</t>
  </si>
  <si>
    <t>cielo_movimenta_comunidade-marca-olx-marca-native-native_carrossel-cielo_movimenta_comunidade_olx_cadastro-canal_internas_olx</t>
  </si>
  <si>
    <t>cielo_movimenta_comunidade-marca-olx-marca-native-native_carrossel-cielo_movimenta_comunidade_olx_loja-canal_internas_olx</t>
  </si>
  <si>
    <t>cielo_movimenta_comunidade-marca-verizon-marca-display-bilboard-cielo_movimenta_comunidade_loggi-as_25_interesses_varejo</t>
  </si>
  <si>
    <t>cielo_movimenta_comunidade-marca-verizon-marca-display-bilboard-comunidade_generica-as_25_interesses_varejo</t>
  </si>
  <si>
    <t>cielo_movimenta_comunidade-marca-verizon-marca-display-bilboard-movimenta_comu_olxmaes-as_25_interesses_varejo_cadastro</t>
  </si>
  <si>
    <t>cielo_movimenta_comunidade-marca-verizon-marca-display-bilboard-movimenta_comu_olxmaes-as_25_interesses_varejo_loja</t>
  </si>
  <si>
    <t>cielo_movimenta_comunidade-marca-verizon-marca-display-half_page-cielo_movimenta_comunidade_loggi-as_25_interesses_varejo</t>
  </si>
  <si>
    <t>cielo_movimenta_comunidade-marca-verizon-marca-display-half_page-comunidade_generica-as_25_interesses_varejo</t>
  </si>
  <si>
    <t>cielo_movimenta_comunidade-marca-verizon-marca-display-half_page-movimenta_comu_olxmaes-as_25_interesses_varejo_cadastro</t>
  </si>
  <si>
    <t>cielo_movimenta_comunidade-marca-verizon-marca-display-half_page-movimenta_comu_olxmaes-as_25_interesses_varejo_loja</t>
  </si>
  <si>
    <t>cielo_movimenta_comunidade-marca-verizon-marca-display-leaderboard-cielo_movimenta_comunidade_loggi-as_25_interesses_varejo</t>
  </si>
  <si>
    <t>cielo_movimenta_comunidade-marca-verizon-marca-display-leaderboard-comunidade_generica-as_25_interesses_varejo</t>
  </si>
  <si>
    <t>cielo_movimenta_comunidade-marca-verizon-marca-display-leaderboard-movimenta_comu_olxmaes-as_25_interesses_varejo_cadastro</t>
  </si>
  <si>
    <t>cielo_movimenta_comunidade-marca-verizon-marca-display-leaderboard-movimenta_comu_olxmaes-as_25_interesses_varejo_loja</t>
  </si>
  <si>
    <t>cielo_movimenta_comunidade-marca-verizon-marca-display-medium_rectangle-cielo_movimenta_comunidade_loggi-as_25_interesses_varejo</t>
  </si>
  <si>
    <t>cielo_movimenta_comunidade-marca-verizon-marca-display-medium_rectangle-comunidade_generica-as_25_interesses_varejo</t>
  </si>
  <si>
    <t>cielo_movimenta_comunidade-marca-verizon-marca-display-medium_rectangle-movimenta_comu_olxmaes-as_25_interesses_varejo_cadastro</t>
  </si>
  <si>
    <t>cielo_movimenta_comunidade-marca-verizon-marca-display-medium_rectangle-movimenta_comu_olxmaes-as_25_interesses_varejo_loja</t>
  </si>
  <si>
    <t>cielo_movimenta_comunidade-marca-verizon-marca-display-mobile_leaderboard-cielo_movimenta_comunidade_loggi-as_25_interesses_varejo</t>
  </si>
  <si>
    <t>cielo_movimenta_comunidade-marca-verizon-marca-display-mobile_leaderboard-comunidade_generica-as_25_interesses_varejo</t>
  </si>
  <si>
    <t>cielo_movimenta_comunidade-marca-verizon-marca-display-mobile_leaderboard-movimenta_comu_olxmaes-as_25_interesses_varejo_cadastro</t>
  </si>
  <si>
    <t>cielo_movimenta_comunidade-marca-verizon-marca-display-mobile_leaderboard-movimenta_comu_olxmaes-as_25_interesses_varejo_loja</t>
  </si>
  <si>
    <t>cielo_movimenta_comunidade-marca-verizon-marca-display-skyscraper-cielo_movimenta_comunidade_loggi-as_25_interesses_varejo</t>
  </si>
  <si>
    <t>cielo_movimenta_comunidade-marca-verizon-marca-display-skyscraper-cielo_movimenta_comunidade_olx-as_25_interesses_varejo</t>
  </si>
  <si>
    <t>cielo_movimenta_comunidade-marca-verizon-marca-display-skyscraper-cielo_movimenta_comunidade_olx_cadastro-as_25_interesses_varejo</t>
  </si>
  <si>
    <t>cielo_movimenta_comunidade-marca-verizon-marca-display-skyscraper-comunidade_generica-as_25_interesses_varejo</t>
  </si>
  <si>
    <t>cielo_movimenta_comunidade-marca-verizon-marca-display-skyscraper-movimenta_comu_olxmaes-as_25_interesses_varejo_cadastro</t>
  </si>
  <si>
    <t>cielo_movimenta_comunidade-marca-verizon-marca-display-skyscraper-movimenta_comu_olxmaes-as_25_interesses_varejo_loja</t>
  </si>
  <si>
    <t>cielo_movimenta_comunidade-marca-verizon-marca-native-big_native-cielo_movimenta_comunidade_olx-as_25_interesses_varejo</t>
  </si>
  <si>
    <t>cielo_movimenta_comunidade-marca-verizon-marca-native-big_native-cielo_movimenta_comunidade_olx_cadastro-as_25_interesses_varejo</t>
  </si>
  <si>
    <t>cielo_movimenta_comunidade-marca-verizon-marca-native-native-cielo_movimenta_comunidade_generica-as_25_interesses_varejo</t>
  </si>
  <si>
    <t>cielo_movimenta_comunidade-marca-verizon-marca-native-native-cielo_movimenta_comunidade_loggi-as_25_interesses_varejo</t>
  </si>
  <si>
    <t>cielo_movimenta_comunidade-marca-verizon-marca-native-native-cielo_movimenta_comunidade_olxmaes_cadastro-as_25_interesses_varejo_cadastro</t>
  </si>
  <si>
    <t>cielo_movimenta_comunidade-marca-verizon-marca-native-native-cielo_movimenta_comunidade_olxmaes_loja-as_25_interesses_varejo_loja</t>
  </si>
  <si>
    <t>cielo_movimenta_comunidade-marca-verizon-marca-native-native-cielo_movimenta_comunidade_parcerias-as_25_interesses_varejo</t>
  </si>
  <si>
    <t>cielo_movimenta_comunidade-marca-verizon-marca-native-native-comunidade_generica-as_25_interesses_varejo</t>
  </si>
  <si>
    <t>cielo_movimenta_comunidade-marca-verizon-marca-native-native-comunidade_parcerias-as_25_interesses_varejo</t>
  </si>
  <si>
    <t>cielo_movimenta_comunidade-marca-verizon-marca-native-small_native-cielo_movimenta_comunidade_olx_cadastro-as_25_interesses_varejo</t>
  </si>
  <si>
    <t>alp-cnn-varejo-awa</t>
  </si>
  <si>
    <t>cnn-varejo-cnn-marca-display-arroba_banner-cnn_cielo_movimenta_superlink-as_25</t>
  </si>
  <si>
    <t>cnn-comportamental-arroba_banner-300x250-marca-cpm-cnn_cielo_movimenta_superlink-tag</t>
  </si>
  <si>
    <t>CNN BR</t>
  </si>
  <si>
    <t>cnn-varejo-cnn-marca-display-arroba_banner-cnn_cielo_sebrae-as_25</t>
  </si>
  <si>
    <t>cnn-comportamental-arroba_banner-300x250-marca-cpm-cnn_cielo_sebrae-tag</t>
  </si>
  <si>
    <t>cnn-varejo-cnn-marca-display-arroba_banner-cnn_cielo_superlink_diaria1506-as_25</t>
  </si>
  <si>
    <t>cnn-comportamental-arroba_banner-300x250-marca-cpm-cnn_cielo_superlink_diaria1506-tag</t>
  </si>
  <si>
    <t>cnn-varejo-cnn-marca-display-bilboard-cnn_cielo_farol-as_25</t>
  </si>
  <si>
    <t>cnn-comportamental-bilboard-970x250-marca-cpm-cnn_cielo_farol-tag</t>
  </si>
  <si>
    <t>cnn-varejo-cnn-marca-display-bilboard-cnn_cielo_movimenta_superlink-as_25</t>
  </si>
  <si>
    <t>cnn-comportamental-bilboard-970x250-marca-cpm-cnn_cielo_movimenta_superlink-tag</t>
  </si>
  <si>
    <t>cnn-varejo-cnn-marca-display-bilboard-cnn_cielo_sebrae-as_25</t>
  </si>
  <si>
    <t>cnn-comportamental-bilboard-970x250-marca-cpm-cnn_cielo_sebrae-tag</t>
  </si>
  <si>
    <t>cnn-varejo-cnn-marca-display-bilboard-cnn_cielo_superlink_diaria1506-as_25</t>
  </si>
  <si>
    <t>cnn-comportamental-bilboard-970x250-marca-cpm-cnn_cielo_superlink_diaria1506-tag</t>
  </si>
  <si>
    <t>cnn-varejo-cnn-marca-display-halfpage-cnn_cielo_farol-as_25</t>
  </si>
  <si>
    <t>cnn-comportamental-halfpage-300x600-marca-cpm-cnn_cielo_farol-tag</t>
  </si>
  <si>
    <t>cnn-varejo-cnn-marca-display-halfpage-cnn_cielo_movimenta_superlink-as_25</t>
  </si>
  <si>
    <t>cnn-comportamental-halfpage-300x600-marca-cpm-cnn_cielo_movimenta_superlink-tag</t>
  </si>
  <si>
    <t>cnn-varejo-cnn-marca-display-halfpage-cnn_cielo_sebrae-as_25</t>
  </si>
  <si>
    <t>cnn-comportamental-halfpage-300x600-marca-cpm-cnn_cielo_sebrae-tag</t>
  </si>
  <si>
    <t>cnn-varejo-cnn-marca-display-leaderboard-cnn_cielo_farol-as_25</t>
  </si>
  <si>
    <t>cnn-comportamental-leaderboard-728x90-marca-cpm-cnn_cielo_farol-tag</t>
  </si>
  <si>
    <t>cnn-varejo-cnn-marca-display-leaderboard-cnn_cielo_movimenta_superlink-as_25</t>
  </si>
  <si>
    <t>cnn-comportamental-leaderboard-728x90-marca-cpm-cnn_cielo_movimenta_superlink-tag</t>
  </si>
  <si>
    <t>cnn-varejo-cnn-marca-display-leaderboard-cnn_cielo_sebrae-as_25</t>
  </si>
  <si>
    <t>cnn-comportamental-leaderboard-728x90-marca-cpm-cnn_cielo_sebrae-tag</t>
  </si>
  <si>
    <t>cnn-varejo-cnn-marca-display-leaderboard-cnn_cielo_superlink_diaria1506-as_25</t>
  </si>
  <si>
    <t>cnn-comportamental-leaderboard-728x90-marca-cpm-cnn_cielo_superlink_diaria1506-tag</t>
  </si>
  <si>
    <t>cnn-varejo-cnn-marca-display-mobile-cnn_cielo_farol-as_25</t>
  </si>
  <si>
    <t>cnn-comportamental-mobile-320x50-marca-cpm-cnn_cielo_farol-tag</t>
  </si>
  <si>
    <t>cnn-varejo-cnn-marca-display-mobile-cnn_cielo_movimenta_superlink-as_25</t>
  </si>
  <si>
    <t>cnn-comportamental-mobile-320x50-marca-cpm-cnn_cielo_movimenta_superlink-tag</t>
  </si>
  <si>
    <t>cnn-varejo-cnn-marca-display-mobile-cnn_cielo_sebrae-as_25</t>
  </si>
  <si>
    <t>cnn-comportamental-mobile-320x50-marca-cpm-cnn_cielo_sebrae-tag</t>
  </si>
  <si>
    <t>cnn-varejo-cnn-marca-display-mobile-cnn_cielo_superlink_diaria1506-as_25</t>
  </si>
  <si>
    <t>cnn-comportamental-mobile-320x50-marca-cpm-cnn_cielo_superlink_diaria1506-tag</t>
  </si>
  <si>
    <t>cnn-varejo-cnn-marca-video-mobile-cnn_cielo_farol-as_25</t>
  </si>
  <si>
    <t>cnn-comportamental-super_banner-300x250-marca-cpm-cnn_cielo_farol-tag</t>
  </si>
  <si>
    <t>alp-corona_voucher-varejo-awa</t>
  </si>
  <si>
    <t>corona_voucher-varejo-dv360_CorreioBrasiliense-marca-video-pre_roll-video_hero_30s-AS25_microempreendedor_medioempreendedor_negocios_vendasonline_donosdenegocios</t>
  </si>
  <si>
    <t>corona_voucher-comportamental-pre_roll-1920x1080-marca-cpm-video_hero_30s-tag</t>
  </si>
  <si>
    <t>corona_voucher-varejo-dv360_Estadao-marca-video-pre_roll-video_hero_30s-AS25_microempreendedor_medioempreendedor_negocios_vendasonline_donosdenegocios</t>
  </si>
  <si>
    <t>corona_voucher-varejo-dv360_Folha-marca-video-pre_roll-video_hero_30s-AS25_microempreendedor_medioempreendedor_negocios_vendasonline_donosdenegocios</t>
  </si>
  <si>
    <t>corona_voucher-varejo-dv360_globo-marca-video-pre_roll-video_hero_30s-AS25_microempreendedor_medioempreendedor_negocios_vendasonline_donosdenegocios</t>
  </si>
  <si>
    <t>alp-covid19-marca-awa</t>
  </si>
  <si>
    <t>covid19-marca-marca-social_dark-native-institucional_corona-as_25_interesses_varejo</t>
  </si>
  <si>
    <t>covid19-marca-verizon-marca-display-leaderboard-institucional_corona-as_25_interesses_varejo</t>
  </si>
  <si>
    <t>covid19-comportamental-leaderboard-728x90-marca-cpm-institucional_corona-tag</t>
  </si>
  <si>
    <t>covid19-marca-verizon-marca-display-medium_rectangle-institucional_corona-as_25_interesses_varejo</t>
  </si>
  <si>
    <t>covid19-comportamental-medium_rectangle-300x250-marca-cpm-institucional_corona-tag</t>
  </si>
  <si>
    <t>covid19-marca-verizon-marca-display-mobile_leaderboard-institucional_corona-as_25_interesses_varejo</t>
  </si>
  <si>
    <t>covid19-comportamental-mobile_leaderboard-320x50-marca-cpm-institucional_corona-tag</t>
  </si>
  <si>
    <t>covid19-marca-verizon-marca-display-skyscraper-institucional_corona-as_25_interesses_varejo</t>
  </si>
  <si>
    <t>covid19-comportamental-skyscraper-300x600-marca-cpm-institucional_corona-tag</t>
  </si>
  <si>
    <t>covid19-marca-verizon-marca-social_dark-native-institucional_corona-as_25_interesses_varejo</t>
  </si>
  <si>
    <t>alp-nova_cielo-empreendedores-cons</t>
  </si>
  <si>
    <t>nova_cielo-empreendedores-dv360-flash-display-halfpage-flash_atendimento-as_25_mais_3rdparty_list_micro_empreendedor_individual_tailtarget_e_mei_retargetly</t>
  </si>
  <si>
    <t>empreendedores-cons-halfpage-300x600-flash_atendimento-cpm</t>
  </si>
  <si>
    <t>nova_cielo-empreendedores-dv360-flash-display-large_rectangle-flash_atendimento-as_25_mais_3rdparty_list_micro_empreendedor_individual_tailtarget_e_mei_retargetly</t>
  </si>
  <si>
    <t>empreendedores-cons-large_rectangle-336x280-flash_atendimento-cpm</t>
  </si>
  <si>
    <t>nova_cielo-empreendedores-dv360-flash-display-medium_rectangle-flash_atendimento-as_25_mais_3rdparty_list_micro_empreendedor_individual_tailtarget_e_mei_retargetly</t>
  </si>
  <si>
    <t>empreendedores-cons-medium_rectangle-300x250-flash_atendimento-cpm</t>
  </si>
  <si>
    <t>nova_cielo-empreendedores-dv360-flash-display-mobile_leaderboard-flash_atendimento-as_25_mais_3rdparty_list_micro_empreendedor_individual_tailtarget_e_mei_retargetly</t>
  </si>
  <si>
    <t>empreendedores-cons-mobile_leaderboard-320x50-flash_atendimento-cpm</t>
  </si>
  <si>
    <t>nova_cielo-empreendedores-dv360-zip-display-halfpage-zip_bandeiras-as_25_mais_3rdparty_list_micro_empreendedor_individual_tailtarget_e_mei_retargetly</t>
  </si>
  <si>
    <t>empreendedores-cons-halfpage-300x600-zip_bandeiras-cpm</t>
  </si>
  <si>
    <t>nova_cielo-empreendedores-dv360-zip-display-large_rectangle-zip_bandeiras-as_25_mais_3rdparty_list_micro_empreendedor_individual_tailtarget_e_mei_retargetly</t>
  </si>
  <si>
    <t>empreendedores-cons-large_rectangle-336x280-zip_bandeiras-cpm</t>
  </si>
  <si>
    <t>nova_cielo-empreendedores-dv360-zip-display-medium_rectangle-zip_bandeiras-as_25_mais_3rdparty_list_micro_empreendedor_individual_tailtarget_e_mei_retargetly</t>
  </si>
  <si>
    <t>empreendedores-cons-medium_rectangle-300x250-zip_bandeiras-cpm</t>
  </si>
  <si>
    <t>nova_cielo-empreendedores-dv360-zip-display-mobile_leaderboard-zip_bandeiras-as_25_mais_3rdparty_list_micro_empreendedor_individual_tailtarget_e_mei_retargetly</t>
  </si>
  <si>
    <t>empreendedores-cons-mobile_leaderboard-320x50-zip_bandeiras-cpm</t>
  </si>
  <si>
    <t>nova_cielo-empreendedores-verizon-flash-display-halfpage-flash_atendimento-pequeno_empreendedor</t>
  </si>
  <si>
    <t>nova_cielo-empreendedores-verizon-flash-display-halfpage-flash_atendimento-pequeno_empreendedor_look-a-like_ e_predictive audience</t>
  </si>
  <si>
    <t>nova_cielo-empreendedores-verizon-flash-display-leaderboard-flash_atendimento-pequeno_empreendedor_look-a-like_ e_predictive audience</t>
  </si>
  <si>
    <t>empreendedores-cons-leaderboard-728x90-flash_atendimento-cpm</t>
  </si>
  <si>
    <t>nova_cielo-empreendedores-verizon-flash-display-medium_rectangle-flash_atendimento-pequeno_empreendedor</t>
  </si>
  <si>
    <t>nova_cielo-empreendedores-verizon-flash-display-medium_rectangle-flash_atendimento-pequeno_empreendedor_look-a-like_ e_predictive audience</t>
  </si>
  <si>
    <t>nova_cielo-empreendedores-verizon-flash-display-mobile_leaderboard-flash_atendimento-pequeno_empreendedor</t>
  </si>
  <si>
    <t>nova_cielo-empreendedores-verizon-flash-display-mobile_leaderboard-flash_atendimento-pequeno_empreendedor_look-a-like_ e_predictive audience</t>
  </si>
  <si>
    <t>nova_cielo-empreendedores-verizon-flash-display-wide_skyscraper-flash_atendimento-pequeno_empreendedor</t>
  </si>
  <si>
    <t>empreendedores-cons-wide_skyscraper-160x600-flash_atendimento-cpm</t>
  </si>
  <si>
    <t>nova_cielo-empreendedores-verizon-flash-display-wide_skyscraper-flash_atendimento-pequeno_empreendedor_look-a-like_ e_predictive audience</t>
  </si>
  <si>
    <t>nova_cielo-empreendedores-verizon-flash-native-native-flash_atendimento-pequeno_empreendedor</t>
  </si>
  <si>
    <t>nova_cielo-empreendedores-verizon-zip-display-halfpage-zip_bandeiras-pequeno_empreendedor</t>
  </si>
  <si>
    <t>nova_cielo-empreendedores-verizon-zip-display-halfpage-zip_bandeiras-pequeno_empreendedor_look-a-like_ e_predictive audience</t>
  </si>
  <si>
    <t>nova_cielo-empreendedores-verizon-zip-display-leaderboard-zip_bandeiras-pequeno_empreendedor</t>
  </si>
  <si>
    <t>empreendedores-cons-leaderboard-728x90-zip_bandeiras-cpm</t>
  </si>
  <si>
    <t>nova_cielo-empreendedores-verizon-zip-display-leaderboard-zip_bandeiras-pequeno_empreendedor_look-a-like_ e_predictive audience</t>
  </si>
  <si>
    <t>nova_cielo-empreendedores-verizon-zip-display-medium_rectangle-zip_bandeiras-pequeno_empreendedor</t>
  </si>
  <si>
    <t>nova_cielo-empreendedores-verizon-zip-display-medium_rectangle-zip_bandeiras-pequeno_empreendedor_look-a-like_ e_predictive audience</t>
  </si>
  <si>
    <t>nova_cielo-empreendedores-verizon-zip-display-mobile_leaderboard-zip_bandeiras-pequeno_empreendedor</t>
  </si>
  <si>
    <t>nova_cielo-empreendedores-verizon-zip-display-mobile_leaderboard-zip_bandeiras-pequeno_empreendedor_look-a-like_ e_predictive audience</t>
  </si>
  <si>
    <t>nova_cielo-empreendedores-verizon-zip-display-wide_skyscraper-zip_bandeiras-pequeno_empreendedor</t>
  </si>
  <si>
    <t>empreendedores-cons-wide_skyscraper-160x600-zip_bandeiras-cpm</t>
  </si>
  <si>
    <t>nova_cielo-empreendedores-verizon-zip-display-wide_skyscraper-zip_bandeiras-pequeno_empreendedor_look-a-like_ e_predictive audience</t>
  </si>
  <si>
    <t>nova_cielo-empreendedores-verizon-zip-native-native-zip_bandeiras-pequeno_empreendedor</t>
  </si>
  <si>
    <t>nova_cielo_empreendedores_flash_native_native_1200x627_taxa_zero_atendimento_pequeno_empreendedor_look-a-like_ e_predictive audience</t>
  </si>
  <si>
    <t>nova_cielo_empreendedores_flash_native_native_627x627_taxa_zero_atendimento_pequeno_empreendedor</t>
  </si>
  <si>
    <t>nova_cielo_empreendedores_zip_display_mobile_leaderboard_320x50_taxa_zero_atendimento_pequeno_empreendedor</t>
  </si>
  <si>
    <t>empreendedores_cons_mobile_leaderboard_320x50_zip_taxa_zero_atendimento</t>
  </si>
  <si>
    <t>alp-pegn-marca-awa</t>
  </si>
  <si>
    <t>pegn-marca-globo-marca-display-carrossel-pegn_cielo_movimenta_baseig-as_25_interesses</t>
  </si>
  <si>
    <t>BR Globo</t>
  </si>
  <si>
    <t>pegn-marca-globo-marca-display-carrossel-pegn_cielo_sebrae-as_25_interesses</t>
  </si>
  <si>
    <t>pegn-marca-globo-marca-display-maxiboard-pegn_cielo_movimenta-as_25_empreendedores</t>
  </si>
  <si>
    <t>pegn-marca-globo-marca-display-maxiboard-pegn_cielo_movimenta_baseig-as_25_interesses</t>
  </si>
  <si>
    <t>pegn-comportamental-maxiboard-970x150-marca-cpm-pegn_cielo_movimenta_baseig-tag</t>
  </si>
  <si>
    <t>pegn-marca-globo-marca-display-maxiboard-pegn_cielo_movimenta_superlink-as_25_interesses</t>
  </si>
  <si>
    <t>pegn-comportamental-maxiboard-970x150-marca-cpm-pegn_cielo_movimenta_superlink-tag</t>
  </si>
  <si>
    <t>pegn-marca-globo-marca-display-medium_rectangle-pegn_cielo_movimenta-as_25_empreendedores</t>
  </si>
  <si>
    <t>pegn-marca-globo-marca-display-medium_rectangle-pegn_cielo_movimenta_baseig-as_25_interesses</t>
  </si>
  <si>
    <t>pegn-comportamental-medium_rectangle-300x250-marca-cpm-pegn_cielo_movimenta_baseig-tag</t>
  </si>
  <si>
    <t>pegn-marca-globo-marca-display-medium_rectangle-pegn_cielo_movimenta_superlink-as_25_interesses</t>
  </si>
  <si>
    <t>pegn-comportamental-medium_rectangle-300x250-marca-cpm-pegn_cielo_movimenta_superlink-tag</t>
  </si>
  <si>
    <t>pegn-marca-globo-marca-display-medium_rectangle-pegn_cielo_sebrae-as_25_interesses</t>
  </si>
  <si>
    <t>pegn-comportamental-medium_rectangle-300x250-marca-cpm-pegn_cielo_sebrae-tag</t>
  </si>
  <si>
    <t>pegn-marca-globo-marca-display-stick_ad-pegn_cielo_movimenta-as_25_empreendedores</t>
  </si>
  <si>
    <t>pegn-marca-globo-marca-display-stick_ad-pegn_cielo_movimenta_baseig-as_25_interesses</t>
  </si>
  <si>
    <t>pegn-comportamental-stick_ad-320x50-marca-cpm-pegn_cielo_movimenta_baseig-tag</t>
  </si>
  <si>
    <t>pegn-marca-globo-marca-display-stick_ad-pegn_cielo_movimenta_superlink-as_25_interesses</t>
  </si>
  <si>
    <t>pegn-comportamental-stick_ad-320x50-marca-cpm-pegn_cielo_movimenta_superlink-tag</t>
  </si>
  <si>
    <t>pegn-marca-globo-marca-display-stick_ad-pegn_cielo_sebrae-as_25_interesses</t>
  </si>
  <si>
    <t>pegn-comportamental-stick_ad-320x50-marca-cpm-pegn_cielo_sebrae-tag</t>
  </si>
  <si>
    <t>pegn-marca-globo-marca-native-carrossel-pegn_cielo_movimenta-as_25_empreendedores</t>
  </si>
  <si>
    <t>pegn-marca-globo-marca-video-pre_roll-pegn_cielo_movimenta-as_25_empreendedores</t>
  </si>
  <si>
    <t>pegn-marca-globo-marca-video-pre_roll-pegn_cielo_movimenta_superlink-as_25_interesses</t>
  </si>
  <si>
    <t>pegn-comportamental-pre_roll-1920x1080-marca-cpm-pegn_cielo_movimenta_superlink-tag</t>
  </si>
  <si>
    <t>pegn-varejo-globo-marca-display-carrossel-pegn_cielo_movimenta_baseig-as_25_interesses</t>
  </si>
  <si>
    <t>pegn-varejo-globo-marca-display-carrossel-pegn_cielo_movimenta_superlink-as_25_interesses</t>
  </si>
  <si>
    <t>alp-receba-rapido-varejo-cons</t>
  </si>
  <si>
    <t>receba-rapido-varejo-afilio-marca-display-halfpage-receba_rapido_estoque-base_legada_elegivel_cielo</t>
  </si>
  <si>
    <t>afilio.com.br</t>
  </si>
  <si>
    <t>receba-rapido-varejo-afilio-marca-display-halfpage-receba_rapido_fluxo-base_legada_elegivel_cielo</t>
  </si>
  <si>
    <t>receba-rapido-varejo-afilio-marca-display-halfpage-receba_rapido_vendas-base_legada_elegivel_cielo</t>
  </si>
  <si>
    <t>receba-rapido-varejo-afilio-marca-display-leaderboard-receba_rapido_estoque-base_legada_elegivel_cielo</t>
  </si>
  <si>
    <t>receba-rapido-varejo-afilio-marca-display-leaderboard-receba_rapido_fluxo-base_legada_elegivel_cielo</t>
  </si>
  <si>
    <t>receba-rapido-varejo-afilio-marca-display-leaderboard-receba_rapido_vendas-base_legada_elegivel_cielo</t>
  </si>
  <si>
    <t>receba-rapido-varejo-afilio-marca-display-medium_rectangle-receba_rapido_estoque-base_legada_elegivel_cielo</t>
  </si>
  <si>
    <t>receba-rapido-varejo-afilio-marca-display-medium_rectangle-receba_rapido_fluxo-base_legada_elegivel_cielo</t>
  </si>
  <si>
    <t>receba-rapido-varejo-afilio-marca-display-medium_rectangle-receba_rapido_vendas-base_legada_elegivel_cielo</t>
  </si>
  <si>
    <t>receba-rapido-varejo-afilio-marca-display-mobile-receba_rapido_estoque-base_legada_elegivel_cielo</t>
  </si>
  <si>
    <t>receba-rapido-varejo-afilio-marca-display-mobile-receba_rapido_fluxo-base_legada_elegivel_cielo</t>
  </si>
  <si>
    <t>receba-rapido-varejo-afilio-marca-display-mobile-receba_rapido_vendas-base_legada_elegivel_cielo</t>
  </si>
  <si>
    <t>receba-rapido-varejo-dv360-marca-native-native-receba_rapido_fluxo-as_25-mais_comportamental</t>
  </si>
  <si>
    <t>receba-rapido-varejo-dv360-marca-native-native-receba_rapido_vendas-as_25-mais_comportamental</t>
  </si>
  <si>
    <t>receba-rapido-varejo-marca-display-medium_rectangle-receba_rapido_estoque-base_legada_ elegivel_cielo</t>
  </si>
  <si>
    <t>receba-rapido-comportamental-medium_rectangle-300x250-marca-cpm-receba_rapido_estoque-tag</t>
  </si>
  <si>
    <t>receba-rapido-varejo-marca-display-mobile_leaderboard-receba_rapido_estoque-base_legada_ elegivel_cielo</t>
  </si>
  <si>
    <t>receba-rapido-comportamental-mobile_leaderboard-320x50-marca-cpm-receba_rapido_estoque-tag</t>
  </si>
  <si>
    <t>receba-rapido-varejo-marca-display-mobile_leaderboard-receba_rapido_fluxo-base_legada_ elegivel_cielo</t>
  </si>
  <si>
    <t>receba-rapido-comportamental-mobile_leaderboard-320x50-marca-cpm-receba_rapido_fluxo-tag</t>
  </si>
  <si>
    <t>receba-rapido-varejo-marca-display-mobile_leaderboard-receba_rapido_vendas-base_legada_elegivel_cielo</t>
  </si>
  <si>
    <t>receba-rapido-comportamental-mobile_leaderboard-320x50-marca-cpm-receba_rapido_vendas-tag</t>
  </si>
  <si>
    <t>receba-rapido-varejo-marca-display-wide_skyscraper-receba_rapido_fluxo-base_legada_ elegivel_cielo</t>
  </si>
  <si>
    <t>receba-rapido-comportamental-wide_skyscraper-160x600-marca-cpm-receba_rapido_fluxo-tag</t>
  </si>
  <si>
    <t>receba-rapido-varejo-marca-native-native-receba_rapido_vendas-base_legada_elegivel_cielo</t>
  </si>
  <si>
    <t>alp-superlink-marca-awa</t>
  </si>
  <si>
    <t>superlink-marca-verizon-superlink-display-halfpage-sl_luta_diaria-AS25_microempreendedor_medioempreendedor_negocios_vendasonline_donosdenegocios</t>
  </si>
  <si>
    <t>superlink-comportamental-halfpage-300x600-superlink-cpm-sl_luta_diaria-tag</t>
  </si>
  <si>
    <t>superlink-marca-verizon-superlink-display-leaderboard-sl_luta_diaria-AS25_microempreendedor_medioempreendedor_negocios_vendasonline_donosdenegocios</t>
  </si>
  <si>
    <t>superlink-comportamental-leaderboard-728x90-superlink-cpm-sl_luta_diaria-tag</t>
  </si>
  <si>
    <t>superlink-marca-verizon-superlink-display-medium_rectangle-sl_luta_diaria-AS25_microempreendedor_medioempreendedor_negocios_vendasonline_donosdenegocios</t>
  </si>
  <si>
    <t>superlink-comportamental-medium_rectangle-300x250-superlink-cpm-sl_luta_diaria-tag</t>
  </si>
  <si>
    <t>superlink-marca-verizon-superlink-display-skyscraper-sl_luta_diaria-AS25_microempreendedor_medioempreendedor_negocios_vendasonline_donosdenegocios</t>
  </si>
  <si>
    <t>Default_160x600</t>
  </si>
  <si>
    <t>superlink-comportamental-skyscraper-160x600-superlink-cpm-sl_luta_diaria-tag</t>
  </si>
  <si>
    <t>superlink-marca-verizon-superlink-native-native-superlink-AS25_microempreendedor_medioempreendedor_negocios_vendasonline_donosdenegocios</t>
  </si>
  <si>
    <t>alp-superlink-marca-perf</t>
  </si>
  <si>
    <t>marca-dv360_globo-superlink-native-native-1200x627-luta_diaria_loggi_boost-as25_empreendedor_varejo_interesses-cpm</t>
  </si>
  <si>
    <t>marca-dv360_globo-superlink-native-native-627x627-luta_diaria_loggi_boost-as25_empreendedor_varejo_interesses-cpm</t>
  </si>
  <si>
    <t>superlink-marca-dv360_globo-superlink-display-billboard-sl_vendapelainternet_loggi_boost-as25_empreendedor_varejo_interesses</t>
  </si>
  <si>
    <t>superlink-comportamental-billboard-970x250-superlink-cpm-sl_vendapelainternet_loggi_boost-tag</t>
  </si>
  <si>
    <t>superlink-marca-dv360_globo-superlink-display-halfpage-sl_vendapelainternet_loggi_boost-as25_empreendedor_varejo_interesses</t>
  </si>
  <si>
    <t>superlink-comportamental-halfpage-300x600-superlink-cpm-sl_vendapelainternet_loggi_boost-tag</t>
  </si>
  <si>
    <t>superlink-marca-dv360_globo-superlink-display-leaderboard-sl_vendapelainternet_loggi_boost-as25_empreendedor_varejo_interesses</t>
  </si>
  <si>
    <t>superlink-comportamental-leaderboard-728x90-superlink-cpm-sl_vendapelainternet_loggi_boost-tag</t>
  </si>
  <si>
    <t>superlink-marca-dv360_globo-superlink-display-medium_rectangle-sl_vendapelainternet_loggi_boost-as25_empreendedor_varejo_interesses</t>
  </si>
  <si>
    <t>superlink-comportamental-medium_rectangle-300x250-superlink-cpm-sl_vendapelainternet_loggi_boost-tag</t>
  </si>
  <si>
    <t>superlink-marca-dv360_globo-superlink-display-skyscraper-sl_vendapelainternet_loggi_boost-as25_empreendedor_varejo_interesses</t>
  </si>
  <si>
    <t>superlink-comportamental-skyscraper-160x600-superlink-cpm-sl_vendapelainternet_loggi_boost-tag</t>
  </si>
  <si>
    <t>alp:aquisicao:varejo:awa</t>
  </si>
  <si>
    <t>aquisicao-varejo-marca-native-native-voce_e_cielo_crescendo_1-as_25-mais_comportamental</t>
  </si>
  <si>
    <t>aquisicao-varejo-verizon-marca-display-leaderboard-voce_e_cielo_stress-as_25_in_market_e_concorrencia</t>
  </si>
  <si>
    <t>aquisicao-comportamental-leaderboard-728x90-marca-cpm-voce_e_cielo_stress-tag</t>
  </si>
  <si>
    <t>aquisicao_varejo_marca_native_native_1200x627_aw_ins_varejo_voce_&amp;_cielo_stress_AS 25+ | In-Market e Concorrencia: Business Loans, Business Education, Business Financial Services, Business Technology, Payment Processing &amp; Merchant Services OR those who are</t>
  </si>
  <si>
    <t>Grand Total:</t>
  </si>
  <si>
    <t>---</t>
  </si>
  <si>
    <t>4616231</t>
  </si>
  <si>
    <t>Filter by Partner ID:</t>
  </si>
  <si>
    <t>Reporting numbers from the previous month are finalized (for billing purposes) by the third of each month, unless communicated otherwise.</t>
  </si>
  <si>
    <t>Clicks(Desktop Video, Desktop Display, Desktop Rich Media, Mobile Video, Mobile Display, Mobile Rich Media, In-App Video, In-App Display, In-App Rich Media)</t>
  </si>
  <si>
    <t>Group By:</t>
  </si>
  <si>
    <t>2020/05/01 to 2020/06/16</t>
  </si>
  <si>
    <t>Date Range:</t>
  </si>
  <si>
    <t>2020/06/16 14:17 GMT</t>
  </si>
  <si>
    <t>Report Time:</t>
  </si>
  <si>
    <t>Cielo_Empreendedores</t>
  </si>
  <si>
    <t>Cielo Movimenta - Manifesto</t>
  </si>
  <si>
    <t>Cielo Movimenta - Comunidade</t>
  </si>
  <si>
    <t>Cielo - Superlink</t>
  </si>
  <si>
    <t>Cielo - Corona Voucher</t>
  </si>
  <si>
    <t>Plataforma</t>
  </si>
  <si>
    <t>DV</t>
  </si>
  <si>
    <t>CM</t>
  </si>
  <si>
    <t>Imp_CM</t>
  </si>
  <si>
    <t>Imp_DV</t>
  </si>
  <si>
    <t>Click_CM</t>
  </si>
  <si>
    <t>Click_DV</t>
  </si>
  <si>
    <t>Placement / Creative</t>
  </si>
  <si>
    <t>Imp</t>
  </si>
  <si>
    <t>Click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</si>
</sst>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b/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BECF6"/>
      </patternFill>
    </fill>
    <fill>
      <patternFill patternType="solid">
        <fgColor rgb="FFC0C0C0"/>
      </patternFill>
    </fill>
    <fill>
      <patternFill patternType="solid">
        <fgColor rgb="FFD8D8D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3" borderId="1" xfId="0" applyFont="1" applyFill="1" applyBorder="1" applyAlignment="1">
      <alignment wrapText="1"/>
    </xf>
    <xf numFmtId="0" fontId="0" fillId="4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applyBorder="1"/>
    <xf numFmtId="3" fontId="1" fillId="3" borderId="1" xfId="0" applyNumberFormat="1" applyFont="1" applyFill="1" applyBorder="1" applyAlignment="1">
      <alignment wrapText="1"/>
    </xf>
    <xf numFmtId="3" fontId="0" fillId="0" borderId="1" xfId="0" applyNumberFormat="1" applyBorder="1"/>
    <xf numFmtId="3" fontId="1" fillId="2" borderId="1" xfId="0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0" fillId="0" borderId="1" xfId="0" applyBorder="1"/>
    <xf numFmtId="0" fontId="3" fillId="0" borderId="1" xfId="0" applyFont="1" applyBorder="1"/>
    <xf numFmtId="3" fontId="3" fillId="0" borderId="1" xfId="0" applyNumberFormat="1" applyFont="1" applyBorder="1"/>
    <xf numFmtId="9" fontId="0" fillId="0" borderId="0" xfId="1" applyFont="1"/>
    <xf numFmtId="3" fontId="3" fillId="0" borderId="1" xfId="0" applyNumberFormat="1" applyFont="1" applyFill="1" applyBorder="1"/>
    <xf numFmtId="9" fontId="0" fillId="0" borderId="1" xfId="1" applyFont="1" applyBorder="1"/>
    <xf numFmtId="9" fontId="3" fillId="0" borderId="1" xfId="1" applyFont="1" applyFill="1" applyBorder="1"/>
  </cellXfs>
  <cellStyles count="2">
    <cellStyle name="Normal" xfId="0" builtinId="0"/>
    <cellStyle name="Porcentagem" xfId="1" builtinId="5"/>
  </cellStyles>
  <dxfs count="13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rgb="FF00B050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Alves de Lima - Almap BBDO" refreshedDate="43998.474653935184" createdVersion="6" refreshedVersion="6" minRefreshableVersion="3" recordCount="282" xr:uid="{F77839F7-4D3A-4A08-97E2-4BBC911FFCD7}">
  <cacheSource type="worksheet">
    <worksheetSource ref="A1:F266" sheet="CM"/>
  </cacheSource>
  <cacheFields count="6">
    <cacheField name="Campaign" numFmtId="0">
      <sharedItems/>
    </cacheField>
    <cacheField name="Placement" numFmtId="0">
      <sharedItems longText="1"/>
    </cacheField>
    <cacheField name="Creative" numFmtId="0">
      <sharedItems/>
    </cacheField>
    <cacheField name="Site (DCM)" numFmtId="0">
      <sharedItems count="9">
        <s v="BidManager_DfaSite_2650516"/>
        <s v="Google Brasil"/>
        <s v="Estadão"/>
        <s v="BR OLX"/>
        <s v="Oath - Verizon Media"/>
        <s v="istoé"/>
        <s v="CNN BR"/>
        <s v="BR Globo"/>
        <s v="afilio.com.br"/>
      </sharedItems>
    </cacheField>
    <cacheField name="Impressions" numFmtId="3">
      <sharedItems containsSemiMixedTypes="0" containsString="0" containsNumber="1" containsInteger="1" minValue="0" maxValue="67567270"/>
    </cacheField>
    <cacheField name="Clicks" numFmtId="3">
      <sharedItems containsSemiMixedTypes="0" containsString="0" containsNumber="1" containsInteger="1" minValue="0" maxValue="896487" count="165">
        <n v="154933"/>
        <n v="96"/>
        <n v="45378"/>
        <n v="29929"/>
        <n v="66"/>
        <n v="3509"/>
        <n v="83576"/>
        <n v="500"/>
        <n v="22"/>
        <n v="258"/>
        <n v="5341"/>
        <n v="297"/>
        <n v="1"/>
        <n v="4"/>
        <n v="3"/>
        <n v="0"/>
        <n v="88"/>
        <n v="8"/>
        <n v="46"/>
        <n v="30"/>
        <n v="2"/>
        <n v="9"/>
        <n v="7"/>
        <n v="5577"/>
        <n v="6551"/>
        <n v="135"/>
        <n v="38"/>
        <n v="24"/>
        <n v="98"/>
        <n v="16"/>
        <n v="334127"/>
        <n v="54782"/>
        <n v="1450"/>
        <n v="365699"/>
        <n v="25302"/>
        <n v="8435"/>
        <n v="28201"/>
        <n v="5150"/>
        <n v="107"/>
        <n v="18596"/>
        <n v="383"/>
        <n v="856"/>
        <n v="242479"/>
        <n v="16645"/>
        <n v="14400"/>
        <n v="27481"/>
        <n v="7536"/>
        <n v="778"/>
        <n v="565"/>
        <n v="6910"/>
        <n v="563"/>
        <n v="1056"/>
        <n v="44710"/>
        <n v="5866"/>
        <n v="32391"/>
        <n v="3615"/>
        <n v="16440"/>
        <n v="175778"/>
        <n v="59671"/>
        <n v="2883"/>
        <n v="109098"/>
        <n v="12957"/>
        <n v="11736"/>
        <n v="861"/>
        <n v="32"/>
        <n v="916"/>
        <n v="41"/>
        <n v="33"/>
        <n v="585"/>
        <n v="93"/>
        <n v="655"/>
        <n v="12"/>
        <n v="5"/>
        <n v="1942"/>
        <n v="593"/>
        <n v="802"/>
        <n v="766"/>
        <n v="803"/>
        <n v="10"/>
        <n v="75"/>
        <n v="56"/>
        <n v="20"/>
        <n v="23"/>
        <n v="313"/>
        <n v="97"/>
        <n v="100"/>
        <n v="974"/>
        <n v="317"/>
        <n v="429"/>
        <n v="715"/>
        <n v="7116"/>
        <n v="5668"/>
        <n v="4161"/>
        <n v="6110"/>
        <n v="2223"/>
        <n v="1225"/>
        <n v="2427"/>
        <n v="5184"/>
        <n v="20240"/>
        <n v="15853"/>
        <n v="10133"/>
        <n v="15285"/>
        <n v="2287"/>
        <n v="1623"/>
        <n v="946"/>
        <n v="912"/>
        <n v="15543"/>
        <n v="12832"/>
        <n v="1351"/>
        <n v="6239"/>
        <n v="896487"/>
        <n v="65937"/>
        <n v="68"/>
        <n v="136"/>
        <n v="25"/>
        <n v="72"/>
        <n v="240"/>
        <n v="1230"/>
        <n v="44"/>
        <n v="40"/>
        <n v="417"/>
        <n v="18"/>
        <n v="17"/>
        <n v="122"/>
        <n v="1478"/>
        <n v="45"/>
        <n v="1517"/>
        <n v="1020"/>
        <n v="821"/>
        <n v="674"/>
        <n v="141"/>
        <n v="1200"/>
        <n v="779"/>
        <n v="767"/>
        <n v="82"/>
        <n v="118"/>
        <n v="65"/>
        <n v="327"/>
        <n v="334"/>
        <n v="5323"/>
        <n v="91"/>
        <n v="102"/>
        <n v="62"/>
        <n v="330"/>
        <n v="387"/>
        <n v="4054"/>
        <n v="994"/>
        <n v="103"/>
        <n v="63"/>
        <n v="145"/>
        <n v="196"/>
        <n v="822"/>
        <n v="1266"/>
        <n v="60"/>
        <n v="2959"/>
        <n v="688"/>
        <n v="42"/>
        <n v="169"/>
        <n v="7213"/>
        <n v="816"/>
        <n v="1447"/>
        <n v="25387"/>
        <n v="3395"/>
        <n v="178"/>
        <n v="1872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Alves de Lima - Almap BBDO" refreshedDate="43998.475273148149" createdVersion="6" refreshedVersion="6" minRefreshableVersion="3" recordCount="80" xr:uid="{520CD0B2-0E47-4627-8A53-B755F20358B4}">
  <cacheSource type="worksheet">
    <worksheetSource ref="A1:D81" sheet="DV"/>
  </cacheSource>
  <cacheFields count="4">
    <cacheField name="Campaign" numFmtId="0">
      <sharedItems/>
    </cacheField>
    <cacheField name="Creative" numFmtId="0">
      <sharedItems/>
    </cacheField>
    <cacheField name="Impressions" numFmtId="3">
      <sharedItems containsSemiMixedTypes="0" containsString="0" containsNumber="1" containsInteger="1" minValue="1" maxValue="67567268"/>
    </cacheField>
    <cacheField name="Clicks" numFmtId="3">
      <sharedItems containsSemiMixedTypes="0" containsString="0" containsNumber="1" containsInteger="1" minValue="0" maxValue="365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Alves de Lima - Almap BBDO" refreshedDate="43998.480069791665" createdVersion="6" refreshedVersion="6" minRefreshableVersion="3" recordCount="362" xr:uid="{82B79982-C518-479F-B49D-E4DA6BE805A8}">
  <cacheSource type="worksheet">
    <worksheetSource ref="A1:E363" sheet="Geral"/>
  </cacheSource>
  <cacheFields count="5">
    <cacheField name="Plataforma" numFmtId="0">
      <sharedItems count="2">
        <s v="DV"/>
        <s v="CM"/>
      </sharedItems>
    </cacheField>
    <cacheField name="Campaign" numFmtId="0">
      <sharedItems count="17">
        <s v="Cielo - Corona Voucher"/>
        <s v="Cielo - Superlink"/>
        <s v="Cielo Movimenta - Comunidade"/>
        <s v="Cielo Movimenta - Manifesto"/>
        <s v="Cielo_Empreendedores"/>
        <s v="BidManager_Campaign_DO_NOT_EDIT_9471586_1560977055413"/>
        <s v="alp-cielo_movimenta-marca-awa"/>
        <s v="alp-cielo_movimenta_comunidade-marca-awa"/>
        <s v="alp-cnn-varejo-awa"/>
        <s v="alp-corona_voucher-varejo-awa"/>
        <s v="alp-covid19-marca-awa"/>
        <s v="alp-nova_cielo-empreendedores-cons"/>
        <s v="alp-pegn-marca-awa"/>
        <s v="alp-receba-rapido-varejo-cons"/>
        <s v="alp-superlink-marca-awa"/>
        <s v="alp-superlink-marca-perf"/>
        <s v="alp:aquisicao:varejo:awa"/>
      </sharedItems>
    </cacheField>
    <cacheField name="Creative" numFmtId="0">
      <sharedItems/>
    </cacheField>
    <cacheField name="Impressions" numFmtId="3">
      <sharedItems containsSemiMixedTypes="0" containsString="0" containsNumber="1" containsInteger="1" minValue="0" maxValue="67567270"/>
    </cacheField>
    <cacheField name="Clicks" numFmtId="3">
      <sharedItems containsSemiMixedTypes="0" containsString="0" containsNumber="1" containsInteger="1" minValue="0" maxValue="8964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">
  <r>
    <s v="BidManager_Campaign_DO_NOT_EDIT_9471586_1560977055413"/>
    <s v="1200x627_rectangle (DFA Zero placement)"/>
    <s v="1200x627_rectangle"/>
    <x v="0"/>
    <n v="4079699"/>
    <x v="0"/>
  </r>
  <r>
    <s v="BidManager_Campaign_DO_NOT_EDIT_9471586_1560977055413"/>
    <s v="1200x627_square (DFA Zero placement)"/>
    <s v="1200x627_square"/>
    <x v="0"/>
    <n v="220049"/>
    <x v="1"/>
  </r>
  <r>
    <s v="BidManager_Campaign_DO_NOT_EDIT_9471586_1560977055413"/>
    <s v="NativeAd_Loggi_ajustado_1200x627 (DFA Zero placement)"/>
    <s v="NativeAd_Loggi_ajustado_1200x627"/>
    <x v="0"/>
    <n v="632939"/>
    <x v="2"/>
  </r>
  <r>
    <s v="BidManager_Campaign_DO_NOT_EDIT_9471586_1560977055413"/>
    <s v="aw_movimenta_awareness-geral_1200x627_rectangle (DFA Zero placement)"/>
    <s v="aw_movimenta_awareness-geral_1200x627_rectangle"/>
    <x v="0"/>
    <n v="1035925"/>
    <x v="3"/>
  </r>
  <r>
    <s v="BidManager_Campaign_DO_NOT_EDIT_9471586_1560977055413"/>
    <s v="aw_movimenta_awareness-geral_1200x627_square (DFA Zero placement)"/>
    <s v="aw_movimenta_awareness-geral_1200x627_square"/>
    <x v="0"/>
    <n v="87642"/>
    <x v="4"/>
  </r>
  <r>
    <s v="BidManager_Campaign_DO_NOT_EDIT_9471586_1560977055413"/>
    <s v="superlink-marca-dv360_globo-superlink-native-native-luta_diaria_loggi_boost-as25_empreendedor_varejo_interesses_rectangle (DFA Zero placement)"/>
    <s v="superlink-marca-dv360_globo-superlink-native-native-luta_diaria_loggi_boost-as25_empreendedor_varejo_interesses_rectangle"/>
    <x v="0"/>
    <n v="1428580"/>
    <x v="5"/>
  </r>
  <r>
    <s v="alp-cielo_movimenta-marca-awa"/>
    <s v="cielo_movimenta-marca-dv360-marca-video-pre_roll-cielo_movimenta_manifesto_30s-AS25_microempreendedor_medioempreendedor_negocios_vendasonline_donosdenegocios"/>
    <s v="cielo_movimenta-comportamental-pre_roll-1920x1080-marca-cpm-cielo_movimenta_manifesto_30s-tag"/>
    <x v="1"/>
    <n v="67567270"/>
    <x v="6"/>
  </r>
  <r>
    <s v="alp-cielo_movimenta-marca-awa"/>
    <s v="cielo_movimenta-marca-dv360_CorreioBrasiliense-marca-video-pre_roll-cielo_movimenta_manifesto_30s-AS25_microempreendedor_medioempreendedor_negocios_vendasonline_donosdenegocios"/>
    <s v="cielo_movimenta-comportamental-pre_roll-1920x1080-marca-cpm-cielo_movimenta_manifesto_30s-tag"/>
    <x v="1"/>
    <n v="155185"/>
    <x v="7"/>
  </r>
  <r>
    <s v="alp-cielo_movimenta-marca-awa"/>
    <s v="cielo_movimenta-marca-dv360_Estadao-marca-video-pre_roll-cielo_movimenta_manifesto_30s-AS25_microempreendedor_medioempreendedor_negocios_vendasonline_donosdenegocios"/>
    <s v="cielo_movimenta-comportamental-pre_roll-1920x1080-marca-cpm-cielo_movimenta_manifesto_30s-tag"/>
    <x v="1"/>
    <n v="195041"/>
    <x v="8"/>
  </r>
  <r>
    <s v="alp-cielo_movimenta-marca-awa"/>
    <s v="cielo_movimenta-marca-dv360_Folha-marca-video-pre_roll-cielo_movimenta_manifesto_30s-AS25_microempreendedor_medioempreendedor_negocios_vendasonline_donosdenegocios"/>
    <s v="cielo_movimenta-comportamental-pre_roll-1920x1080-marca-cpm-cielo_movimenta_manifesto_30s-tag"/>
    <x v="1"/>
    <n v="118734"/>
    <x v="9"/>
  </r>
  <r>
    <s v="alp-cielo_movimenta-marca-awa"/>
    <s v="cielo_movimenta-marca-dv360_R7-marca-video-pre_roll-cielo_movimenta_manifesto_30s-AS25_microempreendedor_medioempreendedor_negocios_vendasonline_donosdenegocios"/>
    <s v="cielo_movimenta-comportamental-pre_roll-1920x1080-marca-cpm-cielo_movimenta_manifesto_30s-tag"/>
    <x v="1"/>
    <n v="312519"/>
    <x v="10"/>
  </r>
  <r>
    <s v="alp-cielo_movimenta-marca-awa"/>
    <s v="cielo_movimenta-marca-estadao-marca-video-pre_roll-cielo_movimenta_manifesto_30s-AS25_microempreendedor_medioempreendedor_negocios_vendasonline_donosdenegocios"/>
    <s v="cielo_movimenta-comportamental-pre_roll-1920x1080-marca-cpm-cielo_movimenta_manifesto_30s-tag"/>
    <x v="2"/>
    <n v="244451"/>
    <x v="11"/>
  </r>
  <r>
    <s v="alp-cielo_movimenta-marca-awa"/>
    <s v="cielo_movimenta-marca-olx-marca-display-arroba_banner-cielo_movimenta_olx_cadastro_fase1-canal_internas_olx"/>
    <s v="cielo_movimenta-comportamental-arroba_banner-300x250-marca-cpm-cielo_movimenta_olx_cadastro_fase1-tag"/>
    <x v="3"/>
    <n v="3"/>
    <x v="12"/>
  </r>
  <r>
    <s v="alp-cielo_movimenta-marca-awa"/>
    <s v="cielo_movimenta-marca-olx-marca-display-arroba_banner-cielo_movimenta_olx_fase2-canal_internas_olx"/>
    <s v="cielo_movimenta-comportamental-arroba_banner-300x250-marca-cpm-cielo_movimenta_olx_fase2-tag"/>
    <x v="3"/>
    <n v="6"/>
    <x v="12"/>
  </r>
  <r>
    <s v="alp-cielo_movimenta-marca-awa"/>
    <s v="cielo_movimenta-marca-olx-marca-display-arroba_banner-cielo_movimenta_olx_fase2-canal_internas_olx_bonificado"/>
    <s v="cielo_movimenta-comportamental-arroba_banner-300x250-marca-cpm-cielo_movimenta_olx_fase2-tag"/>
    <x v="3"/>
    <n v="348"/>
    <x v="13"/>
  </r>
  <r>
    <s v="alp-cielo_movimenta-marca-awa"/>
    <s v="cielo_movimenta-marca-olx-marca-display-half_page-cielo_movimenta_olx_cadastro_fase1-canal_internas_olx"/>
    <s v="cielo_movimenta-comportamental-half_page-300x600-marca-cpm-cielo_movimenta_olx_cadastro_fase1-tag"/>
    <x v="3"/>
    <n v="8"/>
    <x v="14"/>
  </r>
  <r>
    <s v="alp-cielo_movimenta-marca-awa"/>
    <s v="cielo_movimenta-marca-olx-marca-display-half_page-cielo_movimenta_olx_fase2-canal_internas_olx_bonificado"/>
    <s v="cielo_movimenta-comportamental-half_page-300x600-marca-cpm-cielo_movimenta_olx_fase2-tag"/>
    <x v="3"/>
    <n v="1"/>
    <x v="15"/>
  </r>
  <r>
    <s v="alp-cielo_movimenta-marca-awa"/>
    <s v="cielo_movimenta-marca-olx-marca-display-medium_rectangle-cielo_movimenta_olx_cadastro_fase1-canal_internas_olx"/>
    <s v="cielo_movimenta-comportamental-medium_rectangle-320x50-marca-cpm-cielo_movimenta_olx_cadastro_fase1-tag"/>
    <x v="3"/>
    <n v="829949"/>
    <x v="16"/>
  </r>
  <r>
    <s v="alp-cielo_movimenta-marca-awa"/>
    <s v="cielo_movimenta-marca-olx-marca-display-medium_rectangle-cielo_movimenta_olx_fase2-canal_internas_olx_bonificado"/>
    <s v="cielo_movimenta-comportamental-medium_rectangle-320x50-marca-cpm-cielo_movimenta_olx_fase2-tag"/>
    <x v="3"/>
    <n v="42"/>
    <x v="15"/>
  </r>
  <r>
    <s v="alp-cielo_movimenta-marca-awa"/>
    <s v="cielo_movimenta-marca-olx-marca-display-skyscraper-cielo_movimenta_olx_cadastro_fase1-canal_internas_olx"/>
    <s v="cielo_movimenta-comportamental-skyscraper-120x600-marca-cpm-cielo_movimenta_olx_cadastro_fase1-tag"/>
    <x v="3"/>
    <n v="31778"/>
    <x v="17"/>
  </r>
  <r>
    <s v="alp-cielo_movimenta-marca-awa"/>
    <s v="cielo_movimenta-marca-olx-marca-display-super_banner-cielo_movimenta_olx_cadastro_fase1-canal_internas_olx"/>
    <s v="cielo_movimenta-comportamental-super_banner-728x90-marca-cpm-cielo_movimenta_olx_cadastro_fase1-tag"/>
    <x v="3"/>
    <n v="793940"/>
    <x v="18"/>
  </r>
  <r>
    <s v="alp-cielo_movimenta-marca-awa"/>
    <s v="cielo_movimenta-marca-olx-marca-display-super_banner-cielo_movimenta_olx_fase2-canal_internas_olx_bonificado"/>
    <s v="cielo_movimenta-comportamental-super_banner-728x90-marca-cpm-cielo_movimenta_olx_fase2-tag"/>
    <x v="3"/>
    <n v="2"/>
    <x v="15"/>
  </r>
  <r>
    <s v="alp-cielo_movimenta-marca-awa"/>
    <s v="cielo_movimenta-marca-olx-marca-display-wide_skyscraper-cielo_movimenta_olx_cadastro_fase1-canal_internas_olx"/>
    <s v="cielo_movimenta-comportamental-wide_skyscraper-160x600-marca-cpm-cielo_movimenta_olx_cadastro_fase1-tag"/>
    <x v="3"/>
    <n v="159459"/>
    <x v="19"/>
  </r>
  <r>
    <s v="alp-cielo_movimenta-marca-awa"/>
    <s v="cielo_movimenta-marca-olx-marca-native-big_native-cielo_movimenta_comunidade_olxmaes_cadastro-canal_internas_olx"/>
    <s v="Tracking"/>
    <x v="3"/>
    <n v="0"/>
    <x v="20"/>
  </r>
  <r>
    <s v="alp-cielo_movimenta-marca-awa"/>
    <s v="cielo_movimenta-marca-olx-marca-native-big_native-cielo_movimenta_comunidade_olxmaes_loja-canal_internas_olx"/>
    <s v="Tracking"/>
    <x v="3"/>
    <n v="0"/>
    <x v="14"/>
  </r>
  <r>
    <s v="alp-cielo_movimenta-marca-awa"/>
    <s v="cielo_movimenta-marca-olx-marca-native-big_native-cielo_movimenta_olx_cadastro_fase1-canal_internas_olx"/>
    <s v="Tracking"/>
    <x v="3"/>
    <n v="3426"/>
    <x v="21"/>
  </r>
  <r>
    <s v="alp-cielo_movimenta-marca-awa"/>
    <s v="cielo_movimenta-marca-olx-marca-native-big_native-cielo_movimenta_olx_fase2-canal_internas_olx"/>
    <s v="Tracking"/>
    <x v="3"/>
    <n v="1"/>
    <x v="17"/>
  </r>
  <r>
    <s v="alp-cielo_movimenta-marca-awa"/>
    <s v="cielo_movimenta-marca-olx-marca-native-native_carrossel-cielo_movimenta_comunidade_olxmaes_cadastro-canal_internas_olx"/>
    <s v="Tracking"/>
    <x v="3"/>
    <n v="0"/>
    <x v="14"/>
  </r>
  <r>
    <s v="alp-cielo_movimenta-marca-awa"/>
    <s v="cielo_movimenta-marca-olx-marca-native-native_carrossel-cielo_movimenta_comunidade_olxmaes_loja-canal_internas_olx"/>
    <s v="Tracking"/>
    <x v="3"/>
    <n v="0"/>
    <x v="14"/>
  </r>
  <r>
    <s v="alp-cielo_movimenta-marca-awa"/>
    <s v="cielo_movimenta-marca-olx-marca-native-native_carrossel-cielo_movimenta_olx_cadastro_fase1-canal_internas_olx"/>
    <s v="Tracking"/>
    <x v="3"/>
    <n v="3469"/>
    <x v="22"/>
  </r>
  <r>
    <s v="alp-cielo_movimenta-marca-awa"/>
    <s v="cielo_movimenta-marca-olx-marca-native-native_carrossel-cielo_movimenta_olx_fase2-canal_internas_olx"/>
    <s v="Tracking"/>
    <x v="3"/>
    <n v="0"/>
    <x v="13"/>
  </r>
  <r>
    <s v="alp-cielo_movimenta-marca-awa"/>
    <s v="cielo_movimenta-marca-verizon-marca-video-pre_roll-cielo_movimenta_manifesto_30s-AS25_microempreendedor_medioempreendedor_negocios_vendasonline_donosdenegocios"/>
    <s v="cielo_movimenta-comportamental-pre_roll-1920x1080-marca-cpm-cielo_movimenta_manifesto_30s-tag"/>
    <x v="4"/>
    <n v="601780"/>
    <x v="23"/>
  </r>
  <r>
    <s v="alp-cielo_movimenta_comunidade-marca-awa"/>
    <s v="cielo_movimenta_comunidade-marca-dv360-marca-display-bilboard-cielo_movimenta_comunidade_loggi-as_25_interesses_varejo"/>
    <s v="Default_970x250"/>
    <x v="1"/>
    <n v="2"/>
    <x v="15"/>
  </r>
  <r>
    <s v="alp-cielo_movimenta_comunidade-marca-awa"/>
    <s v="cielo_movimenta_comunidade-marca-dv360-marca-display-bilboard-cielo_movimenta_comunidade_loggi-as_25_interesses_varejo"/>
    <s v="cielo_movimenta_comunidade-comportamental-bilboard-970x250-marca-cpm-cielo_movimenta_comunidade_loggi-tag"/>
    <x v="1"/>
    <n v="3552581"/>
    <x v="24"/>
  </r>
  <r>
    <s v="alp-cielo_movimenta_comunidade-marca-awa"/>
    <s v="cielo_movimenta_comunidade-marca-dv360-marca-display-bilboard-cielo_movimenta_comunidade_olx-as_25_interesses_varejo"/>
    <s v="cielo_movimenta_comunidade-comportamental-bilboard-970x250-marca-cpm-cielo_movimenta_comunidade_olx-tag"/>
    <x v="1"/>
    <n v="34271"/>
    <x v="25"/>
  </r>
  <r>
    <s v="alp-cielo_movimenta_comunidade-marca-awa"/>
    <s v="cielo_movimenta_comunidade-marca-dv360-marca-display-bilboard-cielo_movimenta_comunidade_olx_cadastro-as_25_interesses_varejo"/>
    <s v="cielo_movimenta_comunidade-comportamental-bilboard-970x250-marca-cpm-cielo_movimenta_comunidade_olx_cadastro-tag"/>
    <x v="1"/>
    <n v="44485"/>
    <x v="26"/>
  </r>
  <r>
    <s v="alp-cielo_movimenta_comunidade-marca-awa"/>
    <s v="cielo_movimenta_comunidade-marca-dv360-marca-display-bilboard-comunidade_generica-as_25_interesses_varejo"/>
    <s v="cielo_movimenta_comunidade-comportamental-bilboard-970x250-marca-cpm-comunidade_generica-tag"/>
    <x v="1"/>
    <n v="115664"/>
    <x v="27"/>
  </r>
  <r>
    <s v="alp-cielo_movimenta_comunidade-marca-awa"/>
    <s v="cielo_movimenta_comunidade-marca-dv360-marca-display-bilboard-movimenta_comu_olxmaes-as_25_interesses_varejo_cadastro"/>
    <s v="cielo_movimenta_comunidade-comportamental-bilboard-970x250-marca-cpm-movimenta_comu_olxmaes-tag"/>
    <x v="1"/>
    <n v="12570"/>
    <x v="28"/>
  </r>
  <r>
    <s v="alp-cielo_movimenta_comunidade-marca-awa"/>
    <s v="cielo_movimenta_comunidade-marca-dv360-marca-display-bilboard-movimenta_comu_olxmaes-as_25_interesses_varejo_loja"/>
    <s v="cielo_movimenta_comunidade-comportamental-bilboard-970x250-marca-cpm-movimenta_comu_olxmaes-tag"/>
    <x v="1"/>
    <n v="7498"/>
    <x v="29"/>
  </r>
  <r>
    <s v="alp-cielo_movimenta_comunidade-marca-awa"/>
    <s v="cielo_movimenta_comunidade-marca-dv360-marca-display-half_page-cielo_movimenta_comunidade_loggi-as_25_interesses_varejo"/>
    <s v="Default_300x600"/>
    <x v="1"/>
    <n v="2"/>
    <x v="15"/>
  </r>
  <r>
    <s v="alp-cielo_movimenta_comunidade-marca-awa"/>
    <s v="cielo_movimenta_comunidade-marca-dv360-marca-display-half_page-cielo_movimenta_comunidade_loggi-as_25_interesses_varejo"/>
    <s v="cielo_movimenta_comunidade-comportamental-half_page-300x600-marca-cpm-cielo_movimenta_comunidade_loggi-tag"/>
    <x v="1"/>
    <n v="5664044"/>
    <x v="30"/>
  </r>
  <r>
    <s v="alp-cielo_movimenta_comunidade-marca-awa"/>
    <s v="cielo_movimenta_comunidade-marca-dv360-marca-display-half_page-cielo_movimenta_comunidade_olx-as_25_interesses_varejo"/>
    <s v="cielo_movimenta_comunidade-comportamental-half_page-300x600-marca-cpm-cielo_movimenta_comunidade_olx-tag"/>
    <x v="1"/>
    <n v="1104057"/>
    <x v="31"/>
  </r>
  <r>
    <s v="alp-cielo_movimenta_comunidade-marca-awa"/>
    <s v="cielo_movimenta_comunidade-marca-dv360-marca-display-half_page-cielo_movimenta_comunidade_olx_cadastro-as_25_interesses_varejo"/>
    <s v="cielo_movimenta_comunidade-comportamental-half_page-300x600-marca-cpm-cielo_movimenta_comunidade_olx_cadastro-tag"/>
    <x v="1"/>
    <n v="72614"/>
    <x v="32"/>
  </r>
  <r>
    <s v="alp-cielo_movimenta_comunidade-marca-awa"/>
    <s v="cielo_movimenta_comunidade-marca-dv360-marca-display-half_page-comunidade_generica-as_25_interesses_varejo"/>
    <s v="Default_300x600"/>
    <x v="1"/>
    <n v="1"/>
    <x v="15"/>
  </r>
  <r>
    <s v="alp-cielo_movimenta_comunidade-marca-awa"/>
    <s v="cielo_movimenta_comunidade-marca-dv360-marca-display-half_page-comunidade_generica-as_25_interesses_varejo"/>
    <s v="cielo_movimenta_comunidade-comportamental-half_page-300x600-marca-cpm-comunidade_generica-tag"/>
    <x v="1"/>
    <n v="5407563"/>
    <x v="33"/>
  </r>
  <r>
    <s v="alp-cielo_movimenta_comunidade-marca-awa"/>
    <s v="cielo_movimenta_comunidade-marca-dv360-marca-display-half_page-movimenta_comu_olxmaes-as_25_interesses_varejo_cadastro"/>
    <s v="cielo_movimenta_comunidade-comportamental-half_page-300x600-marca-cpm-movimenta_comu_olxmaes-tag"/>
    <x v="1"/>
    <n v="589904"/>
    <x v="34"/>
  </r>
  <r>
    <s v="alp-cielo_movimenta_comunidade-marca-awa"/>
    <s v="cielo_movimenta_comunidade-marca-dv360-marca-display-half_page-movimenta_comu_olxmaes-as_25_interesses_varejo_loja"/>
    <s v="cielo_movimenta_comunidade-comportamental-half_page-300x600-marca-cpm-movimenta_comu_olxmaes-tag"/>
    <x v="1"/>
    <n v="235961"/>
    <x v="35"/>
  </r>
  <r>
    <s v="alp-cielo_movimenta_comunidade-marca-awa"/>
    <s v="cielo_movimenta_comunidade-marca-dv360-marca-display-large_mobile_banner-cielo_movimenta_comunidade_loggi-as_25_interesses_varejo"/>
    <s v="Default_320x100"/>
    <x v="1"/>
    <n v="1"/>
    <x v="15"/>
  </r>
  <r>
    <s v="alp-cielo_movimenta_comunidade-marca-awa"/>
    <s v="cielo_movimenta_comunidade-marca-dv360-marca-display-large_mobile_banner-cielo_movimenta_comunidade_loggi-as_25_interesses_varejo"/>
    <s v="cielo_movimenta_comunidade-comportamental-large_mobile_banner-320x100-marca-cpm-cielo_movimenta_comunidade_loggi-tag"/>
    <x v="1"/>
    <n v="5324195"/>
    <x v="36"/>
  </r>
  <r>
    <s v="alp-cielo_movimenta_comunidade-marca-awa"/>
    <s v="cielo_movimenta_comunidade-marca-dv360-marca-display-large_mobile_banner-cielo_movimenta_comunidade_olx-as_25_interesses_varejo"/>
    <s v="cielo_movimenta_comunidade-comportamental-large_mobile_banner-320x100-marca-cpm-cielo_movimenta_comunidade_olx-tag"/>
    <x v="1"/>
    <n v="776722"/>
    <x v="37"/>
  </r>
  <r>
    <s v="alp-cielo_movimenta_comunidade-marca-awa"/>
    <s v="cielo_movimenta_comunidade-marca-dv360-marca-display-large_mobile_banner-cielo_movimenta_comunidade_olx_cadastro-as_25_interesses_varejo"/>
    <s v="cielo_movimenta_comunidade-comportamental-large_mobile_banner-320x100-marca-cpm-cielo_movimenta_comunidade_olx_cadastro-tag"/>
    <x v="1"/>
    <n v="41288"/>
    <x v="38"/>
  </r>
  <r>
    <s v="alp-cielo_movimenta_comunidade-marca-awa"/>
    <s v="cielo_movimenta_comunidade-marca-dv360-marca-display-large_mobile_banner-comunidade_generica-as_25_interesses_varejo"/>
    <s v="cielo_movimenta_comunidade-comportamental-large_mobile_banner-320x100-marca-cpm-comunidade_generica-tag"/>
    <x v="1"/>
    <n v="2805560"/>
    <x v="39"/>
  </r>
  <r>
    <s v="alp-cielo_movimenta_comunidade-marca-awa"/>
    <s v="cielo_movimenta_comunidade-marca-dv360-marca-display-large_mobile_banner-movimenta_comu_olxmaes-as_25_interesses_varejo_cadastro"/>
    <s v="cielo_movimenta_comunidade-comportamental-large_mobile_banner-320x100-marca-cpm-movimenta_comu_olxmaes-tag"/>
    <x v="1"/>
    <n v="223077"/>
    <x v="40"/>
  </r>
  <r>
    <s v="alp-cielo_movimenta_comunidade-marca-awa"/>
    <s v="cielo_movimenta_comunidade-marca-dv360-marca-display-large_mobile_banner-movimenta_comu_olxmaes-as_25_interesses_varejo_loja"/>
    <s v="cielo_movimenta_comunidade-comportamental-large_mobile_banner-320x100-marca-cpm-movimenta_comu_olxmaes-tag"/>
    <x v="1"/>
    <n v="414677"/>
    <x v="41"/>
  </r>
  <r>
    <s v="alp-cielo_movimenta_comunidade-marca-awa"/>
    <s v="cielo_movimenta_comunidade-marca-dv360-marca-display-large_rectangle-cielo_movimenta_comunidade_loggi-as_25_interesses_varejo"/>
    <s v="cielo_movimenta_comunidade-comportamental-large_rectangle-336x280-marca-cpm-cielo_movimenta_comunidade_loggi-tag"/>
    <x v="1"/>
    <n v="6245203"/>
    <x v="42"/>
  </r>
  <r>
    <s v="alp-cielo_movimenta_comunidade-marca-awa"/>
    <s v="cielo_movimenta_comunidade-marca-dv360-marca-display-large_rectangle-cielo_movimenta_comunidade_olx-as_25_interesses_varejo"/>
    <s v="cielo_movimenta_comunidade-comportamental-large_rectangle-336x280-marca-cpm-cielo_movimenta_comunidade_olx-tag"/>
    <x v="1"/>
    <n v="303627"/>
    <x v="43"/>
  </r>
  <r>
    <s v="alp-cielo_movimenta_comunidade-marca-awa"/>
    <s v="cielo_movimenta_comunidade-marca-dv360-marca-display-large_rectangle-cielo_movimenta_comunidade_olx_cadastro-as_25_interesses_varejo"/>
    <s v="cielo_movimenta_comunidade-comportamental-large_rectangle-336x280-marca-cpm-cielo_movimenta_comunidade_olx_cadastro-tag"/>
    <x v="1"/>
    <n v="809443"/>
    <x v="44"/>
  </r>
  <r>
    <s v="alp-cielo_movimenta_comunidade-marca-awa"/>
    <s v="cielo_movimenta_comunidade-marca-dv360-marca-display-large_rectangle-comunidade_generica-as_25_interesses_varejo"/>
    <s v="cielo_movimenta_comunidade-comportamental-large_rectangle-336x280-marca-cpm-comunidade_generica-tag"/>
    <x v="1"/>
    <n v="1135205"/>
    <x v="45"/>
  </r>
  <r>
    <s v="alp-cielo_movimenta_comunidade-marca-awa"/>
    <s v="cielo_movimenta_comunidade-marca-dv360-marca-display-leaderboard-cielo_movimenta_comunidade_loggi-as_25_interesses_varejo"/>
    <s v="Default_728x90"/>
    <x v="1"/>
    <n v="3"/>
    <x v="15"/>
  </r>
  <r>
    <s v="alp-cielo_movimenta_comunidade-marca-awa"/>
    <s v="cielo_movimenta_comunidade-marca-dv360-marca-display-leaderboard-cielo_movimenta_comunidade_loggi-as_25_interesses_varejo"/>
    <s v="cielo_movimenta_comunidade-comportamental-leaderboard-728x90-marca-cpm-cielo_movimenta_comunidade_loggi-tag"/>
    <x v="1"/>
    <n v="5783654"/>
    <x v="46"/>
  </r>
  <r>
    <s v="alp-cielo_movimenta_comunidade-marca-awa"/>
    <s v="cielo_movimenta_comunidade-marca-dv360-marca-display-leaderboard-cielo_movimenta_comunidade_olx-as_25_interesses_varejo"/>
    <s v="cielo_movimenta_comunidade-comportamental-leaderboard-728x90-marca-cpm-cielo_movimenta_comunidade_olx-tag"/>
    <x v="1"/>
    <n v="323784"/>
    <x v="47"/>
  </r>
  <r>
    <s v="alp-cielo_movimenta_comunidade-marca-awa"/>
    <s v="cielo_movimenta_comunidade-marca-dv360-marca-display-leaderboard-cielo_movimenta_comunidade_olx_cadastro-as_25_interesses_varejo"/>
    <s v="cielo_movimenta_comunidade-comportamental-leaderboard-728x90-marca-cpm-cielo_movimenta_comunidade_olx_cadastro-tag"/>
    <x v="1"/>
    <n v="148665"/>
    <x v="48"/>
  </r>
  <r>
    <s v="alp-cielo_movimenta_comunidade-marca-awa"/>
    <s v="cielo_movimenta_comunidade-marca-dv360-marca-display-leaderboard-comunidade_generica-as_25_interesses_varejo"/>
    <s v="cielo_movimenta_comunidade-comportamental-leaderboard-728x90-marca-cpm-comunidade_generica-tag"/>
    <x v="1"/>
    <n v="2532804"/>
    <x v="49"/>
  </r>
  <r>
    <s v="alp-cielo_movimenta_comunidade-marca-awa"/>
    <s v="cielo_movimenta_comunidade-marca-dv360-marca-display-leaderboard-movimenta_comu_olxmaes-as_25_interesses_varejo_cadastro"/>
    <s v="cielo_movimenta_comunidade-comportamental-leaderboard-728x90-marca-cpm-movimenta_comu_olxmaes-tag"/>
    <x v="1"/>
    <n v="143307"/>
    <x v="50"/>
  </r>
  <r>
    <s v="alp-cielo_movimenta_comunidade-marca-awa"/>
    <s v="cielo_movimenta_comunidade-marca-dv360-marca-display-leaderboard-movimenta_comu_olxmaes-as_25_interesses_varejo_loja"/>
    <s v="cielo_movimenta_comunidade-comportamental-leaderboard-728x90-marca-cpm-movimenta_comu_olxmaes-tag"/>
    <x v="1"/>
    <n v="264704"/>
    <x v="51"/>
  </r>
  <r>
    <s v="alp-cielo_movimenta_comunidade-marca-awa"/>
    <s v="cielo_movimenta_comunidade-marca-dv360-marca-display-medium_rectangle-cielo_movimenta_comunidade_loggi-as_25_interesses_varejo"/>
    <s v="Default_300x250"/>
    <x v="1"/>
    <n v="2"/>
    <x v="15"/>
  </r>
  <r>
    <s v="alp-cielo_movimenta_comunidade-marca-awa"/>
    <s v="cielo_movimenta_comunidade-marca-dv360-marca-display-medium_rectangle-cielo_movimenta_comunidade_loggi-as_25_interesses_varejo"/>
    <s v="cielo_movimenta_comunidade-comportamental-medium_rectangle-300x250-marca-cpm-cielo_movimenta_comunidade_loggi-tag"/>
    <x v="1"/>
    <n v="13498206"/>
    <x v="52"/>
  </r>
  <r>
    <s v="alp-cielo_movimenta_comunidade-marca-awa"/>
    <s v="cielo_movimenta_comunidade-marca-dv360-marca-display-medium_rectangle-cielo_movimenta_comunidade_olx-as_25_interesses_varejo"/>
    <s v="cielo_movimenta_comunidade-comportamental-medium_rectangle-300x250-marca-cpm-cielo_movimenta_comunidade_olx-tag"/>
    <x v="1"/>
    <n v="1196218"/>
    <x v="53"/>
  </r>
  <r>
    <s v="alp-cielo_movimenta_comunidade-marca-awa"/>
    <s v="cielo_movimenta_comunidade-marca-dv360-marca-display-medium_rectangle-cielo_movimenta_comunidade_olx_cadastro-as_25_interesses_varejo"/>
    <s v="cielo_movimenta_comunidade-comportamental-medium_rectangle-300x250-marca-cpm-cielo_movimenta_comunidade_olx_cadastro-tag"/>
    <x v="1"/>
    <n v="164163"/>
    <x v="11"/>
  </r>
  <r>
    <s v="alp-cielo_movimenta_comunidade-marca-awa"/>
    <s v="cielo_movimenta_comunidade-marca-dv360-marca-display-medium_rectangle-comunidade_generica-as_25_interesses_varejo"/>
    <s v="Default_300x250"/>
    <x v="1"/>
    <n v="1"/>
    <x v="15"/>
  </r>
  <r>
    <s v="alp-cielo_movimenta_comunidade-marca-awa"/>
    <s v="cielo_movimenta_comunidade-marca-dv360-marca-display-medium_rectangle-comunidade_generica-as_25_interesses_varejo"/>
    <s v="cielo_movimenta_comunidade-comportamental-medium_rectangle-300x250-marca-cpm-comunidade_generica-tag"/>
    <x v="1"/>
    <n v="5548683"/>
    <x v="54"/>
  </r>
  <r>
    <s v="alp-cielo_movimenta_comunidade-marca-awa"/>
    <s v="cielo_movimenta_comunidade-marca-dv360-marca-display-medium_rectangle-movimenta_comu_olxmaes-as_25_interesses_varejo_cadastro"/>
    <s v="Default_300x250"/>
    <x v="1"/>
    <n v="1"/>
    <x v="15"/>
  </r>
  <r>
    <s v="alp-cielo_movimenta_comunidade-marca-awa"/>
    <s v="cielo_movimenta_comunidade-marca-dv360-marca-display-medium_rectangle-movimenta_comu_olxmaes-as_25_interesses_varejo_cadastro"/>
    <s v="cielo_movimenta_comunidade-comportamental-medium_rectangle-300x250-marca-cpm-movimenta_comu_olxmaes-tag"/>
    <x v="1"/>
    <n v="995934"/>
    <x v="55"/>
  </r>
  <r>
    <s v="alp-cielo_movimenta_comunidade-marca-awa"/>
    <s v="cielo_movimenta_comunidade-marca-dv360-marca-display-medium_rectangle-movimenta_comu_olxmaes-as_25_interesses_varejo_loja"/>
    <s v="cielo_movimenta_comunidade-comportamental-medium_rectangle-300x250-marca-cpm-movimenta_comu_olxmaes-tag"/>
    <x v="1"/>
    <n v="1860010"/>
    <x v="56"/>
  </r>
  <r>
    <s v="alp-cielo_movimenta_comunidade-marca-awa"/>
    <s v="cielo_movimenta_comunidade-marca-dv360-marca-display-mobile_leaderboard-cielo_movimenta_comunidade_loggi-as_25_interesses_varejo"/>
    <s v="Default_320x50"/>
    <x v="1"/>
    <n v="3"/>
    <x v="15"/>
  </r>
  <r>
    <s v="alp-cielo_movimenta_comunidade-marca-awa"/>
    <s v="cielo_movimenta_comunidade-marca-dv360-marca-display-mobile_leaderboard-cielo_movimenta_comunidade_loggi-as_25_interesses_varejo"/>
    <s v="cielo_movimenta_comunidade-comportamental-mobile_leaderboard-320x50-marca-cpm-cielo_movimenta_comunidade_loggi-tag"/>
    <x v="1"/>
    <n v="30450395"/>
    <x v="57"/>
  </r>
  <r>
    <s v="alp-cielo_movimenta_comunidade-marca-awa"/>
    <s v="cielo_movimenta_comunidade-marca-dv360-marca-display-mobile_leaderboard-cielo_movimenta_comunidade_olx-as_25_interesses_varejo"/>
    <s v="cielo_movimenta_comunidade-comportamental-mobile_leaderboard-320x50-marca-cpm-cielo_movimenta_comunidade_olx-tag"/>
    <x v="1"/>
    <n v="6777044"/>
    <x v="58"/>
  </r>
  <r>
    <s v="alp-cielo_movimenta_comunidade-marca-awa"/>
    <s v="cielo_movimenta_comunidade-marca-dv360-marca-display-mobile_leaderboard-cielo_movimenta_comunidade_olx_cadastro-as_25_interesses_varejo"/>
    <s v="cielo_movimenta_comunidade-comportamental-mobile_leaderboard-320x50-marca-cpm-cielo_movimenta_comunidade_olx_cadastro-tag"/>
    <x v="1"/>
    <n v="388600"/>
    <x v="59"/>
  </r>
  <r>
    <s v="alp-cielo_movimenta_comunidade-marca-awa"/>
    <s v="cielo_movimenta_comunidade-marca-dv360-marca-display-mobile_leaderboard-comunidade_generica-as_25_interesses_varejo"/>
    <s v="Default_320x50"/>
    <x v="1"/>
    <n v="1"/>
    <x v="15"/>
  </r>
  <r>
    <s v="alp-cielo_movimenta_comunidade-marca-awa"/>
    <s v="cielo_movimenta_comunidade-marca-dv360-marca-display-mobile_leaderboard-comunidade_generica-as_25_interesses_varejo"/>
    <s v="cielo_movimenta_comunidade-comportamental-mobile_leaderboard-320x50-marca-cpm-comunidade_generica-tag"/>
    <x v="1"/>
    <n v="13740776"/>
    <x v="60"/>
  </r>
  <r>
    <s v="alp-cielo_movimenta_comunidade-marca-awa"/>
    <s v="cielo_movimenta_comunidade-marca-dv360-marca-display-mobile_leaderboard-movimenta_comu_olxmaes-as_25_interesses_varejo_cadastro"/>
    <s v="Default_320x50"/>
    <x v="1"/>
    <n v="1"/>
    <x v="15"/>
  </r>
  <r>
    <s v="alp-cielo_movimenta_comunidade-marca-awa"/>
    <s v="cielo_movimenta_comunidade-marca-dv360-marca-display-mobile_leaderboard-movimenta_comu_olxmaes-as_25_interesses_varejo_cadastro"/>
    <s v="cielo_movimenta_comunidade-comportamental-mobile_leaderboard-320x50-marca-cpm-movimenta_comu_olxmaes-tag"/>
    <x v="1"/>
    <n v="3296901"/>
    <x v="61"/>
  </r>
  <r>
    <s v="alp-cielo_movimenta_comunidade-marca-awa"/>
    <s v="cielo_movimenta_comunidade-marca-dv360-marca-display-mobile_leaderboard-movimenta_comu_olxmaes-as_25_interesses_varejo_loja"/>
    <s v="cielo_movimenta_comunidade-comportamental-mobile_leaderboard-320x50-marca-cpm-movimenta_comu_olxmaes-tag"/>
    <x v="1"/>
    <n v="3282080"/>
    <x v="62"/>
  </r>
  <r>
    <s v="alp-cielo_movimenta_comunidade-marca-awa"/>
    <s v="cielo_movimenta_comunidade-marca-dv360-marca-display-skyscraper-cielo_movimenta_comunidade_loggi-as_25_interesses_varejo"/>
    <s v="cielo_movimenta_comunidade-comportamental-skyscraper-160x600-marca-cpm-cielo_movimenta_comunidade_loggi-tag"/>
    <x v="1"/>
    <n v="1841737"/>
    <x v="63"/>
  </r>
  <r>
    <s v="alp-cielo_movimenta_comunidade-marca-awa"/>
    <s v="cielo_movimenta_comunidade-marca-dv360-marca-display-skyscraper-cielo_movimenta_comunidade_olx-as_25_interesses_varejo"/>
    <s v="cielo_movimenta_comunidade-comportamental-skyscraper-160x600-marca-cpm-cielo_movimenta_comunidade_olx-tag"/>
    <x v="1"/>
    <n v="53351"/>
    <x v="64"/>
  </r>
  <r>
    <s v="alp-cielo_movimenta_comunidade-marca-awa"/>
    <s v="cielo_movimenta_comunidade-marca-dv360-marca-display-skyscraper-cielo_movimenta_comunidade_olx_cadastro-as_25_interesses_varejo"/>
    <s v="cielo_movimenta_comunidade-comportamental-skyscraper-160x600-marca-cpm-cielo_movimenta_comunidade_olx_cadastro-tag"/>
    <x v="1"/>
    <n v="33158"/>
    <x v="21"/>
  </r>
  <r>
    <s v="alp-cielo_movimenta_comunidade-marca-awa"/>
    <s v="cielo_movimenta_comunidade-marca-dv360-marca-display-skyscraper-comunidade_generica-as_25_interesses_varejo"/>
    <s v="cielo_movimenta_comunidade-comportamental-skyscraper-160x600-marca-cpm-comunidade_generica-tag"/>
    <x v="1"/>
    <n v="2123394"/>
    <x v="65"/>
  </r>
  <r>
    <s v="alp-cielo_movimenta_comunidade-marca-awa"/>
    <s v="cielo_movimenta_comunidade-marca-dv360-marca-display-skyscraper-movimenta_comu_olxmaes-as_25_interesses_varejo_cadastro"/>
    <s v="cielo_movimenta_comunidade-comportamental-skyscraper-160x600-marca-cpm-movimenta_comu_olxmaes-tag"/>
    <x v="1"/>
    <n v="56573"/>
    <x v="66"/>
  </r>
  <r>
    <s v="alp-cielo_movimenta_comunidade-marca-awa"/>
    <s v="cielo_movimenta_comunidade-marca-dv360-marca-display-skyscraper-movimenta_comu_olxmaes-as_25_interesses_varejo_loja"/>
    <s v="cielo_movimenta_comunidade-comportamental-skyscraper-160x600-marca-cpm-movimenta_comu_olxmaes-tag"/>
    <x v="1"/>
    <n v="43648"/>
    <x v="67"/>
  </r>
  <r>
    <s v="alp-cielo_movimenta_comunidade-marca-awa"/>
    <s v="cielo_movimenta_comunidade-marca-dv360-marca-display-small_rectangle-cielo_movimenta_comunidade_loggi-as_25_interesses_varejo"/>
    <s v="cielo_movimenta_comunidade-comportamental-small_rectangle-180x150-marca-cpm-cielo_movimenta_comunidade_loggi-tag"/>
    <x v="1"/>
    <n v="60927"/>
    <x v="68"/>
  </r>
  <r>
    <s v="alp-cielo_movimenta_comunidade-marca-awa"/>
    <s v="cielo_movimenta_comunidade-marca-dv360-marca-display-small_rectangle-cielo_movimenta_comunidade_olx-as_25_interesses_varejo"/>
    <s v="cielo_movimenta_comunidade-comportamental-small_rectangle-180x150-marca-cpm-cielo_movimenta_comunidade_olx-tag"/>
    <x v="1"/>
    <n v="49807"/>
    <x v="69"/>
  </r>
  <r>
    <s v="alp-cielo_movimenta_comunidade-marca-awa"/>
    <s v="cielo_movimenta_comunidade-marca-dv360-marca-display-small_rectangle-cielo_movimenta_comunidade_olx_cadastro-as_25_interesses_varejo"/>
    <s v="cielo_movimenta_comunidade-comportamental-small_rectangle-180x150-marca-cpm-cielo_movimenta_comunidade_olx_cadastro-tag"/>
    <x v="1"/>
    <n v="8764"/>
    <x v="22"/>
  </r>
  <r>
    <s v="alp-cielo_movimenta_comunidade-marca-awa"/>
    <s v="cielo_movimenta_comunidade-marca-dv360-marca-display-small_rectangle-comunidade_generica-as_25_interesses_varejo"/>
    <s v="cielo_movimenta_comunidade-comportamental-small_rectangle-180x150-marca-cpm-comunidade_generica-tag"/>
    <x v="1"/>
    <n v="72514"/>
    <x v="70"/>
  </r>
  <r>
    <s v="alp-cielo_movimenta_comunidade-marca-awa"/>
    <s v="cielo_movimenta_comunidade-marca-dv360-marca-display-small_rectangle-movimenta_comu_olxmaes-as_25_interesses_varejo_cadastro"/>
    <s v="cielo_movimenta_comunidade-comportamental-small_rectangle-180x150-marca-cpm-movimenta_comu_olxmaes-tag"/>
    <x v="1"/>
    <n v="12108"/>
    <x v="71"/>
  </r>
  <r>
    <s v="alp-cielo_movimenta_comunidade-marca-awa"/>
    <s v="cielo_movimenta_comunidade-marca-dv360-marca-display-small_rectangle-movimenta_comu_olxmaes-as_25_interesses_varejo_loja"/>
    <s v="cielo_movimenta_comunidade-comportamental-small_rectangle-180x150-marca-cpm-movimenta_comu_olxmaes-tag"/>
    <x v="1"/>
    <n v="5532"/>
    <x v="20"/>
  </r>
  <r>
    <s v="alp-cielo_movimenta_comunidade-marca-awa"/>
    <s v="cielo_movimenta_comunidade-marca-dv360-marca-native-big_native-cielo_movimenta_comunidade_olx-as_25_interesses_varejo"/>
    <s v="Tracking"/>
    <x v="1"/>
    <n v="0"/>
    <x v="12"/>
  </r>
  <r>
    <s v="alp-cielo_movimenta_comunidade-marca-awa"/>
    <s v="cielo_movimenta_comunidade-marca-dv360-marca-native-big_native-cielo_movimenta_comunidade_olx_cadastro-as_25_interesses_varejo"/>
    <s v="Tracking"/>
    <x v="1"/>
    <n v="0"/>
    <x v="12"/>
  </r>
  <r>
    <s v="alp-cielo_movimenta_comunidade-marca-awa"/>
    <s v="cielo_movimenta_comunidade-marca-dv360-marca-native-big_native-cielo_movimenta_comunidade_sl_loggi-as_25_interesses_varejo"/>
    <s v="Tracking"/>
    <x v="1"/>
    <n v="0"/>
    <x v="20"/>
  </r>
  <r>
    <s v="alp-cielo_movimenta_comunidade-marca-awa"/>
    <s v="cielo_movimenta_comunidade-marca-dv360-marca-native-native-cielo_movimenta_comunidade_loggi-as_25_interesses_varejo"/>
    <s v="cielo_movimenta_comunidade-comportamental-native-627x627-marca-cpm-cielo_movimenta_comunidade_loggi-tag"/>
    <x v="1"/>
    <n v="2"/>
    <x v="12"/>
  </r>
  <r>
    <s v="alp-cielo_movimenta_comunidade-marca-awa"/>
    <s v="cielo_movimenta_comunidade-marca-dv360-marca-native-native-cielo_movimenta_comunidade_olx-as_25_interesses_varejo"/>
    <s v="Tracking"/>
    <x v="1"/>
    <n v="0"/>
    <x v="12"/>
  </r>
  <r>
    <s v="alp-cielo_movimenta_comunidade-marca-awa"/>
    <s v="cielo_movimenta_comunidade-marca-dv360-marca-native-native-cielo_movimenta_comunidade_sl_loggi-as_25_interesses_varejo"/>
    <s v="Tracking"/>
    <x v="1"/>
    <n v="0"/>
    <x v="20"/>
  </r>
  <r>
    <s v="alp-cielo_movimenta_comunidade-marca-awa"/>
    <s v="cielo_movimenta_comunidade-marca-dv360-marca-native-native-comunidade_generica-as_25_interesses_varejo"/>
    <s v="Tracking"/>
    <x v="1"/>
    <n v="0"/>
    <x v="12"/>
  </r>
  <r>
    <s v="alp-cielo_movimenta_comunidade-marca-awa"/>
    <s v="cielo_movimenta_comunidade-marca-dv360-marca-native-native-comunidade_parcerias-as_25_interesses_varejo"/>
    <s v="Tracking"/>
    <x v="1"/>
    <n v="0"/>
    <x v="72"/>
  </r>
  <r>
    <s v="alp-cielo_movimenta_comunidade-marca-awa"/>
    <s v="cielo_movimenta_comunidade-marca-istoe-marca-display-super_banner-comunidade_generica-as_25_interesses_varejo"/>
    <s v="cielo_movimenta_comunidade-comportamental-super_banner-300x250-marca-cpm-comunidade_generica-tag"/>
    <x v="5"/>
    <n v="1915630"/>
    <x v="73"/>
  </r>
  <r>
    <s v="alp-cielo_movimenta_comunidade-marca-awa"/>
    <s v="cielo_movimenta_comunidade-marca-olx-marca-display-arroba_banner-cielo_movimenta_comunidade_olx_cadastro-canal_internas_olx"/>
    <s v="cielo_movimenta_comunidade-comportamental-arroba_banner-300x250-marca-cpm-cielo_movimenta_comunidade_olx_cadastro-tag"/>
    <x v="3"/>
    <n v="687434"/>
    <x v="74"/>
  </r>
  <r>
    <s v="alp-cielo_movimenta_comunidade-marca-awa"/>
    <s v="cielo_movimenta_comunidade-marca-olx-marca-display-arroba_banner-cielo_movimenta_comunidade_olx_loja-canal_internas_olx"/>
    <s v="Default_300x250"/>
    <x v="3"/>
    <n v="1"/>
    <x v="15"/>
  </r>
  <r>
    <s v="alp-cielo_movimenta_comunidade-marca-awa"/>
    <s v="cielo_movimenta_comunidade-marca-olx-marca-display-arroba_banner-cielo_movimenta_comunidade_olx_loja-canal_internas_olx"/>
    <s v="cielo_movimenta_comunidade-comportamental-arroba_banner-300x250-marca-cpm-cielo_movimenta_comunidade_olx_loja-tag"/>
    <x v="3"/>
    <n v="1018986"/>
    <x v="75"/>
  </r>
  <r>
    <s v="alp-cielo_movimenta_comunidade-marca-awa"/>
    <s v="cielo_movimenta_comunidade-marca-olx-marca-display-arroba_banner-cielo_movimenta_comunidade_olxmaes_cadastro-canal_internas_olx"/>
    <s v="cielo_movimenta_comunidade-comportamental-arroba_banner-300x250-marca-cpm-cielo_movimenta_comunidade_olxmaes_cadastro-tag"/>
    <x v="3"/>
    <n v="983817"/>
    <x v="76"/>
  </r>
  <r>
    <s v="alp-cielo_movimenta_comunidade-marca-awa"/>
    <s v="cielo_movimenta_comunidade-marca-olx-marca-display-arroba_banner-cielo_movimenta_comunidade_olxmaes_loja-canal_internas_olx"/>
    <s v="cielo_movimenta_comunidade-comportamental-arroba_banner-300x250-marca-cpm-cielo_movimenta_comunidade_olxmaes_loja-tag"/>
    <x v="3"/>
    <n v="964759"/>
    <x v="77"/>
  </r>
  <r>
    <s v="alp-cielo_movimenta_comunidade-marca-awa"/>
    <s v="cielo_movimenta_comunidade-marca-olx-marca-display-half_page-cielo_movimenta_comunidade_olx_cadastro-canal_internas_olx"/>
    <s v="cielo_movimenta_comunidade-comportamental-half_page-300x600-marca-cpm-cielo_movimenta_comunidade_olx_cadastro-tag"/>
    <x v="3"/>
    <n v="42303"/>
    <x v="78"/>
  </r>
  <r>
    <s v="alp-cielo_movimenta_comunidade-marca-awa"/>
    <s v="cielo_movimenta_comunidade-marca-olx-marca-display-half_page-cielo_movimenta_comunidade_olx_loja-canal_internas_olx"/>
    <s v="cielo_movimenta_comunidade-comportamental-half_page-300x600-marca-cpm-cielo_movimenta_comunidade_olx_loja-tag"/>
    <x v="3"/>
    <n v="28871"/>
    <x v="14"/>
  </r>
  <r>
    <s v="alp-cielo_movimenta_comunidade-marca-awa"/>
    <s v="cielo_movimenta_comunidade-marca-olx-marca-display-half_page-cielo_movimenta_comunidade_olxmaes_cadastro-canal_internas_olx"/>
    <s v="cielo_movimenta_comunidade-comportamental-half_page-300x600-marca-cpm-cielo_movimenta_comunidade_olxmaes_cadastro-tag"/>
    <x v="3"/>
    <n v="2"/>
    <x v="15"/>
  </r>
  <r>
    <s v="alp-cielo_movimenta_comunidade-marca-awa"/>
    <s v="cielo_movimenta_comunidade-marca-olx-marca-display-half_page-cielo_movimenta_comunidade_olxmaes_loja-canal_internas_olx"/>
    <s v="cielo_movimenta_comunidade-comportamental-half_page-300x600-marca-cpm-cielo_movimenta_comunidade_olxmaes_loja-tag"/>
    <x v="3"/>
    <n v="2"/>
    <x v="12"/>
  </r>
  <r>
    <s v="alp-cielo_movimenta_comunidade-marca-awa"/>
    <s v="cielo_movimenta_comunidade-marca-olx-marca-display-medium_rectangle-cielo_movimenta_comunidade_olx_cadastro-canal_internas_olx"/>
    <s v="cielo_movimenta_comunidade-comportamental-medium_rectangle-320x50-marca-cpm-cielo_movimenta_comunidade_olx_cadastro-tag"/>
    <x v="3"/>
    <n v="570730"/>
    <x v="79"/>
  </r>
  <r>
    <s v="alp-cielo_movimenta_comunidade-marca-awa"/>
    <s v="cielo_movimenta_comunidade-marca-olx-marca-display-medium_rectangle-cielo_movimenta_comunidade_olx_loja-canal_internas_olx"/>
    <s v="cielo_movimenta_comunidade-comportamental-medium_rectangle-320x50-marca-cpm-cielo_movimenta_comunidade_olx_loja-tag"/>
    <x v="3"/>
    <n v="500371"/>
    <x v="80"/>
  </r>
  <r>
    <s v="alp-cielo_movimenta_comunidade-marca-awa"/>
    <s v="cielo_movimenta_comunidade-marca-olx-marca-display-medium_rectangle-cielo_movimenta_comunidade_olxmaes_cadastro-canal_internas_olx"/>
    <s v="cielo_movimenta_comunidade-comportamental-medium_rectangle-320x50-marca-cpm-cielo_movimenta_comunidade_olxmaes_cadastro-tag"/>
    <x v="3"/>
    <n v="164433"/>
    <x v="81"/>
  </r>
  <r>
    <s v="alp-cielo_movimenta_comunidade-marca-awa"/>
    <s v="cielo_movimenta_comunidade-marca-olx-marca-display-medium_rectangle-cielo_movimenta_comunidade_olxmaes_loja-canal_internas_olx"/>
    <s v="cielo_movimenta_comunidade-comportamental-medium_rectangle-320x50-marca-cpm-cielo_movimenta_comunidade_olxmaes_loja-tag"/>
    <x v="3"/>
    <n v="188057"/>
    <x v="82"/>
  </r>
  <r>
    <s v="alp-cielo_movimenta_comunidade-marca-awa"/>
    <s v="cielo_movimenta_comunidade-marca-olx-marca-native-big_native-cielo_movimenta_comunidade_olx_cadastro-canal_internas_olx"/>
    <s v="Tracking"/>
    <x v="3"/>
    <n v="0"/>
    <x v="12"/>
  </r>
  <r>
    <s v="alp-cielo_movimenta_comunidade-marca-awa"/>
    <s v="cielo_movimenta_comunidade-marca-olx-marca-native-big_native-cielo_movimenta_comunidade_olx_loja-canal_internas_olx"/>
    <s v="Tracking"/>
    <x v="3"/>
    <n v="0"/>
    <x v="12"/>
  </r>
  <r>
    <s v="alp-cielo_movimenta_comunidade-marca-awa"/>
    <s v="cielo_movimenta_comunidade-marca-olx-marca-native-native_carrossel-cielo_movimenta_comunidade_olx_cadastro-canal_internas_olx"/>
    <s v="Tracking"/>
    <x v="3"/>
    <n v="0"/>
    <x v="12"/>
  </r>
  <r>
    <s v="alp-cielo_movimenta_comunidade-marca-awa"/>
    <s v="cielo_movimenta_comunidade-marca-olx-marca-native-native_carrossel-cielo_movimenta_comunidade_olx_loja-canal_internas_olx"/>
    <s v="Tracking"/>
    <x v="3"/>
    <n v="0"/>
    <x v="12"/>
  </r>
  <r>
    <s v="alp-cielo_movimenta_comunidade-marca-awa"/>
    <s v="cielo_movimenta_comunidade-marca-verizon-marca-display-bilboard-cielo_movimenta_comunidade_loggi-as_25_interesses_varejo"/>
    <s v="cielo_movimenta_comunidade-comportamental-bilboard-970x250-marca-cpm-cielo_movimenta_comunidade_loggi-tag"/>
    <x v="4"/>
    <n v="405922"/>
    <x v="83"/>
  </r>
  <r>
    <s v="alp-cielo_movimenta_comunidade-marca-awa"/>
    <s v="cielo_movimenta_comunidade-marca-verizon-marca-display-bilboard-comunidade_generica-as_25_interesses_varejo"/>
    <s v="cielo_movimenta_comunidade-comportamental-bilboard-970x250-marca-cpm-comunidade_generica-tag"/>
    <x v="4"/>
    <n v="109385"/>
    <x v="84"/>
  </r>
  <r>
    <s v="alp-cielo_movimenta_comunidade-marca-awa"/>
    <s v="cielo_movimenta_comunidade-marca-verizon-marca-display-bilboard-movimenta_comu_olxmaes-as_25_interesses_varejo_cadastro"/>
    <s v="cielo_movimenta_comunidade-comportamental-bilboard-970x250-marca-cpm-movimenta_comu_olxmaes-tag"/>
    <x v="4"/>
    <n v="101691"/>
    <x v="85"/>
  </r>
  <r>
    <s v="alp-cielo_movimenta_comunidade-marca-awa"/>
    <s v="cielo_movimenta_comunidade-marca-verizon-marca-display-bilboard-movimenta_comu_olxmaes-as_25_interesses_varejo_loja"/>
    <s v="cielo_movimenta_comunidade-comportamental-bilboard-970x250-marca-cpm-movimenta_comu_olxmaes-tag"/>
    <x v="4"/>
    <n v="82195"/>
    <x v="79"/>
  </r>
  <r>
    <s v="alp-cielo_movimenta_comunidade-marca-awa"/>
    <s v="cielo_movimenta_comunidade-marca-verizon-marca-display-half_page-cielo_movimenta_comunidade_loggi-as_25_interesses_varejo"/>
    <s v="cielo_movimenta_comunidade-comportamental-half_page-300x600-marca-cpm-cielo_movimenta_comunidade_loggi-tag"/>
    <x v="4"/>
    <n v="1925794"/>
    <x v="86"/>
  </r>
  <r>
    <s v="alp-cielo_movimenta_comunidade-marca-awa"/>
    <s v="cielo_movimenta_comunidade-marca-verizon-marca-display-half_page-comunidade_generica-as_25_interesses_varejo"/>
    <s v="cielo_movimenta_comunidade-comportamental-half_page-300x600-marca-cpm-comunidade_generica-tag"/>
    <x v="4"/>
    <n v="505190"/>
    <x v="87"/>
  </r>
  <r>
    <s v="alp-cielo_movimenta_comunidade-marca-awa"/>
    <s v="cielo_movimenta_comunidade-marca-verizon-marca-display-half_page-movimenta_comu_olxmaes-as_25_interesses_varejo_cadastro"/>
    <s v="cielo_movimenta_comunidade-comportamental-half_page-300x600-marca-cpm-movimenta_comu_olxmaes-tag"/>
    <x v="4"/>
    <n v="471748"/>
    <x v="88"/>
  </r>
  <r>
    <s v="alp-cielo_movimenta_comunidade-marca-awa"/>
    <s v="cielo_movimenta_comunidade-marca-verizon-marca-display-half_page-movimenta_comu_olxmaes-as_25_interesses_varejo_loja"/>
    <s v="cielo_movimenta_comunidade-comportamental-half_page-300x600-marca-cpm-movimenta_comu_olxmaes-tag"/>
    <x v="4"/>
    <n v="305967"/>
    <x v="89"/>
  </r>
  <r>
    <s v="alp-cielo_movimenta_comunidade-marca-awa"/>
    <s v="cielo_movimenta_comunidade-marca-verizon-marca-display-leaderboard-cielo_movimenta_comunidade_loggi-as_25_interesses_varejo"/>
    <s v="cielo_movimenta_comunidade-comportamental-leaderboard-728x90-marca-cpm-cielo_movimenta_comunidade_loggi-tag"/>
    <x v="4"/>
    <n v="1891464"/>
    <x v="90"/>
  </r>
  <r>
    <s v="alp-cielo_movimenta_comunidade-marca-awa"/>
    <s v="cielo_movimenta_comunidade-marca-verizon-marca-display-leaderboard-comunidade_generica-as_25_interesses_varejo"/>
    <s v="cielo_movimenta_comunidade-comportamental-leaderboard-728x90-marca-cpm-comunidade_generica-tag"/>
    <x v="4"/>
    <n v="1868022"/>
    <x v="91"/>
  </r>
  <r>
    <s v="alp-cielo_movimenta_comunidade-marca-awa"/>
    <s v="cielo_movimenta_comunidade-marca-verizon-marca-display-leaderboard-movimenta_comu_olxmaes-as_25_interesses_varejo_cadastro"/>
    <s v="cielo_movimenta_comunidade-comportamental-leaderboard-728x90-marca-cpm-movimenta_comu_olxmaes-tag"/>
    <x v="4"/>
    <n v="1063713"/>
    <x v="92"/>
  </r>
  <r>
    <s v="alp-cielo_movimenta_comunidade-marca-awa"/>
    <s v="cielo_movimenta_comunidade-marca-verizon-marca-display-leaderboard-movimenta_comu_olxmaes-as_25_interesses_varejo_loja"/>
    <s v="cielo_movimenta_comunidade-comportamental-leaderboard-728x90-marca-cpm-movimenta_comu_olxmaes-tag"/>
    <x v="4"/>
    <n v="1456433"/>
    <x v="93"/>
  </r>
  <r>
    <s v="alp-cielo_movimenta_comunidade-marca-awa"/>
    <s v="cielo_movimenta_comunidade-marca-verizon-marca-display-medium_rectangle-cielo_movimenta_comunidade_loggi-as_25_interesses_varejo"/>
    <s v="cielo_movimenta_comunidade-comportamental-medium_rectangle-300x250-marca-cpm-cielo_movimenta_comunidade_loggi-tag"/>
    <x v="4"/>
    <n v="920427"/>
    <x v="94"/>
  </r>
  <r>
    <s v="alp-cielo_movimenta_comunidade-marca-awa"/>
    <s v="cielo_movimenta_comunidade-marca-verizon-marca-display-medium_rectangle-comunidade_generica-as_25_interesses_varejo"/>
    <s v="cielo_movimenta_comunidade-comportamental-medium_rectangle-300x250-marca-cpm-comunidade_generica-tag"/>
    <x v="4"/>
    <n v="799455"/>
    <x v="95"/>
  </r>
  <r>
    <s v="alp-cielo_movimenta_comunidade-marca-awa"/>
    <s v="cielo_movimenta_comunidade-marca-verizon-marca-display-medium_rectangle-movimenta_comu_olxmaes-as_25_interesses_varejo_cadastro"/>
    <s v="cielo_movimenta_comunidade-comportamental-medium_rectangle-300x250-marca-cpm-movimenta_comu_olxmaes-tag"/>
    <x v="4"/>
    <n v="575668"/>
    <x v="96"/>
  </r>
  <r>
    <s v="alp-cielo_movimenta_comunidade-marca-awa"/>
    <s v="cielo_movimenta_comunidade-marca-verizon-marca-display-medium_rectangle-movimenta_comu_olxmaes-as_25_interesses_varejo_loja"/>
    <s v="cielo_movimenta_comunidade-comportamental-medium_rectangle-300x250-marca-cpm-movimenta_comu_olxmaes-tag"/>
    <x v="4"/>
    <n v="758370"/>
    <x v="97"/>
  </r>
  <r>
    <s v="alp-cielo_movimenta_comunidade-marca-awa"/>
    <s v="cielo_movimenta_comunidade-marca-verizon-marca-display-mobile_leaderboard-cielo_movimenta_comunidade_loggi-as_25_interesses_varejo"/>
    <s v="Default_320x50"/>
    <x v="4"/>
    <n v="1"/>
    <x v="15"/>
  </r>
  <r>
    <s v="alp-cielo_movimenta_comunidade-marca-awa"/>
    <s v="cielo_movimenta_comunidade-marca-verizon-marca-display-mobile_leaderboard-cielo_movimenta_comunidade_loggi-as_25_interesses_varejo"/>
    <s v="cielo_movimenta_comunidade-comportamental-mobile_leaderboard-320x50-marca-cpm-cielo_movimenta_comunidade_loggi-tag"/>
    <x v="4"/>
    <n v="5323071"/>
    <x v="98"/>
  </r>
  <r>
    <s v="alp-cielo_movimenta_comunidade-marca-awa"/>
    <s v="cielo_movimenta_comunidade-marca-verizon-marca-display-mobile_leaderboard-comunidade_generica-as_25_interesses_varejo"/>
    <s v="Default_320x50"/>
    <x v="4"/>
    <n v="1"/>
    <x v="15"/>
  </r>
  <r>
    <s v="alp-cielo_movimenta_comunidade-marca-awa"/>
    <s v="cielo_movimenta_comunidade-marca-verizon-marca-display-mobile_leaderboard-comunidade_generica-as_25_interesses_varejo"/>
    <s v="cielo_movimenta_comunidade-comportamental-mobile_leaderboard-320x50-marca-cpm-comunidade_generica-tag"/>
    <x v="4"/>
    <n v="4993934"/>
    <x v="99"/>
  </r>
  <r>
    <s v="alp-cielo_movimenta_comunidade-marca-awa"/>
    <s v="cielo_movimenta_comunidade-marca-verizon-marca-display-mobile_leaderboard-movimenta_comu_olxmaes-as_25_interesses_varejo_cadastro"/>
    <s v="cielo_movimenta_comunidade-comportamental-mobile_leaderboard-320x50-marca-cpm-movimenta_comu_olxmaes-tag"/>
    <x v="4"/>
    <n v="2603438"/>
    <x v="100"/>
  </r>
  <r>
    <s v="alp-cielo_movimenta_comunidade-marca-awa"/>
    <s v="cielo_movimenta_comunidade-marca-verizon-marca-display-mobile_leaderboard-movimenta_comu_olxmaes-as_25_interesses_varejo_loja"/>
    <s v="cielo_movimenta_comunidade-comportamental-mobile_leaderboard-320x50-marca-cpm-movimenta_comu_olxmaes-tag"/>
    <x v="4"/>
    <n v="3300428"/>
    <x v="101"/>
  </r>
  <r>
    <s v="alp-cielo_movimenta_comunidade-marca-awa"/>
    <s v="cielo_movimenta_comunidade-marca-verizon-marca-display-skyscraper-cielo_movimenta_comunidade_loggi-as_25_interesses_varejo"/>
    <s v="cielo_movimenta_comunidade-comportamental-skyscraper-160x600-marca-cpm-cielo_movimenta_comunidade_loggi-tag"/>
    <x v="4"/>
    <n v="2349374"/>
    <x v="102"/>
  </r>
  <r>
    <s v="alp-cielo_movimenta_comunidade-marca-awa"/>
    <s v="cielo_movimenta_comunidade-marca-verizon-marca-display-skyscraper-cielo_movimenta_comunidade_olx-as_25_interesses_varejo"/>
    <s v="cielo_movimenta_comunidade-comportamental-skyscraper-160x600-marca-cpm-cielo_movimenta_comunidade_olx-tag"/>
    <x v="4"/>
    <n v="1"/>
    <x v="15"/>
  </r>
  <r>
    <s v="alp-cielo_movimenta_comunidade-marca-awa"/>
    <s v="cielo_movimenta_comunidade-marca-verizon-marca-display-skyscraper-cielo_movimenta_comunidade_olx_cadastro-as_25_interesses_varejo"/>
    <s v="cielo_movimenta_comunidade-comportamental-skyscraper-160x600-marca-cpm-cielo_movimenta_comunidade_olx_cadastro-tag"/>
    <x v="4"/>
    <n v="1"/>
    <x v="12"/>
  </r>
  <r>
    <s v="alp-cielo_movimenta_comunidade-marca-awa"/>
    <s v="cielo_movimenta_comunidade-marca-verizon-marca-display-skyscraper-comunidade_generica-as_25_interesses_varejo"/>
    <s v="cielo_movimenta_comunidade-comportamental-skyscraper-160x600-marca-cpm-comunidade_generica-tag"/>
    <x v="4"/>
    <n v="1646725"/>
    <x v="103"/>
  </r>
  <r>
    <s v="alp-cielo_movimenta_comunidade-marca-awa"/>
    <s v="cielo_movimenta_comunidade-marca-verizon-marca-display-skyscraper-movimenta_comu_olxmaes-as_25_interesses_varejo_cadastro"/>
    <s v="cielo_movimenta_comunidade-comportamental-skyscraper-160x600-marca-cpm-movimenta_comu_olxmaes-tag"/>
    <x v="4"/>
    <n v="1037628"/>
    <x v="104"/>
  </r>
  <r>
    <s v="alp-cielo_movimenta_comunidade-marca-awa"/>
    <s v="cielo_movimenta_comunidade-marca-verizon-marca-display-skyscraper-movimenta_comu_olxmaes-as_25_interesses_varejo_loja"/>
    <s v="cielo_movimenta_comunidade-comportamental-skyscraper-160x600-marca-cpm-movimenta_comu_olxmaes-tag"/>
    <x v="4"/>
    <n v="1095569"/>
    <x v="105"/>
  </r>
  <r>
    <s v="alp-cielo_movimenta_comunidade-marca-awa"/>
    <s v="cielo_movimenta_comunidade-marca-verizon-marca-native-big_native-cielo_movimenta_comunidade_olx-as_25_interesses_varejo"/>
    <s v="Tracking"/>
    <x v="4"/>
    <n v="3244427"/>
    <x v="106"/>
  </r>
  <r>
    <s v="alp-cielo_movimenta_comunidade-marca-awa"/>
    <s v="cielo_movimenta_comunidade-marca-verizon-marca-native-big_native-cielo_movimenta_comunidade_olx_cadastro-as_25_interesses_varejo"/>
    <s v="Tracking"/>
    <x v="4"/>
    <n v="1556333"/>
    <x v="107"/>
  </r>
  <r>
    <s v="alp-cielo_movimenta_comunidade-marca-awa"/>
    <s v="cielo_movimenta_comunidade-marca-verizon-marca-native-native-cielo_movimenta_comunidade_generica-as_25_interesses_varejo"/>
    <s v="Tracking"/>
    <x v="4"/>
    <n v="452952"/>
    <x v="108"/>
  </r>
  <r>
    <s v="alp-cielo_movimenta_comunidade-marca-awa"/>
    <s v="cielo_movimenta_comunidade-marca-verizon-marca-native-native-cielo_movimenta_comunidade_loggi-as_25_interesses_varejo"/>
    <s v="Tracking"/>
    <x v="4"/>
    <n v="0"/>
    <x v="20"/>
  </r>
  <r>
    <s v="alp-cielo_movimenta_comunidade-marca-awa"/>
    <s v="cielo_movimenta_comunidade-marca-verizon-marca-native-native-cielo_movimenta_comunidade_loggi-as_25_interesses_varejo"/>
    <s v="Tracking"/>
    <x v="4"/>
    <n v="0"/>
    <x v="14"/>
  </r>
  <r>
    <s v="alp-cielo_movimenta_comunidade-marca-awa"/>
    <s v="cielo_movimenta_comunidade-marca-verizon-marca-native-native-cielo_movimenta_comunidade_olxmaes_cadastro-as_25_interesses_varejo_cadastro"/>
    <s v="Tracking"/>
    <x v="4"/>
    <n v="859102"/>
    <x v="109"/>
  </r>
  <r>
    <s v="alp-cielo_movimenta_comunidade-marca-awa"/>
    <s v="cielo_movimenta_comunidade-marca-verizon-marca-native-native-cielo_movimenta_comunidade_olxmaes_loja-as_25_interesses_varejo_loja"/>
    <s v="Tracking"/>
    <x v="4"/>
    <n v="0"/>
    <x v="110"/>
  </r>
  <r>
    <s v="alp-cielo_movimenta_comunidade-marca-awa"/>
    <s v="cielo_movimenta_comunidade-marca-verizon-marca-native-native-cielo_movimenta_comunidade_parcerias-as_25_interesses_varejo"/>
    <s v="Tracking"/>
    <x v="4"/>
    <n v="10801537"/>
    <x v="111"/>
  </r>
  <r>
    <s v="alp-cielo_movimenta_comunidade-marca-awa"/>
    <s v="cielo_movimenta_comunidade-marca-verizon-marca-native-native-comunidade_generica-as_25_interesses_varejo"/>
    <s v="Tracking"/>
    <x v="4"/>
    <n v="0"/>
    <x v="12"/>
  </r>
  <r>
    <s v="alp-cielo_movimenta_comunidade-marca-awa"/>
    <s v="cielo_movimenta_comunidade-marca-verizon-marca-native-native-comunidade_parcerias-as_25_interesses_varejo"/>
    <s v="Tracking"/>
    <x v="4"/>
    <n v="0"/>
    <x v="12"/>
  </r>
  <r>
    <s v="alp-cielo_movimenta_comunidade-marca-awa"/>
    <s v="cielo_movimenta_comunidade-marca-verizon-marca-native-small_native-cielo_movimenta_comunidade_olx_cadastro-as_25_interesses_varejo"/>
    <s v="Tracking"/>
    <x v="4"/>
    <n v="0"/>
    <x v="12"/>
  </r>
  <r>
    <s v="alp-cnn-varejo-awa"/>
    <s v="cnn-varejo-cnn-marca-display-arroba_banner-cnn_cielo_movimenta_superlink-as_25"/>
    <s v="cnn-comportamental-arroba_banner-300x250-marca-cpm-cnn_cielo_movimenta_superlink-tag"/>
    <x v="6"/>
    <n v="167590"/>
    <x v="112"/>
  </r>
  <r>
    <s v="alp-cnn-varejo-awa"/>
    <s v="cnn-varejo-cnn-marca-display-arroba_banner-cnn_cielo_sebrae-as_25"/>
    <s v="cnn-comportamental-arroba_banner-300x250-marca-cpm-cnn_cielo_sebrae-tag"/>
    <x v="6"/>
    <n v="310"/>
    <x v="15"/>
  </r>
  <r>
    <s v="alp-cnn-varejo-awa"/>
    <s v="cnn-varejo-cnn-marca-display-arroba_banner-cnn_cielo_sebrae-as_25"/>
    <s v="cnn-comportamental-arroba_banner-300x250-marca-cpm-cnn_cielo_sebrae-tag"/>
    <x v="6"/>
    <n v="185"/>
    <x v="72"/>
  </r>
  <r>
    <s v="alp-cnn-varejo-awa"/>
    <s v="cnn-varejo-cnn-marca-display-arroba_banner-cnn_cielo_superlink_diaria1506-as_25"/>
    <s v="cnn-comportamental-arroba_banner-300x250-marca-cpm-cnn_cielo_superlink_diaria1506-tag"/>
    <x v="6"/>
    <n v="338129"/>
    <x v="113"/>
  </r>
  <r>
    <s v="alp-cnn-varejo-awa"/>
    <s v="cnn-varejo-cnn-marca-display-bilboard-cnn_cielo_farol-as_25"/>
    <s v="cnn-comportamental-bilboard-970x250-marca-cpm-cnn_cielo_farol-tag"/>
    <x v="6"/>
    <n v="3900"/>
    <x v="72"/>
  </r>
  <r>
    <s v="alp-cnn-varejo-awa"/>
    <s v="cnn-varejo-cnn-marca-display-bilboard-cnn_cielo_movimenta_superlink-as_25"/>
    <s v="cnn-comportamental-bilboard-970x250-marca-cpm-cnn_cielo_movimenta_superlink-tag"/>
    <x v="6"/>
    <n v="19790"/>
    <x v="114"/>
  </r>
  <r>
    <s v="alp-cnn-varejo-awa"/>
    <s v="cnn-varejo-cnn-marca-display-bilboard-cnn_cielo_sebrae-as_25"/>
    <s v="cnn-comportamental-bilboard-970x250-marca-cpm-cnn_cielo_sebrae-tag"/>
    <x v="6"/>
    <n v="203"/>
    <x v="72"/>
  </r>
  <r>
    <s v="alp-cnn-varejo-awa"/>
    <s v="cnn-varejo-cnn-marca-display-bilboard-cnn_cielo_sebrae-as_25"/>
    <s v="cnn-comportamental-bilboard-970x250-marca-cpm-cnn_cielo_sebrae-tag"/>
    <x v="6"/>
    <n v="233"/>
    <x v="12"/>
  </r>
  <r>
    <s v="alp-cnn-varejo-awa"/>
    <s v="cnn-varejo-cnn-marca-display-bilboard-cnn_cielo_superlink_diaria1506-as_25"/>
    <s v="cnn-comportamental-bilboard-970x250-marca-cpm-cnn_cielo_superlink_diaria1506-tag"/>
    <x v="6"/>
    <n v="80741"/>
    <x v="115"/>
  </r>
  <r>
    <s v="alp-cnn-varejo-awa"/>
    <s v="cnn-varejo-cnn-marca-display-halfpage-cnn_cielo_farol-as_25"/>
    <s v="cnn-comportamental-halfpage-300x600-marca-cpm-cnn_cielo_farol-tag"/>
    <x v="6"/>
    <n v="4647"/>
    <x v="22"/>
  </r>
  <r>
    <s v="alp-cnn-varejo-awa"/>
    <s v="cnn-varejo-cnn-marca-display-halfpage-cnn_cielo_movimenta_superlink-as_25"/>
    <s v="cnn-comportamental-halfpage-300x600-marca-cpm-cnn_cielo_movimenta_superlink-tag"/>
    <x v="6"/>
    <n v="27636"/>
    <x v="27"/>
  </r>
  <r>
    <s v="alp-cnn-varejo-awa"/>
    <s v="cnn-varejo-cnn-marca-display-halfpage-cnn_cielo_sebrae-as_25"/>
    <s v="cnn-comportamental-halfpage-300x600-marca-cpm-cnn_cielo_sebrae-tag"/>
    <x v="6"/>
    <n v="3331"/>
    <x v="13"/>
  </r>
  <r>
    <s v="alp-cnn-varejo-awa"/>
    <s v="cnn-varejo-cnn-marca-display-halfpage-cnn_cielo_sebrae-as_25"/>
    <s v="cnn-comportamental-halfpage-300x600-marca-cpm-cnn_cielo_sebrae-tag"/>
    <x v="6"/>
    <n v="2276"/>
    <x v="14"/>
  </r>
  <r>
    <s v="alp-cnn-varejo-awa"/>
    <s v="cnn-varejo-cnn-marca-display-leaderboard-cnn_cielo_farol-as_25"/>
    <s v="cnn-comportamental-leaderboard-728x90-marca-cpm-cnn_cielo_farol-tag"/>
    <x v="6"/>
    <n v="1745"/>
    <x v="12"/>
  </r>
  <r>
    <s v="alp-cnn-varejo-awa"/>
    <s v="cnn-varejo-cnn-marca-display-leaderboard-cnn_cielo_movimenta_superlink-as_25"/>
    <s v="cnn-comportamental-leaderboard-728x90-marca-cpm-cnn_cielo_movimenta_superlink-tag"/>
    <x v="6"/>
    <n v="12108"/>
    <x v="14"/>
  </r>
  <r>
    <s v="alp-cnn-varejo-awa"/>
    <s v="cnn-varejo-cnn-marca-display-leaderboard-cnn_cielo_sebrae-as_25"/>
    <s v="cnn-comportamental-leaderboard-728x90-marca-cpm-cnn_cielo_sebrae-tag"/>
    <x v="6"/>
    <n v="215"/>
    <x v="20"/>
  </r>
  <r>
    <s v="alp-cnn-varejo-awa"/>
    <s v="cnn-varejo-cnn-marca-display-leaderboard-cnn_cielo_sebrae-as_25"/>
    <s v="cnn-comportamental-leaderboard-728x90-marca-cpm-cnn_cielo_sebrae-tag"/>
    <x v="6"/>
    <n v="187"/>
    <x v="15"/>
  </r>
  <r>
    <s v="alp-cnn-varejo-awa"/>
    <s v="cnn-varejo-cnn-marca-display-leaderboard-cnn_cielo_superlink_diaria1506-as_25"/>
    <s v="cnn-comportamental-leaderboard-728x90-marca-cpm-cnn_cielo_superlink_diaria1506-tag"/>
    <x v="6"/>
    <n v="53338"/>
    <x v="81"/>
  </r>
  <r>
    <s v="alp-cnn-varejo-awa"/>
    <s v="cnn-varejo-cnn-marca-display-mobile-cnn_cielo_farol-as_25"/>
    <s v="cnn-comportamental-mobile-320x50-marca-cpm-cnn_cielo_farol-tag"/>
    <x v="6"/>
    <n v="67373"/>
    <x v="116"/>
  </r>
  <r>
    <s v="alp-cnn-varejo-awa"/>
    <s v="cnn-varejo-cnn-marca-display-mobile-cnn_cielo_movimenta_superlink-as_25"/>
    <s v="cnn-comportamental-mobile-320x50-marca-cpm-cnn_cielo_movimenta_superlink-tag"/>
    <x v="6"/>
    <n v="347972"/>
    <x v="117"/>
  </r>
  <r>
    <s v="alp-cnn-varejo-awa"/>
    <s v="cnn-varejo-cnn-marca-display-mobile-cnn_cielo_sebrae-as_25"/>
    <s v="cnn-comportamental-mobile-320x50-marca-cpm-cnn_cielo_sebrae-tag"/>
    <x v="6"/>
    <n v="12382"/>
    <x v="118"/>
  </r>
  <r>
    <s v="alp-cnn-varejo-awa"/>
    <s v="cnn-varejo-cnn-marca-display-mobile-cnn_cielo_sebrae-as_25"/>
    <s v="cnn-comportamental-mobile-320x50-marca-cpm-cnn_cielo_sebrae-tag"/>
    <x v="6"/>
    <n v="11725"/>
    <x v="119"/>
  </r>
  <r>
    <s v="alp-cnn-varejo-awa"/>
    <s v="cnn-varejo-cnn-marca-display-mobile-cnn_cielo_superlink_diaria1506-as_25"/>
    <s v="cnn-comportamental-mobile-320x50-marca-cpm-cnn_cielo_superlink_diaria1506-tag"/>
    <x v="6"/>
    <n v="244309"/>
    <x v="120"/>
  </r>
  <r>
    <s v="alp-cnn-varejo-awa"/>
    <s v="cnn-varejo-cnn-marca-video-mobile-cnn_cielo_farol-as_25"/>
    <s v="cnn-comportamental-super_banner-300x250-marca-cpm-cnn_cielo_farol-tag"/>
    <x v="6"/>
    <n v="38902"/>
    <x v="121"/>
  </r>
  <r>
    <s v="alp-corona_voucher-varejo-awa"/>
    <s v="corona_voucher-varejo-dv360_CorreioBrasiliense-marca-video-pre_roll-video_hero_30s-AS25_microempreendedor_medioempreendedor_negocios_vendasonline_donosdenegocios"/>
    <s v="corona_voucher-comportamental-pre_roll-1920x1080-marca-cpm-video_hero_30s-tag"/>
    <x v="1"/>
    <n v="25985"/>
    <x v="79"/>
  </r>
  <r>
    <s v="alp-corona_voucher-varejo-awa"/>
    <s v="corona_voucher-varejo-dv360_Estadao-marca-video-pre_roll-video_hero_30s-AS25_microempreendedor_medioempreendedor_negocios_vendasonline_donosdenegocios"/>
    <s v="corona_voucher-comportamental-pre_roll-1920x1080-marca-cpm-video_hero_30s-tag"/>
    <x v="1"/>
    <n v="84173"/>
    <x v="122"/>
  </r>
  <r>
    <s v="alp-corona_voucher-varejo-awa"/>
    <s v="corona_voucher-varejo-dv360_Folha-marca-video-pre_roll-video_hero_30s-AS25_microempreendedor_medioempreendedor_negocios_vendasonline_donosdenegocios"/>
    <s v="corona_voucher-comportamental-pre_roll-1920x1080-marca-cpm-video_hero_30s-tag"/>
    <x v="1"/>
    <n v="98376"/>
    <x v="123"/>
  </r>
  <r>
    <s v="alp-corona_voucher-varejo-awa"/>
    <s v="corona_voucher-varejo-dv360_globo-marca-video-pre_roll-video_hero_30s-AS25_microempreendedor_medioempreendedor_negocios_vendasonline_donosdenegocios"/>
    <s v="corona_voucher-comportamental-pre_roll-1920x1080-marca-cpm-video_hero_30s-tag"/>
    <x v="1"/>
    <n v="47320"/>
    <x v="124"/>
  </r>
  <r>
    <s v="alp-covid19-marca-awa"/>
    <s v="covid19-marca-marca-social_dark-native-institucional_corona-as_25_interesses_varejo"/>
    <s v="Tracking"/>
    <x v="4"/>
    <n v="2"/>
    <x v="12"/>
  </r>
  <r>
    <s v="alp-covid19-marca-awa"/>
    <s v="covid19-marca-verizon-marca-display-leaderboard-institucional_corona-as_25_interesses_varejo"/>
    <s v="covid19-comportamental-leaderboard-728x90-marca-cpm-institucional_corona-tag"/>
    <x v="4"/>
    <n v="8"/>
    <x v="12"/>
  </r>
  <r>
    <s v="alp-covid19-marca-awa"/>
    <s v="covid19-marca-verizon-marca-display-medium_rectangle-institucional_corona-as_25_interesses_varejo"/>
    <s v="covid19-comportamental-medium_rectangle-300x250-marca-cpm-institucional_corona-tag"/>
    <x v="4"/>
    <n v="15"/>
    <x v="14"/>
  </r>
  <r>
    <s v="alp-covid19-marca-awa"/>
    <s v="covid19-marca-verizon-marca-display-mobile_leaderboard-institucional_corona-as_25_interesses_varejo"/>
    <s v="covid19-comportamental-mobile_leaderboard-320x50-marca-cpm-institucional_corona-tag"/>
    <x v="4"/>
    <n v="12"/>
    <x v="12"/>
  </r>
  <r>
    <s v="alp-covid19-marca-awa"/>
    <s v="covid19-marca-verizon-marca-display-skyscraper-institucional_corona-as_25_interesses_varejo"/>
    <s v="covid19-comportamental-skyscraper-300x600-marca-cpm-institucional_corona-tag"/>
    <x v="4"/>
    <n v="8"/>
    <x v="20"/>
  </r>
  <r>
    <s v="alp-covid19-marca-awa"/>
    <s v="covid19-marca-verizon-marca-social_dark-native-institucional_corona-as_25_interesses_varejo"/>
    <s v="Tracking"/>
    <x v="4"/>
    <n v="1635"/>
    <x v="125"/>
  </r>
  <r>
    <s v="alp-nova_cielo-empreendedores-cons"/>
    <s v="nova_cielo-empreendedores-dv360-flash-display-halfpage-flash_atendimento-as_25_mais_3rdparty_list_micro_empreendedor_individual_tailtarget_e_mei_retargetly"/>
    <s v="empreendedores-cons-halfpage-300x600-flash_atendimento-cpm"/>
    <x v="1"/>
    <n v="74265"/>
    <x v="126"/>
  </r>
  <r>
    <s v="alp-nova_cielo-empreendedores-cons"/>
    <s v="nova_cielo-empreendedores-dv360-flash-display-large_rectangle-flash_atendimento-as_25_mais_3rdparty_list_micro_empreendedor_individual_tailtarget_e_mei_retargetly"/>
    <s v="empreendedores-cons-large_rectangle-336x280-flash_atendimento-cpm"/>
    <x v="1"/>
    <n v="190904"/>
    <x v="127"/>
  </r>
  <r>
    <s v="alp-nova_cielo-empreendedores-cons"/>
    <s v="nova_cielo-empreendedores-dv360-flash-display-medium_rectangle-flash_atendimento-as_25_mais_3rdparty_list_micro_empreendedor_individual_tailtarget_e_mei_retargetly"/>
    <s v="empreendedores-cons-medium_rectangle-300x250-flash_atendimento-cpm"/>
    <x v="1"/>
    <n v="313292"/>
    <x v="128"/>
  </r>
  <r>
    <s v="alp-nova_cielo-empreendedores-cons"/>
    <s v="nova_cielo-empreendedores-dv360-flash-display-mobile_leaderboard-flash_atendimento-as_25_mais_3rdparty_list_micro_empreendedor_individual_tailtarget_e_mei_retargetly"/>
    <s v="empreendedores-cons-mobile_leaderboard-320x50-flash_atendimento-cpm"/>
    <x v="1"/>
    <n v="198618"/>
    <x v="129"/>
  </r>
  <r>
    <s v="alp-nova_cielo-empreendedores-cons"/>
    <s v="nova_cielo-empreendedores-dv360-zip-display-halfpage-zip_bandeiras-as_25_mais_3rdparty_list_micro_empreendedor_individual_tailtarget_e_mei_retargetly"/>
    <s v="empreendedores-cons-halfpage-300x600-zip_bandeiras-cpm"/>
    <x v="1"/>
    <n v="35817"/>
    <x v="130"/>
  </r>
  <r>
    <s v="alp-nova_cielo-empreendedores-cons"/>
    <s v="nova_cielo-empreendedores-dv360-zip-display-large_rectangle-zip_bandeiras-as_25_mais_3rdparty_list_micro_empreendedor_individual_tailtarget_e_mei_retargetly"/>
    <s v="empreendedores-cons-large_rectangle-336x280-zip_bandeiras-cpm"/>
    <x v="1"/>
    <n v="262613"/>
    <x v="131"/>
  </r>
  <r>
    <s v="alp-nova_cielo-empreendedores-cons"/>
    <s v="nova_cielo-empreendedores-dv360-zip-display-medium_rectangle-zip_bandeiras-as_25_mais_3rdparty_list_micro_empreendedor_individual_tailtarget_e_mei_retargetly"/>
    <s v="empreendedores-cons-medium_rectangle-300x250-zip_bandeiras-cpm"/>
    <x v="1"/>
    <n v="265083"/>
    <x v="132"/>
  </r>
  <r>
    <s v="alp-nova_cielo-empreendedores-cons"/>
    <s v="nova_cielo-empreendedores-dv360-zip-display-mobile_leaderboard-zip_bandeiras-as_25_mais_3rdparty_list_micro_empreendedor_individual_tailtarget_e_mei_retargetly"/>
    <s v="empreendedores-cons-mobile_leaderboard-320x50-zip_bandeiras-cpm"/>
    <x v="1"/>
    <n v="206708"/>
    <x v="133"/>
  </r>
  <r>
    <s v="alp-nova_cielo-empreendedores-cons"/>
    <s v="nova_cielo-empreendedores-verizon-flash-display-halfpage-flash_atendimento-pequeno_empreendedor"/>
    <s v="empreendedores-cons-halfpage-300x600-flash_atendimento-cpm"/>
    <x v="4"/>
    <n v="1"/>
    <x v="15"/>
  </r>
  <r>
    <s v="alp-nova_cielo-empreendedores-cons"/>
    <s v="nova_cielo-empreendedores-verizon-flash-display-halfpage-flash_atendimento-pequeno_empreendedor_look-a-like_ e_predictive audience"/>
    <s v="empreendedores-cons-halfpage-300x600-flash_atendimento-cpm"/>
    <x v="4"/>
    <n v="262170"/>
    <x v="134"/>
  </r>
  <r>
    <s v="alp-nova_cielo-empreendedores-cons"/>
    <s v="nova_cielo-empreendedores-verizon-flash-display-leaderboard-flash_atendimento-pequeno_empreendedor_look-a-like_ e_predictive audience"/>
    <s v="empreendedores-cons-leaderboard-728x90-flash_atendimento-cpm"/>
    <x v="4"/>
    <n v="190918"/>
    <x v="135"/>
  </r>
  <r>
    <s v="alp-nova_cielo-empreendedores-cons"/>
    <s v="nova_cielo-empreendedores-verizon-flash-display-medium_rectangle-flash_atendimento-pequeno_empreendedor"/>
    <s v="empreendedores-cons-medium_rectangle-300x250-flash_atendimento-cpm"/>
    <x v="4"/>
    <n v="1"/>
    <x v="15"/>
  </r>
  <r>
    <s v="alp-nova_cielo-empreendedores-cons"/>
    <s v="nova_cielo-empreendedores-verizon-flash-display-medium_rectangle-flash_atendimento-pequeno_empreendedor_look-a-like_ e_predictive audience"/>
    <s v="empreendedores-cons-medium_rectangle-300x250-flash_atendimento-cpm"/>
    <x v="4"/>
    <n v="163093"/>
    <x v="136"/>
  </r>
  <r>
    <s v="alp-nova_cielo-empreendedores-cons"/>
    <s v="nova_cielo-empreendedores-verizon-flash-display-mobile_leaderboard-flash_atendimento-pequeno_empreendedor"/>
    <s v="empreendedores-cons-mobile_leaderboard-320x50-flash_atendimento-cpm"/>
    <x v="4"/>
    <n v="1"/>
    <x v="15"/>
  </r>
  <r>
    <s v="alp-nova_cielo-empreendedores-cons"/>
    <s v="nova_cielo-empreendedores-verizon-flash-display-mobile_leaderboard-flash_atendimento-pequeno_empreendedor_look-a-like_ e_predictive audience"/>
    <s v="empreendedores-cons-mobile_leaderboard-320x50-flash_atendimento-cpm"/>
    <x v="4"/>
    <n v="172970"/>
    <x v="137"/>
  </r>
  <r>
    <s v="alp-nova_cielo-empreendedores-cons"/>
    <s v="nova_cielo-empreendedores-verizon-flash-display-wide_skyscraper-flash_atendimento-pequeno_empreendedor"/>
    <s v="empreendedores-cons-wide_skyscraper-160x600-flash_atendimento-cpm"/>
    <x v="4"/>
    <n v="4"/>
    <x v="15"/>
  </r>
  <r>
    <s v="alp-nova_cielo-empreendedores-cons"/>
    <s v="nova_cielo-empreendedores-verizon-flash-display-wide_skyscraper-flash_atendimento-pequeno_empreendedor_look-a-like_ e_predictive audience"/>
    <s v="empreendedores-cons-wide_skyscraper-160x600-flash_atendimento-cpm"/>
    <x v="4"/>
    <n v="551184"/>
    <x v="138"/>
  </r>
  <r>
    <s v="alp-nova_cielo-empreendedores-cons"/>
    <s v="nova_cielo-empreendedores-verizon-flash-native-native-flash_atendimento-pequeno_empreendedor"/>
    <s v="Tracking"/>
    <x v="4"/>
    <n v="407375"/>
    <x v="139"/>
  </r>
  <r>
    <s v="alp-nova_cielo-empreendedores-cons"/>
    <s v="nova_cielo-empreendedores-verizon-zip-display-halfpage-zip_bandeiras-pequeno_empreendedor"/>
    <s v="empreendedores-cons-halfpage-300x600-zip_bandeiras-cpm"/>
    <x v="4"/>
    <n v="1"/>
    <x v="15"/>
  </r>
  <r>
    <s v="alp-nova_cielo-empreendedores-cons"/>
    <s v="nova_cielo-empreendedores-verizon-zip-display-halfpage-zip_bandeiras-pequeno_empreendedor_look-a-like_ e_predictive audience"/>
    <s v="empreendedores-cons-halfpage-300x600-zip_bandeiras-cpm"/>
    <x v="4"/>
    <n v="266510"/>
    <x v="140"/>
  </r>
  <r>
    <s v="alp-nova_cielo-empreendedores-cons"/>
    <s v="nova_cielo-empreendedores-verizon-zip-display-leaderboard-zip_bandeiras-pequeno_empreendedor"/>
    <s v="empreendedores-cons-leaderboard-728x90-zip_bandeiras-cpm"/>
    <x v="4"/>
    <n v="2"/>
    <x v="15"/>
  </r>
  <r>
    <s v="alp-nova_cielo-empreendedores-cons"/>
    <s v="nova_cielo-empreendedores-verizon-zip-display-leaderboard-zip_bandeiras-pequeno_empreendedor_look-a-like_ e_predictive audience"/>
    <s v="empreendedores-cons-leaderboard-728x90-zip_bandeiras-cpm"/>
    <x v="4"/>
    <n v="192847"/>
    <x v="141"/>
  </r>
  <r>
    <s v="alp-nova_cielo-empreendedores-cons"/>
    <s v="nova_cielo-empreendedores-verizon-zip-display-medium_rectangle-zip_bandeiras-pequeno_empreendedor"/>
    <s v="empreendedores-cons-medium_rectangle-300x250-zip_bandeiras-cpm"/>
    <x v="4"/>
    <n v="10"/>
    <x v="15"/>
  </r>
  <r>
    <s v="alp-nova_cielo-empreendedores-cons"/>
    <s v="nova_cielo-empreendedores-verizon-zip-display-medium_rectangle-zip_bandeiras-pequeno_empreendedor_look-a-like_ e_predictive audience"/>
    <s v="empreendedores-cons-medium_rectangle-300x250-zip_bandeiras-cpm"/>
    <x v="4"/>
    <n v="161926"/>
    <x v="142"/>
  </r>
  <r>
    <s v="alp-nova_cielo-empreendedores-cons"/>
    <s v="nova_cielo-empreendedores-verizon-zip-display-mobile_leaderboard-zip_bandeiras-pequeno_empreendedor"/>
    <s v="empreendedores-cons-mobile_leaderboard-320x50-zip_bandeiras-cpm"/>
    <x v="4"/>
    <n v="6"/>
    <x v="15"/>
  </r>
  <r>
    <s v="alp-nova_cielo-empreendedores-cons"/>
    <s v="nova_cielo-empreendedores-verizon-zip-display-mobile_leaderboard-zip_bandeiras-pequeno_empreendedor_look-a-like_ e_predictive audience"/>
    <s v="empreendedores-cons-mobile_leaderboard-320x50-zip_bandeiras-cpm"/>
    <x v="4"/>
    <n v="165982"/>
    <x v="143"/>
  </r>
  <r>
    <s v="alp-nova_cielo-empreendedores-cons"/>
    <s v="nova_cielo-empreendedores-verizon-zip-display-wide_skyscraper-zip_bandeiras-pequeno_empreendedor"/>
    <s v="empreendedores-cons-wide_skyscraper-160x600-zip_bandeiras-cpm"/>
    <x v="4"/>
    <n v="1"/>
    <x v="15"/>
  </r>
  <r>
    <s v="alp-nova_cielo-empreendedores-cons"/>
    <s v="nova_cielo-empreendedores-verizon-zip-display-wide_skyscraper-zip_bandeiras-pequeno_empreendedor_look-a-like_ e_predictive audience"/>
    <s v="empreendedores-cons-wide_skyscraper-160x600-zip_bandeiras-cpm"/>
    <x v="4"/>
    <n v="572592"/>
    <x v="144"/>
  </r>
  <r>
    <s v="alp-nova_cielo-empreendedores-cons"/>
    <s v="nova_cielo-empreendedores-verizon-zip-native-native-zip_bandeiras-pequeno_empreendedor"/>
    <s v="Tracking"/>
    <x v="4"/>
    <n v="1350587"/>
    <x v="145"/>
  </r>
  <r>
    <s v="alp-nova_cielo-empreendedores-cons"/>
    <s v="nova_cielo_empreendedores_flash_native_native_1200x627_taxa_zero_atendimento_pequeno_empreendedor_look-a-like_ e_predictive audience"/>
    <s v="Tracking"/>
    <x v="4"/>
    <n v="70523"/>
    <x v="146"/>
  </r>
  <r>
    <s v="alp-nova_cielo-empreendedores-cons"/>
    <s v="nova_cielo_empreendedores_flash_native_native_627x627_taxa_zero_atendimento_pequeno_empreendedor"/>
    <s v="Tracking"/>
    <x v="4"/>
    <n v="994782"/>
    <x v="13"/>
  </r>
  <r>
    <s v="alp-nova_cielo-empreendedores-cons"/>
    <s v="nova_cielo_empreendedores_zip_display_mobile_leaderboard_320x50_taxa_zero_atendimento_pequeno_empreendedor"/>
    <s v="empreendedores_cons_mobile_leaderboard_320x50_zip_taxa_zero_atendimento"/>
    <x v="4"/>
    <n v="1"/>
    <x v="15"/>
  </r>
  <r>
    <s v="alp-pegn-marca-awa"/>
    <s v="pegn-marca-globo-marca-display-carrossel-pegn_cielo_movimenta_baseig-as_25_interesses"/>
    <s v="Tracking"/>
    <x v="7"/>
    <n v="4603"/>
    <x v="20"/>
  </r>
  <r>
    <s v="alp-pegn-marca-awa"/>
    <s v="pegn-marca-globo-marca-display-carrossel-pegn_cielo_sebrae-as_25_interesses"/>
    <s v="Tracking"/>
    <x v="7"/>
    <n v="0"/>
    <x v="14"/>
  </r>
  <r>
    <s v="alp-pegn-marca-awa"/>
    <s v="pegn-marca-globo-marca-display-maxiboard-pegn_cielo_movimenta-as_25_empreendedores"/>
    <s v="Tracking"/>
    <x v="7"/>
    <n v="438809"/>
    <x v="147"/>
  </r>
  <r>
    <s v="alp-pegn-marca-awa"/>
    <s v="pegn-marca-globo-marca-display-maxiboard-pegn_cielo_movimenta_baseig-as_25_interesses"/>
    <s v="pegn-comportamental-maxiboard-970x150-marca-cpm-pegn_cielo_movimenta_baseig-tag"/>
    <x v="7"/>
    <n v="259469"/>
    <x v="148"/>
  </r>
  <r>
    <s v="alp-pegn-marca-awa"/>
    <s v="pegn-marca-globo-marca-display-maxiboard-pegn_cielo_movimenta_superlink-as_25_interesses"/>
    <s v="pegn-comportamental-maxiboard-970x150-marca-cpm-pegn_cielo_movimenta_superlink-tag"/>
    <x v="7"/>
    <n v="877609"/>
    <x v="149"/>
  </r>
  <r>
    <s v="alp-pegn-marca-awa"/>
    <s v="pegn-marca-globo-marca-display-medium_rectangle-pegn_cielo_movimenta-as_25_empreendedores"/>
    <s v="Tracking"/>
    <x v="7"/>
    <n v="34818"/>
    <x v="150"/>
  </r>
  <r>
    <s v="alp-pegn-marca-awa"/>
    <s v="pegn-marca-globo-marca-display-medium_rectangle-pegn_cielo_movimenta_baseig-as_25_interesses"/>
    <s v="pegn-comportamental-medium_rectangle-300x250-marca-cpm-pegn_cielo_movimenta_baseig-tag"/>
    <x v="7"/>
    <n v="427984"/>
    <x v="151"/>
  </r>
  <r>
    <s v="alp-pegn-marca-awa"/>
    <s v="pegn-marca-globo-marca-display-medium_rectangle-pegn_cielo_movimenta_superlink-as_25_interesses"/>
    <s v="pegn-comportamental-medium_rectangle-300x250-marca-cpm-pegn_cielo_movimenta_superlink-tag"/>
    <x v="7"/>
    <n v="641457"/>
    <x v="152"/>
  </r>
  <r>
    <s v="alp-pegn-marca-awa"/>
    <s v="pegn-marca-globo-marca-display-medium_rectangle-pegn_cielo_sebrae-as_25_interesses"/>
    <s v="pegn-comportamental-medium_rectangle-300x250-marca-cpm-pegn_cielo_sebrae-tag"/>
    <x v="7"/>
    <n v="2"/>
    <x v="20"/>
  </r>
  <r>
    <s v="alp-pegn-marca-awa"/>
    <s v="pegn-marca-globo-marca-display-stick_ad-pegn_cielo_movimenta-as_25_empreendedores"/>
    <s v="Tracking"/>
    <x v="7"/>
    <n v="2199"/>
    <x v="8"/>
  </r>
  <r>
    <s v="alp-pegn-marca-awa"/>
    <s v="pegn-marca-globo-marca-display-stick_ad-pegn_cielo_movimenta_baseig-as_25_interesses"/>
    <s v="pegn-comportamental-stick_ad-320x50-marca-cpm-pegn_cielo_movimenta_baseig-tag"/>
    <x v="7"/>
    <n v="11697"/>
    <x v="27"/>
  </r>
  <r>
    <s v="alp-pegn-marca-awa"/>
    <s v="pegn-marca-globo-marca-display-stick_ad-pegn_cielo_movimenta_superlink-as_25_interesses"/>
    <s v="pegn-comportamental-stick_ad-320x50-marca-cpm-pegn_cielo_movimenta_superlink-tag"/>
    <x v="7"/>
    <n v="5256"/>
    <x v="153"/>
  </r>
  <r>
    <s v="alp-pegn-marca-awa"/>
    <s v="pegn-marca-globo-marca-display-stick_ad-pegn_cielo_sebrae-as_25_interesses"/>
    <s v="pegn-comportamental-stick_ad-320x50-marca-cpm-pegn_cielo_sebrae-tag"/>
    <x v="7"/>
    <n v="2"/>
    <x v="20"/>
  </r>
  <r>
    <s v="alp-pegn-marca-awa"/>
    <s v="pegn-marca-globo-marca-native-carrossel-pegn_cielo_movimenta-as_25_empreendedores"/>
    <s v="Tracking"/>
    <x v="7"/>
    <n v="13418"/>
    <x v="82"/>
  </r>
  <r>
    <s v="alp-pegn-marca-awa"/>
    <s v="pegn-marca-globo-marca-video-pre_roll-pegn_cielo_movimenta-as_25_empreendedores"/>
    <s v="Tracking"/>
    <x v="7"/>
    <n v="129101"/>
    <x v="154"/>
  </r>
  <r>
    <s v="alp-pegn-marca-awa"/>
    <s v="pegn-marca-globo-marca-video-pre_roll-pegn_cielo_movimenta_superlink-as_25_interesses"/>
    <s v="pegn-comportamental-pre_roll-1920x1080-marca-cpm-pegn_cielo_movimenta_superlink-tag"/>
    <x v="7"/>
    <n v="35050"/>
    <x v="155"/>
  </r>
  <r>
    <s v="alp-pegn-marca-awa"/>
    <s v="pegn-varejo-globo-marca-display-carrossel-pegn_cielo_movimenta_baseig-as_25_interesses"/>
    <s v="Tracking"/>
    <x v="7"/>
    <n v="25"/>
    <x v="20"/>
  </r>
  <r>
    <s v="alp-pegn-marca-awa"/>
    <s v="pegn-varejo-globo-marca-display-carrossel-pegn_cielo_movimenta_superlink-as_25_interesses"/>
    <s v="Tracking"/>
    <x v="7"/>
    <n v="14790"/>
    <x v="156"/>
  </r>
  <r>
    <s v="alp-receba-rapido-varejo-cons"/>
    <s v="receba-rapido-varejo-afilio-marca-display-halfpage-receba_rapido_estoque-base_legada_elegivel_cielo"/>
    <s v="Tracking"/>
    <x v="8"/>
    <n v="7"/>
    <x v="15"/>
  </r>
  <r>
    <s v="alp-receba-rapido-varejo-cons"/>
    <s v="receba-rapido-varejo-afilio-marca-display-halfpage-receba_rapido_fluxo-base_legada_elegivel_cielo"/>
    <s v="Tracking"/>
    <x v="8"/>
    <n v="1"/>
    <x v="15"/>
  </r>
  <r>
    <s v="alp-receba-rapido-varejo-cons"/>
    <s v="receba-rapido-varejo-afilio-marca-display-halfpage-receba_rapido_vendas-base_legada_elegivel_cielo"/>
    <s v="Tracking"/>
    <x v="8"/>
    <n v="3"/>
    <x v="15"/>
  </r>
  <r>
    <s v="alp-receba-rapido-varejo-cons"/>
    <s v="receba-rapido-varejo-afilio-marca-display-leaderboard-receba_rapido_estoque-base_legada_elegivel_cielo"/>
    <s v="Tracking"/>
    <x v="8"/>
    <n v="4"/>
    <x v="15"/>
  </r>
  <r>
    <s v="alp-receba-rapido-varejo-cons"/>
    <s v="receba-rapido-varejo-afilio-marca-display-leaderboard-receba_rapido_fluxo-base_legada_elegivel_cielo"/>
    <s v="Tracking"/>
    <x v="8"/>
    <n v="1"/>
    <x v="15"/>
  </r>
  <r>
    <s v="alp-receba-rapido-varejo-cons"/>
    <s v="receba-rapido-varejo-afilio-marca-display-leaderboard-receba_rapido_vendas-base_legada_elegivel_cielo"/>
    <s v="Tracking"/>
    <x v="8"/>
    <n v="1"/>
    <x v="15"/>
  </r>
  <r>
    <s v="alp-receba-rapido-varejo-cons"/>
    <s v="receba-rapido-varejo-afilio-marca-display-medium_rectangle-receba_rapido_estoque-base_legada_elegivel_cielo"/>
    <s v="Tracking"/>
    <x v="8"/>
    <n v="20"/>
    <x v="15"/>
  </r>
  <r>
    <s v="alp-receba-rapido-varejo-cons"/>
    <s v="receba-rapido-varejo-afilio-marca-display-medium_rectangle-receba_rapido_fluxo-base_legada_elegivel_cielo"/>
    <s v="Tracking"/>
    <x v="8"/>
    <n v="14"/>
    <x v="15"/>
  </r>
  <r>
    <s v="alp-receba-rapido-varejo-cons"/>
    <s v="receba-rapido-varejo-afilio-marca-display-medium_rectangle-receba_rapido_vendas-base_legada_elegivel_cielo"/>
    <s v="Tracking"/>
    <x v="8"/>
    <n v="7"/>
    <x v="15"/>
  </r>
  <r>
    <s v="alp-receba-rapido-varejo-cons"/>
    <s v="receba-rapido-varejo-afilio-marca-display-mobile-receba_rapido_estoque-base_legada_elegivel_cielo"/>
    <s v="Tracking"/>
    <x v="8"/>
    <n v="1"/>
    <x v="15"/>
  </r>
  <r>
    <s v="alp-receba-rapido-varejo-cons"/>
    <s v="receba-rapido-varejo-afilio-marca-display-mobile-receba_rapido_fluxo-base_legada_elegivel_cielo"/>
    <s v="Tracking"/>
    <x v="8"/>
    <n v="5"/>
    <x v="15"/>
  </r>
  <r>
    <s v="alp-receba-rapido-varejo-cons"/>
    <s v="receba-rapido-varejo-afilio-marca-display-mobile-receba_rapido_vendas-base_legada_elegivel_cielo"/>
    <s v="Tracking"/>
    <x v="8"/>
    <n v="7"/>
    <x v="15"/>
  </r>
  <r>
    <s v="alp-receba-rapido-varejo-cons"/>
    <s v="receba-rapido-varejo-dv360-marca-native-native-receba_rapido_fluxo-as_25-mais_comportamental"/>
    <s v="Tracking"/>
    <x v="1"/>
    <n v="0"/>
    <x v="12"/>
  </r>
  <r>
    <s v="alp-receba-rapido-varejo-cons"/>
    <s v="receba-rapido-varejo-dv360-marca-native-native-receba_rapido_vendas-as_25-mais_comportamental"/>
    <s v="Tracking"/>
    <x v="1"/>
    <n v="0"/>
    <x v="22"/>
  </r>
  <r>
    <s v="alp-receba-rapido-varejo-cons"/>
    <s v="receba-rapido-varejo-marca-display-medium_rectangle-receba_rapido_estoque-base_legada_ elegivel_cielo"/>
    <s v="receba-rapido-comportamental-medium_rectangle-300x250-marca-cpm-receba_rapido_estoque-tag"/>
    <x v="4"/>
    <n v="1"/>
    <x v="15"/>
  </r>
  <r>
    <s v="alp-receba-rapido-varejo-cons"/>
    <s v="receba-rapido-varejo-marca-display-mobile_leaderboard-receba_rapido_estoque-base_legada_ elegivel_cielo"/>
    <s v="receba-rapido-comportamental-mobile_leaderboard-320x50-marca-cpm-receba_rapido_estoque-tag"/>
    <x v="4"/>
    <n v="1"/>
    <x v="15"/>
  </r>
  <r>
    <s v="alp-receba-rapido-varejo-cons"/>
    <s v="receba-rapido-varejo-marca-display-mobile_leaderboard-receba_rapido_fluxo-base_legada_ elegivel_cielo"/>
    <s v="receba-rapido-comportamental-mobile_leaderboard-320x50-marca-cpm-receba_rapido_fluxo-tag"/>
    <x v="4"/>
    <n v="17"/>
    <x v="15"/>
  </r>
  <r>
    <s v="alp-receba-rapido-varejo-cons"/>
    <s v="receba-rapido-varejo-marca-display-mobile_leaderboard-receba_rapido_vendas-base_legada_elegivel_cielo"/>
    <s v="receba-rapido-comportamental-mobile_leaderboard-320x50-marca-cpm-receba_rapido_vendas-tag"/>
    <x v="4"/>
    <n v="1"/>
    <x v="15"/>
  </r>
  <r>
    <s v="alp-receba-rapido-varejo-cons"/>
    <s v="receba-rapido-varejo-marca-display-wide_skyscraper-receba_rapido_fluxo-base_legada_ elegivel_cielo"/>
    <s v="receba-rapido-comportamental-wide_skyscraper-160x600-marca-cpm-receba_rapido_fluxo-tag"/>
    <x v="4"/>
    <n v="1"/>
    <x v="15"/>
  </r>
  <r>
    <s v="alp-receba-rapido-varejo-cons"/>
    <s v="receba-rapido-varejo-marca-native-native-receba_rapido_vendas-base_legada_elegivel_cielo"/>
    <s v="Tracking"/>
    <x v="4"/>
    <n v="23"/>
    <x v="15"/>
  </r>
  <r>
    <s v="alp-superlink-marca-awa"/>
    <s v="superlink-marca-verizon-superlink-display-halfpage-sl_luta_diaria-AS25_microempreendedor_medioempreendedor_negocios_vendasonline_donosdenegocios"/>
    <s v="Default_300x600"/>
    <x v="4"/>
    <n v="2"/>
    <x v="15"/>
  </r>
  <r>
    <s v="alp-superlink-marca-awa"/>
    <s v="superlink-marca-verizon-superlink-display-halfpage-sl_luta_diaria-AS25_microempreendedor_medioempreendedor_negocios_vendasonline_donosdenegocios"/>
    <s v="superlink-comportamental-halfpage-300x600-superlink-cpm-sl_luta_diaria-tag"/>
    <x v="4"/>
    <n v="750593"/>
    <x v="157"/>
  </r>
  <r>
    <s v="alp-superlink-marca-awa"/>
    <s v="superlink-marca-verizon-superlink-display-leaderboard-sl_luta_diaria-AS25_microempreendedor_medioempreendedor_negocios_vendasonline_donosdenegocios"/>
    <s v="superlink-comportamental-leaderboard-728x90-superlink-cpm-sl_luta_diaria-tag"/>
    <x v="4"/>
    <n v="4589428"/>
    <x v="158"/>
  </r>
  <r>
    <s v="alp-superlink-marca-awa"/>
    <s v="superlink-marca-verizon-superlink-display-medium_rectangle-sl_luta_diaria-AS25_microempreendedor_medioempreendedor_negocios_vendasonline_donosdenegocios"/>
    <s v="superlink-comportamental-medium_rectangle-300x250-superlink-cpm-sl_luta_diaria-tag"/>
    <x v="4"/>
    <n v="1854201"/>
    <x v="159"/>
  </r>
  <r>
    <s v="alp-superlink-marca-awa"/>
    <s v="superlink-marca-verizon-superlink-display-skyscraper-sl_luta_diaria-AS25_microempreendedor_medioempreendedor_negocios_vendasonline_donosdenegocios"/>
    <s v="Default_160x600"/>
    <x v="4"/>
    <n v="1"/>
    <x v="15"/>
  </r>
  <r>
    <s v="alp-superlink-marca-awa"/>
    <s v="superlink-marca-verizon-superlink-display-skyscraper-sl_luta_diaria-AS25_microempreendedor_medioempreendedor_negocios_vendasonline_donosdenegocios"/>
    <s v="superlink-comportamental-skyscraper-160x600-superlink-cpm-sl_luta_diaria-tag"/>
    <x v="4"/>
    <n v="3078551"/>
    <x v="160"/>
  </r>
  <r>
    <s v="alp-superlink-marca-awa"/>
    <s v="superlink-marca-verizon-superlink-native-native-superlink-AS25_microempreendedor_medioempreendedor_negocios_vendasonline_donosdenegocios"/>
    <s v="Tracking"/>
    <x v="4"/>
    <n v="4585273"/>
    <x v="161"/>
  </r>
  <r>
    <s v="alp-superlink-marca-perf"/>
    <s v="marca-dv360_globo-superlink-native-native-1200x627-luta_diaria_loggi_boost-as25_empreendedor_varejo_interesses-cpm"/>
    <s v="Tracking"/>
    <x v="1"/>
    <n v="0"/>
    <x v="12"/>
  </r>
  <r>
    <s v="alp-superlink-marca-perf"/>
    <s v="marca-dv360_globo-superlink-native-native-627x627-luta_diaria_loggi_boost-as25_empreendedor_varejo_interesses-cpm"/>
    <s v="Tracking"/>
    <x v="1"/>
    <n v="0"/>
    <x v="162"/>
  </r>
  <r>
    <s v="alp-superlink-marca-perf"/>
    <s v="superlink-marca-dv360_globo-superlink-display-billboard-sl_vendapelainternet_loggi_boost-as25_empreendedor_varejo_interesses"/>
    <s v="superlink-comportamental-billboard-970x250-superlink-cpm-sl_vendapelainternet_loggi_boost-tag"/>
    <x v="1"/>
    <n v="420489"/>
    <x v="163"/>
  </r>
  <r>
    <s v="alp-superlink-marca-perf"/>
    <s v="superlink-marca-dv360_globo-superlink-display-halfpage-sl_vendapelainternet_loggi_boost-as25_empreendedor_varejo_interesses"/>
    <s v="superlink-comportamental-halfpage-300x600-superlink-cpm-sl_vendapelainternet_loggi_boost-tag"/>
    <x v="1"/>
    <n v="37987"/>
    <x v="17"/>
  </r>
  <r>
    <s v="alp-superlink-marca-perf"/>
    <s v="superlink-marca-dv360_globo-superlink-display-leaderboard-sl_vendapelainternet_loggi_boost-as25_empreendedor_varejo_interesses"/>
    <s v="superlink-comportamental-leaderboard-728x90-superlink-cpm-sl_vendapelainternet_loggi_boost-tag"/>
    <x v="1"/>
    <n v="10"/>
    <x v="12"/>
  </r>
  <r>
    <s v="alp-superlink-marca-perf"/>
    <s v="superlink-marca-dv360_globo-superlink-display-medium_rectangle-sl_vendapelainternet_loggi_boost-as25_empreendedor_varejo_interesses"/>
    <s v="Default_300x250"/>
    <x v="1"/>
    <n v="1"/>
    <x v="15"/>
  </r>
  <r>
    <s v="alp-superlink-marca-perf"/>
    <s v="superlink-marca-dv360_globo-superlink-display-medium_rectangle-sl_vendapelainternet_loggi_boost-as25_empreendedor_varejo_interesses"/>
    <s v="superlink-comportamental-medium_rectangle-300x250-superlink-cpm-sl_vendapelainternet_loggi_boost-tag"/>
    <x v="1"/>
    <n v="9541174"/>
    <x v="164"/>
  </r>
  <r>
    <s v="alp-superlink-marca-perf"/>
    <s v="superlink-marca-dv360_globo-superlink-display-skyscraper-sl_vendapelainternet_loggi_boost-as25_empreendedor_varejo_interesses"/>
    <s v="superlink-comportamental-skyscraper-160x600-superlink-cpm-sl_vendapelainternet_loggi_boost-tag"/>
    <x v="1"/>
    <n v="2"/>
    <x v="12"/>
  </r>
  <r>
    <s v="alp:aquisicao:varejo:awa"/>
    <s v="aquisicao-varejo-marca-native-native-voce_e_cielo_crescendo_1-as_25-mais_comportamental"/>
    <s v="Tracking"/>
    <x v="4"/>
    <n v="1"/>
    <x v="12"/>
  </r>
  <r>
    <s v="alp:aquisicao:varejo:awa"/>
    <s v="aquisicao-varejo-verizon-marca-display-leaderboard-voce_e_cielo_stress-as_25_in_market_e_concorrencia"/>
    <s v="aquisicao-comportamental-leaderboard-728x90-marca-cpm-voce_e_cielo_stress-tag"/>
    <x v="4"/>
    <n v="1"/>
    <x v="15"/>
  </r>
  <r>
    <s v="alp:aquisicao:varejo:awa"/>
    <s v="aquisicao_varejo_marca_native_native_1200x627_aw_ins_varejo_voce_&amp;_cielo_stress_AS 25+ | In-Market e Concorrencia: Business Loans, Business Education, Business Financial Services, Business Technology, Payment Processing &amp; Merchant Services OR those who are"/>
    <s v="Tracking"/>
    <x v="4"/>
    <n v="49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Cielo - Corona Voucher"/>
    <s v="corona_voucher-varejo-dv360_CorreioBrasiliense-marca-video-pre_roll-video_hero_30s-AS25_microempreendedor_medioempreendedor_negocios_vendasonline_donosdenegocios"/>
    <n v="25984"/>
    <n v="75"/>
  </r>
  <r>
    <s v="Cielo - Corona Voucher"/>
    <s v="corona_voucher-varejo-dv360_Estadao-marca-video-pre_roll-video_hero_30s-AS25_microempreendedor_medioempreendedor_negocios_vendasonline_donosdenegocios"/>
    <n v="84236"/>
    <n v="17"/>
  </r>
  <r>
    <s v="Cielo - Corona Voucher"/>
    <s v="corona_voucher-varejo-dv360_Folha-marca-video-pre_roll-video_hero_30s-AS25_microempreendedor_medioempreendedor_negocios_vendasonline_donosdenegocios"/>
    <n v="98439"/>
    <n v="122"/>
  </r>
  <r>
    <s v="Cielo - Corona Voucher"/>
    <s v="corona_voucher-varejo-dv360_globo-marca-video-pre_roll-video_hero_30s-AS25_microempreendedor_medioempreendedor_negocios_vendasonline_donosdenegocios"/>
    <n v="47343"/>
    <n v="1478"/>
  </r>
  <r>
    <s v="Cielo - Superlink"/>
    <s v="superlink-marca-dv360_globo-superlink-display-billboard-sl_vendapelainternet_loggi_boost-as25_empreendedor_varejo_interesses"/>
    <n v="420487"/>
    <n v="177"/>
  </r>
  <r>
    <s v="Cielo - Superlink"/>
    <s v="superlink-marca-dv360_globo-superlink-display-halfpage-sl_vendapelainternet_loggi_boost-as25_empreendedor_varejo_interesses"/>
    <n v="37982"/>
    <n v="3"/>
  </r>
  <r>
    <s v="Cielo - Superlink"/>
    <s v="superlink-marca-dv360_globo-superlink-display-leaderboard-sl_vendapelainternet_loggi_boost-as25_empreendedor_varejo_interesses"/>
    <n v="8"/>
    <n v="0"/>
  </r>
  <r>
    <s v="Cielo - Superlink"/>
    <s v="superlink-marca-dv360_globo-superlink-display-medium_rectangle-sl_vendapelainternet_loggi_boost-as25_empreendedor_varejo_interesses"/>
    <n v="9541173"/>
    <n v="18722"/>
  </r>
  <r>
    <s v="Cielo - Superlink"/>
    <s v="superlink-marca-dv360_globo-superlink-native-native-luta_diaria_loggi_boost-as25_empreendedor_varejo_interesses_rectangle"/>
    <n v="1428579"/>
    <n v="3508"/>
  </r>
  <r>
    <s v="Cielo Movimenta - Comunidade"/>
    <s v="1200x627_rectangle"/>
    <n v="4079694"/>
    <n v="154929"/>
  </r>
  <r>
    <s v="Cielo Movimenta - Comunidade"/>
    <s v="1200x627_square"/>
    <n v="220049"/>
    <n v="96"/>
  </r>
  <r>
    <s v="Cielo Movimenta - Comunidade"/>
    <s v="NativeAd_Loggi_ajustado_1200x627"/>
    <n v="632937"/>
    <n v="45377"/>
  </r>
  <r>
    <s v="Cielo Movimenta - Comunidade"/>
    <s v="aw_movimenta_awareness-geral_1200x627_rectangle"/>
    <n v="1035921"/>
    <n v="29925"/>
  </r>
  <r>
    <s v="Cielo Movimenta - Comunidade"/>
    <s v="aw_movimenta_awareness-geral_1200x627_square"/>
    <n v="87642"/>
    <n v="66"/>
  </r>
  <r>
    <s v="Cielo Movimenta - Comunidade"/>
    <s v="cielo_movimenta_comunidade-marca-dv360-marca-display-bilboard-cielo_movimenta_comunidade_loggi-as_25_interesses_varejo"/>
    <n v="3552582"/>
    <n v="6550"/>
  </r>
  <r>
    <s v="Cielo Movimenta - Comunidade"/>
    <s v="cielo_movimenta_comunidade-marca-dv360-marca-display-bilboard-cielo_movimenta_comunidade_olx-as_25_interesses_varejo"/>
    <n v="34271"/>
    <n v="135"/>
  </r>
  <r>
    <s v="Cielo Movimenta - Comunidade"/>
    <s v="cielo_movimenta_comunidade-marca-dv360-marca-display-bilboard-cielo_movimenta_comunidade_olx_cadastro-as_25_interesses_varejo"/>
    <n v="44485"/>
    <n v="38"/>
  </r>
  <r>
    <s v="Cielo Movimenta - Comunidade"/>
    <s v="cielo_movimenta_comunidade-marca-dv360-marca-display-bilboard-comunidade_generica-as_25_interesses_varejo"/>
    <n v="115663"/>
    <n v="23"/>
  </r>
  <r>
    <s v="Cielo Movimenta - Comunidade"/>
    <s v="cielo_movimenta_comunidade-marca-dv360-marca-display-bilboard-movimenta_comu_olxmaes-as_25_interesses_varejo_cadastro"/>
    <n v="12569"/>
    <n v="98"/>
  </r>
  <r>
    <s v="Cielo Movimenta - Comunidade"/>
    <s v="cielo_movimenta_comunidade-marca-dv360-marca-display-bilboard-movimenta_comu_olxmaes-as_25_interesses_varejo_loja"/>
    <n v="7497"/>
    <n v="16"/>
  </r>
  <r>
    <s v="Cielo Movimenta - Comunidade"/>
    <s v="cielo_movimenta_comunidade-marca-dv360-marca-display-half_page-cielo_movimenta_comunidade_loggi-as_25_interesses_varejo"/>
    <n v="5664043"/>
    <n v="334124"/>
  </r>
  <r>
    <s v="Cielo Movimenta - Comunidade"/>
    <s v="cielo_movimenta_comunidade-marca-dv360-marca-display-half_page-cielo_movimenta_comunidade_olx-as_25_interesses_varejo"/>
    <n v="1104057"/>
    <n v="54782"/>
  </r>
  <r>
    <s v="Cielo Movimenta - Comunidade"/>
    <s v="cielo_movimenta_comunidade-marca-dv360-marca-display-half_page-cielo_movimenta_comunidade_olx_cadastro-as_25_interesses_varejo"/>
    <n v="72614"/>
    <n v="1450"/>
  </r>
  <r>
    <s v="Cielo Movimenta - Comunidade"/>
    <s v="cielo_movimenta_comunidade-marca-dv360-marca-display-half_page-comunidade_generica-as_25_interesses_varejo"/>
    <n v="5407564"/>
    <n v="365699"/>
  </r>
  <r>
    <s v="Cielo Movimenta - Comunidade"/>
    <s v="cielo_movimenta_comunidade-marca-dv360-marca-display-half_page-movimenta_comu_olxmaes-as_25_interesses_varejo_cadastro"/>
    <n v="589903"/>
    <n v="25302"/>
  </r>
  <r>
    <s v="Cielo Movimenta - Comunidade"/>
    <s v="cielo_movimenta_comunidade-marca-dv360-marca-display-half_page-movimenta_comu_olxmaes-as_25_interesses_varejo_loja"/>
    <n v="235960"/>
    <n v="8435"/>
  </r>
  <r>
    <s v="Cielo Movimenta - Comunidade"/>
    <s v="cielo_movimenta_comunidade-marca-dv360-marca-display-large_mobile_banner-cielo_movimenta_comunidade_loggi-as_25_interesses_varejo"/>
    <n v="5324195"/>
    <n v="28200"/>
  </r>
  <r>
    <s v="Cielo Movimenta - Comunidade"/>
    <s v="cielo_movimenta_comunidade-marca-dv360-marca-display-large_mobile_banner-cielo_movimenta_comunidade_olx-as_25_interesses_varejo"/>
    <n v="776722"/>
    <n v="5150"/>
  </r>
  <r>
    <s v="Cielo Movimenta - Comunidade"/>
    <s v="cielo_movimenta_comunidade-marca-dv360-marca-display-large_mobile_banner-cielo_movimenta_comunidade_olx_cadastro-as_25_interesses_varejo"/>
    <n v="41288"/>
    <n v="107"/>
  </r>
  <r>
    <s v="Cielo Movimenta - Comunidade"/>
    <s v="cielo_movimenta_comunidade-marca-dv360-marca-display-large_mobile_banner-comunidade_generica-as_25_interesses_varejo"/>
    <n v="2805560"/>
    <n v="18596"/>
  </r>
  <r>
    <s v="Cielo Movimenta - Comunidade"/>
    <s v="cielo_movimenta_comunidade-marca-dv360-marca-display-large_mobile_banner-movimenta_comu_olxmaes-as_25_interesses_varejo_cadastro"/>
    <n v="223076"/>
    <n v="383"/>
  </r>
  <r>
    <s v="Cielo Movimenta - Comunidade"/>
    <s v="cielo_movimenta_comunidade-marca-dv360-marca-display-large_mobile_banner-movimenta_comu_olxmaes-as_25_interesses_varejo_loja"/>
    <n v="414676"/>
    <n v="856"/>
  </r>
  <r>
    <s v="Cielo Movimenta - Comunidade"/>
    <s v="cielo_movimenta_comunidade-marca-dv360-marca-display-large_rectangle-cielo_movimenta_comunidade_loggi-as_25_interesses_varejo"/>
    <n v="6245202"/>
    <n v="242478"/>
  </r>
  <r>
    <s v="Cielo Movimenta - Comunidade"/>
    <s v="cielo_movimenta_comunidade-marca-dv360-marca-display-large_rectangle-cielo_movimenta_comunidade_olx-as_25_interesses_varejo"/>
    <n v="303626"/>
    <n v="16644"/>
  </r>
  <r>
    <s v="Cielo Movimenta - Comunidade"/>
    <s v="cielo_movimenta_comunidade-marca-dv360-marca-display-large_rectangle-cielo_movimenta_comunidade_olx_cadastro-as_25_interesses_varejo"/>
    <n v="809443"/>
    <n v="14400"/>
  </r>
  <r>
    <s v="Cielo Movimenta - Comunidade"/>
    <s v="cielo_movimenta_comunidade-marca-dv360-marca-display-large_rectangle-comunidade_generica-as_25_interesses_varejo"/>
    <n v="1135205"/>
    <n v="27481"/>
  </r>
  <r>
    <s v="Cielo Movimenta - Comunidade"/>
    <s v="cielo_movimenta_comunidade-marca-dv360-marca-display-leaderboard-cielo_movimenta_comunidade_loggi-as_25_interesses_varejo"/>
    <n v="5783656"/>
    <n v="7535"/>
  </r>
  <r>
    <s v="Cielo Movimenta - Comunidade"/>
    <s v="cielo_movimenta_comunidade-marca-dv360-marca-display-leaderboard-cielo_movimenta_comunidade_olx-as_25_interesses_varejo"/>
    <n v="323784"/>
    <n v="778"/>
  </r>
  <r>
    <s v="Cielo Movimenta - Comunidade"/>
    <s v="cielo_movimenta_comunidade-marca-dv360-marca-display-leaderboard-cielo_movimenta_comunidade_olx_cadastro-as_25_interesses_varejo"/>
    <n v="148665"/>
    <n v="565"/>
  </r>
  <r>
    <s v="Cielo Movimenta - Comunidade"/>
    <s v="cielo_movimenta_comunidade-marca-dv360-marca-display-leaderboard-comunidade_generica-as_25_interesses_varejo"/>
    <n v="2532804"/>
    <n v="6910"/>
  </r>
  <r>
    <s v="Cielo Movimenta - Comunidade"/>
    <s v="cielo_movimenta_comunidade-marca-dv360-marca-display-leaderboard-movimenta_comu_olxmaes-as_25_interesses_varejo_cadastro"/>
    <n v="143306"/>
    <n v="563"/>
  </r>
  <r>
    <s v="Cielo Movimenta - Comunidade"/>
    <s v="cielo_movimenta_comunidade-marca-dv360-marca-display-leaderboard-movimenta_comu_olxmaes-as_25_interesses_varejo_loja"/>
    <n v="264703"/>
    <n v="1056"/>
  </r>
  <r>
    <s v="Cielo Movimenta - Comunidade"/>
    <s v="cielo_movimenta_comunidade-marca-dv360-marca-display-medium_rectangle-cielo_movimenta_comunidade_loggi-as_25_interesses_varejo"/>
    <n v="13498207"/>
    <n v="44709"/>
  </r>
  <r>
    <s v="Cielo Movimenta - Comunidade"/>
    <s v="cielo_movimenta_comunidade-marca-dv360-marca-display-medium_rectangle-cielo_movimenta_comunidade_olx-as_25_interesses_varejo"/>
    <n v="1196218"/>
    <n v="5866"/>
  </r>
  <r>
    <s v="Cielo Movimenta - Comunidade"/>
    <s v="cielo_movimenta_comunidade-marca-dv360-marca-display-medium_rectangle-cielo_movimenta_comunidade_olx_cadastro-as_25_interesses_varejo"/>
    <n v="164163"/>
    <n v="297"/>
  </r>
  <r>
    <s v="Cielo Movimenta - Comunidade"/>
    <s v="cielo_movimenta_comunidade-marca-dv360-marca-display-medium_rectangle-comunidade_generica-as_25_interesses_varejo"/>
    <n v="5548684"/>
    <n v="32391"/>
  </r>
  <r>
    <s v="Cielo Movimenta - Comunidade"/>
    <s v="cielo_movimenta_comunidade-marca-dv360-marca-display-medium_rectangle-movimenta_comu_olxmaes-as_25_interesses_varejo_cadastro"/>
    <n v="995934"/>
    <n v="3615"/>
  </r>
  <r>
    <s v="Cielo Movimenta - Comunidade"/>
    <s v="cielo_movimenta_comunidade-marca-dv360-marca-display-medium_rectangle-movimenta_comu_olxmaes-as_25_interesses_varejo_loja"/>
    <n v="1860009"/>
    <n v="16440"/>
  </r>
  <r>
    <s v="Cielo Movimenta - Comunidade"/>
    <s v="cielo_movimenta_comunidade-marca-dv360-marca-display-mobile_leaderboard-cielo_movimenta_comunidade_loggi-as_25_interesses_varejo"/>
    <n v="30450397"/>
    <n v="175777"/>
  </r>
  <r>
    <s v="Cielo Movimenta - Comunidade"/>
    <s v="cielo_movimenta_comunidade-marca-dv360-marca-display-mobile_leaderboard-cielo_movimenta_comunidade_olx-as_25_interesses_varejo"/>
    <n v="6777044"/>
    <n v="59671"/>
  </r>
  <r>
    <s v="Cielo Movimenta - Comunidade"/>
    <s v="cielo_movimenta_comunidade-marca-dv360-marca-display-mobile_leaderboard-cielo_movimenta_comunidade_olx_cadastro-as_25_interesses_varejo"/>
    <n v="388600"/>
    <n v="2883"/>
  </r>
  <r>
    <s v="Cielo Movimenta - Comunidade"/>
    <s v="cielo_movimenta_comunidade-marca-dv360-marca-display-mobile_leaderboard-comunidade_generica-as_25_interesses_varejo"/>
    <n v="13740777"/>
    <n v="109098"/>
  </r>
  <r>
    <s v="Cielo Movimenta - Comunidade"/>
    <s v="cielo_movimenta_comunidade-marca-dv360-marca-display-mobile_leaderboard-movimenta_comu_olxmaes-as_25_interesses_varejo_cadastro"/>
    <n v="3296901"/>
    <n v="12957"/>
  </r>
  <r>
    <s v="Cielo Movimenta - Comunidade"/>
    <s v="cielo_movimenta_comunidade-marca-dv360-marca-display-mobile_leaderboard-movimenta_comu_olxmaes-as_25_interesses_varejo_loja"/>
    <n v="3282079"/>
    <n v="11736"/>
  </r>
  <r>
    <s v="Cielo Movimenta - Comunidade"/>
    <s v="cielo_movimenta_comunidade-marca-dv360-marca-display-skyscraper-cielo_movimenta_comunidade_loggi-as_25_interesses_varejo"/>
    <n v="1841736"/>
    <n v="860"/>
  </r>
  <r>
    <s v="Cielo Movimenta - Comunidade"/>
    <s v="cielo_movimenta_comunidade-marca-dv360-marca-display-skyscraper-cielo_movimenta_comunidade_olx-as_25_interesses_varejo"/>
    <n v="53351"/>
    <n v="32"/>
  </r>
  <r>
    <s v="Cielo Movimenta - Comunidade"/>
    <s v="cielo_movimenta_comunidade-marca-dv360-marca-display-skyscraper-cielo_movimenta_comunidade_olx_cadastro-as_25_interesses_varejo"/>
    <n v="33158"/>
    <n v="9"/>
  </r>
  <r>
    <s v="Cielo Movimenta - Comunidade"/>
    <s v="cielo_movimenta_comunidade-marca-dv360-marca-display-skyscraper-comunidade_generica-as_25_interesses_varejo"/>
    <n v="2123394"/>
    <n v="916"/>
  </r>
  <r>
    <s v="Cielo Movimenta - Comunidade"/>
    <s v="cielo_movimenta_comunidade-marca-dv360-marca-display-skyscraper-movimenta_comu_olxmaes-as_25_interesses_varejo_cadastro"/>
    <n v="56572"/>
    <n v="41"/>
  </r>
  <r>
    <s v="Cielo Movimenta - Comunidade"/>
    <s v="cielo_movimenta_comunidade-marca-dv360-marca-display-skyscraper-movimenta_comu_olxmaes-as_25_interesses_varejo_loja"/>
    <n v="43647"/>
    <n v="33"/>
  </r>
  <r>
    <s v="Cielo Movimenta - Comunidade"/>
    <s v="cielo_movimenta_comunidade-marca-dv360-marca-display-small_rectangle-cielo_movimenta_comunidade_loggi-as_25_interesses_varejo"/>
    <n v="60926"/>
    <n v="584"/>
  </r>
  <r>
    <s v="Cielo Movimenta - Comunidade"/>
    <s v="cielo_movimenta_comunidade-marca-dv360-marca-display-small_rectangle-cielo_movimenta_comunidade_olx-as_25_interesses_varejo"/>
    <n v="49807"/>
    <n v="93"/>
  </r>
  <r>
    <s v="Cielo Movimenta - Comunidade"/>
    <s v="cielo_movimenta_comunidade-marca-dv360-marca-display-small_rectangle-cielo_movimenta_comunidade_olx_cadastro-as_25_interesses_varejo"/>
    <n v="8762"/>
    <n v="6"/>
  </r>
  <r>
    <s v="Cielo Movimenta - Comunidade"/>
    <s v="cielo_movimenta_comunidade-marca-dv360-marca-display-small_rectangle-comunidade_generica-as_25_interesses_varejo"/>
    <n v="72513"/>
    <n v="654"/>
  </r>
  <r>
    <s v="Cielo Movimenta - Comunidade"/>
    <s v="cielo_movimenta_comunidade-marca-dv360-marca-display-small_rectangle-movimenta_comu_olxmaes-as_25_interesses_varejo_cadastro"/>
    <n v="12107"/>
    <n v="12"/>
  </r>
  <r>
    <s v="Cielo Movimenta - Comunidade"/>
    <s v="cielo_movimenta_comunidade-marca-dv360-marca-display-small_rectangle-movimenta_comu_olxmaes-as_25_interesses_varejo_loja"/>
    <n v="5531"/>
    <n v="2"/>
  </r>
  <r>
    <s v="Cielo Movimenta - Comunidade"/>
    <s v="cielo_movimenta_comunidade-marca-dv360-marca-native-native-cielo_movimenta_comunidade_loggi-as_25_interesses_varejo"/>
    <n v="1"/>
    <n v="0"/>
  </r>
  <r>
    <s v="Cielo Movimenta - Manifesto"/>
    <s v="cielo_movimenta-marca-dv360-marca-video-pre_roll-cielo_movimenta_manifesto_30s-AS25_microempreendedor_medioempreendedor_negocios_vendasonline_donosdenegocios"/>
    <n v="67567268"/>
    <n v="83576"/>
  </r>
  <r>
    <s v="Cielo Movimenta - Manifesto"/>
    <s v="cielo_movimenta-marca-dv360_CorreioBrasiliense-marca-video-pre_roll-cielo_movimenta_manifesto_30s-AS25_microempreendedor_medioempreendedor_negocios_vendasonline_donosdenegocios"/>
    <n v="155185"/>
    <n v="500"/>
  </r>
  <r>
    <s v="Cielo Movimenta - Manifesto"/>
    <s v="cielo_movimenta-marca-dv360_Estadao-marca-video-pre_roll-cielo_movimenta_manifesto_30s-AS25_microempreendedor_medioempreendedor_negocios_vendasonline_donosdenegocios"/>
    <n v="195041"/>
    <n v="22"/>
  </r>
  <r>
    <s v="Cielo Movimenta - Manifesto"/>
    <s v="cielo_movimenta-marca-dv360_Folha-marca-video-pre_roll-cielo_movimenta_manifesto_30s-AS25_microempreendedor_medioempreendedor_negocios_vendasonline_donosdenegocios"/>
    <n v="118734"/>
    <n v="258"/>
  </r>
  <r>
    <s v="Cielo Movimenta - Manifesto"/>
    <s v="cielo_movimenta-marca-dv360_R7-marca-video-pre_roll-cielo_movimenta_manifesto_30s-AS25_microempreendedor_medioempreendedor_negocios_vendasonline_donosdenegocios"/>
    <n v="312519"/>
    <n v="5341"/>
  </r>
  <r>
    <s v="Cielo_Empreendedores"/>
    <s v="nova_cielo-empreendedores-dv360-flash-display-halfpage-flash_atendimento-as_25_mais_3rdparty_list_micro_empreendedor_individual_tailtarget_e_mei_retargetly"/>
    <n v="74267"/>
    <n v="1517"/>
  </r>
  <r>
    <s v="Cielo_Empreendedores"/>
    <s v="nova_cielo-empreendedores-dv360-flash-display-large_rectangle-flash_atendimento-as_25_mais_3rdparty_list_micro_empreendedor_individual_tailtarget_e_mei_retargetly"/>
    <n v="190923"/>
    <n v="1020"/>
  </r>
  <r>
    <s v="Cielo_Empreendedores"/>
    <s v="nova_cielo-empreendedores-dv360-flash-display-medium_rectangle-flash_atendimento-as_25_mais_3rdparty_list_micro_empreendedor_individual_tailtarget_e_mei_retargetly"/>
    <n v="313403"/>
    <n v="821"/>
  </r>
  <r>
    <s v="Cielo_Empreendedores"/>
    <s v="nova_cielo-empreendedores-dv360-flash-display-mobile_leaderboard-flash_atendimento-as_25_mais_3rdparty_list_micro_empreendedor_individual_tailtarget_e_mei_retargetly"/>
    <n v="198656"/>
    <n v="674"/>
  </r>
  <r>
    <s v="Cielo_Empreendedores"/>
    <s v="nova_cielo-empreendedores-dv360-zip-display-halfpage-zip_bandeiras-as_25_mais_3rdparty_list_micro_empreendedor_individual_tailtarget_e_mei_retargetly"/>
    <n v="35827"/>
    <n v="141"/>
  </r>
  <r>
    <s v="Cielo_Empreendedores"/>
    <s v="nova_cielo-empreendedores-dv360-zip-display-large_rectangle-zip_bandeiras-as_25_mais_3rdparty_list_micro_empreendedor_individual_tailtarget_e_mei_retargetly"/>
    <n v="262691"/>
    <n v="1200"/>
  </r>
  <r>
    <s v="Cielo_Empreendedores"/>
    <s v="nova_cielo-empreendedores-dv360-zip-display-medium_rectangle-zip_bandeiras-as_25_mais_3rdparty_list_micro_empreendedor_individual_tailtarget_e_mei_retargetly"/>
    <n v="265184"/>
    <n v="779"/>
  </r>
  <r>
    <s v="Cielo_Empreendedores"/>
    <s v="nova_cielo-empreendedores-dv360-zip-display-mobile_leaderboard-zip_bandeiras-as_25_mais_3rdparty_list_micro_empreendedor_individual_tailtarget_e_mei_retargetly"/>
    <n v="206727"/>
    <n v="76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2">
  <r>
    <x v="0"/>
    <x v="0"/>
    <s v="corona_voucher-varejo-dv360_CorreioBrasiliense-marca-video-pre_roll-video_hero_30s-AS25_microempreendedor_medioempreendedor_negocios_vendasonline_donosdenegocios"/>
    <n v="25984"/>
    <n v="75"/>
  </r>
  <r>
    <x v="0"/>
    <x v="0"/>
    <s v="corona_voucher-varejo-dv360_Estadao-marca-video-pre_roll-video_hero_30s-AS25_microempreendedor_medioempreendedor_negocios_vendasonline_donosdenegocios"/>
    <n v="84236"/>
    <n v="17"/>
  </r>
  <r>
    <x v="0"/>
    <x v="0"/>
    <s v="corona_voucher-varejo-dv360_Folha-marca-video-pre_roll-video_hero_30s-AS25_microempreendedor_medioempreendedor_negocios_vendasonline_donosdenegocios"/>
    <n v="98439"/>
    <n v="122"/>
  </r>
  <r>
    <x v="0"/>
    <x v="0"/>
    <s v="corona_voucher-varejo-dv360_globo-marca-video-pre_roll-video_hero_30s-AS25_microempreendedor_medioempreendedor_negocios_vendasonline_donosdenegocios"/>
    <n v="47343"/>
    <n v="1478"/>
  </r>
  <r>
    <x v="0"/>
    <x v="1"/>
    <s v="superlink-marca-dv360_globo-superlink-display-billboard-sl_vendapelainternet_loggi_boost-as25_empreendedor_varejo_interesses"/>
    <n v="420487"/>
    <n v="177"/>
  </r>
  <r>
    <x v="0"/>
    <x v="1"/>
    <s v="superlink-marca-dv360_globo-superlink-display-halfpage-sl_vendapelainternet_loggi_boost-as25_empreendedor_varejo_interesses"/>
    <n v="37982"/>
    <n v="3"/>
  </r>
  <r>
    <x v="0"/>
    <x v="1"/>
    <s v="superlink-marca-dv360_globo-superlink-display-leaderboard-sl_vendapelainternet_loggi_boost-as25_empreendedor_varejo_interesses"/>
    <n v="8"/>
    <n v="0"/>
  </r>
  <r>
    <x v="0"/>
    <x v="1"/>
    <s v="superlink-marca-dv360_globo-superlink-display-medium_rectangle-sl_vendapelainternet_loggi_boost-as25_empreendedor_varejo_interesses"/>
    <n v="9541173"/>
    <n v="18722"/>
  </r>
  <r>
    <x v="0"/>
    <x v="1"/>
    <s v="superlink-marca-dv360_globo-superlink-native-native-luta_diaria_loggi_boost-as25_empreendedor_varejo_interesses_rectangle"/>
    <n v="1428579"/>
    <n v="3508"/>
  </r>
  <r>
    <x v="0"/>
    <x v="2"/>
    <s v="1200x627_rectangle"/>
    <n v="4079694"/>
    <n v="154929"/>
  </r>
  <r>
    <x v="0"/>
    <x v="2"/>
    <s v="1200x627_square"/>
    <n v="220049"/>
    <n v="96"/>
  </r>
  <r>
    <x v="0"/>
    <x v="2"/>
    <s v="NativeAd_Loggi_ajustado_1200x627"/>
    <n v="632937"/>
    <n v="45377"/>
  </r>
  <r>
    <x v="0"/>
    <x v="2"/>
    <s v="aw_movimenta_awareness-geral_1200x627_rectangle"/>
    <n v="1035921"/>
    <n v="29925"/>
  </r>
  <r>
    <x v="0"/>
    <x v="2"/>
    <s v="aw_movimenta_awareness-geral_1200x627_square"/>
    <n v="87642"/>
    <n v="66"/>
  </r>
  <r>
    <x v="0"/>
    <x v="2"/>
    <s v="cielo_movimenta_comunidade-marca-dv360-marca-display-bilboard-cielo_movimenta_comunidade_loggi-as_25_interesses_varejo"/>
    <n v="3552582"/>
    <n v="6550"/>
  </r>
  <r>
    <x v="0"/>
    <x v="2"/>
    <s v="cielo_movimenta_comunidade-marca-dv360-marca-display-bilboard-cielo_movimenta_comunidade_olx-as_25_interesses_varejo"/>
    <n v="34271"/>
    <n v="135"/>
  </r>
  <r>
    <x v="0"/>
    <x v="2"/>
    <s v="cielo_movimenta_comunidade-marca-dv360-marca-display-bilboard-cielo_movimenta_comunidade_olx_cadastro-as_25_interesses_varejo"/>
    <n v="44485"/>
    <n v="38"/>
  </r>
  <r>
    <x v="0"/>
    <x v="2"/>
    <s v="cielo_movimenta_comunidade-marca-dv360-marca-display-bilboard-comunidade_generica-as_25_interesses_varejo"/>
    <n v="115663"/>
    <n v="23"/>
  </r>
  <r>
    <x v="0"/>
    <x v="2"/>
    <s v="cielo_movimenta_comunidade-marca-dv360-marca-display-bilboard-movimenta_comu_olxmaes-as_25_interesses_varejo_cadastro"/>
    <n v="12569"/>
    <n v="98"/>
  </r>
  <r>
    <x v="0"/>
    <x v="2"/>
    <s v="cielo_movimenta_comunidade-marca-dv360-marca-display-bilboard-movimenta_comu_olxmaes-as_25_interesses_varejo_loja"/>
    <n v="7497"/>
    <n v="16"/>
  </r>
  <r>
    <x v="0"/>
    <x v="2"/>
    <s v="cielo_movimenta_comunidade-marca-dv360-marca-display-half_page-cielo_movimenta_comunidade_loggi-as_25_interesses_varejo"/>
    <n v="5664043"/>
    <n v="334124"/>
  </r>
  <r>
    <x v="0"/>
    <x v="2"/>
    <s v="cielo_movimenta_comunidade-marca-dv360-marca-display-half_page-cielo_movimenta_comunidade_olx-as_25_interesses_varejo"/>
    <n v="1104057"/>
    <n v="54782"/>
  </r>
  <r>
    <x v="0"/>
    <x v="2"/>
    <s v="cielo_movimenta_comunidade-marca-dv360-marca-display-half_page-cielo_movimenta_comunidade_olx_cadastro-as_25_interesses_varejo"/>
    <n v="72614"/>
    <n v="1450"/>
  </r>
  <r>
    <x v="0"/>
    <x v="2"/>
    <s v="cielo_movimenta_comunidade-marca-dv360-marca-display-half_page-comunidade_generica-as_25_interesses_varejo"/>
    <n v="5407564"/>
    <n v="365699"/>
  </r>
  <r>
    <x v="0"/>
    <x v="2"/>
    <s v="cielo_movimenta_comunidade-marca-dv360-marca-display-half_page-movimenta_comu_olxmaes-as_25_interesses_varejo_cadastro"/>
    <n v="589903"/>
    <n v="25302"/>
  </r>
  <r>
    <x v="0"/>
    <x v="2"/>
    <s v="cielo_movimenta_comunidade-marca-dv360-marca-display-half_page-movimenta_comu_olxmaes-as_25_interesses_varejo_loja"/>
    <n v="235960"/>
    <n v="8435"/>
  </r>
  <r>
    <x v="0"/>
    <x v="2"/>
    <s v="cielo_movimenta_comunidade-marca-dv360-marca-display-large_mobile_banner-cielo_movimenta_comunidade_loggi-as_25_interesses_varejo"/>
    <n v="5324195"/>
    <n v="28200"/>
  </r>
  <r>
    <x v="0"/>
    <x v="2"/>
    <s v="cielo_movimenta_comunidade-marca-dv360-marca-display-large_mobile_banner-cielo_movimenta_comunidade_olx-as_25_interesses_varejo"/>
    <n v="776722"/>
    <n v="5150"/>
  </r>
  <r>
    <x v="0"/>
    <x v="2"/>
    <s v="cielo_movimenta_comunidade-marca-dv360-marca-display-large_mobile_banner-cielo_movimenta_comunidade_olx_cadastro-as_25_interesses_varejo"/>
    <n v="41288"/>
    <n v="107"/>
  </r>
  <r>
    <x v="0"/>
    <x v="2"/>
    <s v="cielo_movimenta_comunidade-marca-dv360-marca-display-large_mobile_banner-comunidade_generica-as_25_interesses_varejo"/>
    <n v="2805560"/>
    <n v="18596"/>
  </r>
  <r>
    <x v="0"/>
    <x v="2"/>
    <s v="cielo_movimenta_comunidade-marca-dv360-marca-display-large_mobile_banner-movimenta_comu_olxmaes-as_25_interesses_varejo_cadastro"/>
    <n v="223076"/>
    <n v="383"/>
  </r>
  <r>
    <x v="0"/>
    <x v="2"/>
    <s v="cielo_movimenta_comunidade-marca-dv360-marca-display-large_mobile_banner-movimenta_comu_olxmaes-as_25_interesses_varejo_loja"/>
    <n v="414676"/>
    <n v="856"/>
  </r>
  <r>
    <x v="0"/>
    <x v="2"/>
    <s v="cielo_movimenta_comunidade-marca-dv360-marca-display-large_rectangle-cielo_movimenta_comunidade_loggi-as_25_interesses_varejo"/>
    <n v="6245202"/>
    <n v="242478"/>
  </r>
  <r>
    <x v="0"/>
    <x v="2"/>
    <s v="cielo_movimenta_comunidade-marca-dv360-marca-display-large_rectangle-cielo_movimenta_comunidade_olx-as_25_interesses_varejo"/>
    <n v="303626"/>
    <n v="16644"/>
  </r>
  <r>
    <x v="0"/>
    <x v="2"/>
    <s v="cielo_movimenta_comunidade-marca-dv360-marca-display-large_rectangle-cielo_movimenta_comunidade_olx_cadastro-as_25_interesses_varejo"/>
    <n v="809443"/>
    <n v="14400"/>
  </r>
  <r>
    <x v="0"/>
    <x v="2"/>
    <s v="cielo_movimenta_comunidade-marca-dv360-marca-display-large_rectangle-comunidade_generica-as_25_interesses_varejo"/>
    <n v="1135205"/>
    <n v="27481"/>
  </r>
  <r>
    <x v="0"/>
    <x v="2"/>
    <s v="cielo_movimenta_comunidade-marca-dv360-marca-display-leaderboard-cielo_movimenta_comunidade_loggi-as_25_interesses_varejo"/>
    <n v="5783656"/>
    <n v="7535"/>
  </r>
  <r>
    <x v="0"/>
    <x v="2"/>
    <s v="cielo_movimenta_comunidade-marca-dv360-marca-display-leaderboard-cielo_movimenta_comunidade_olx-as_25_interesses_varejo"/>
    <n v="323784"/>
    <n v="778"/>
  </r>
  <r>
    <x v="0"/>
    <x v="2"/>
    <s v="cielo_movimenta_comunidade-marca-dv360-marca-display-leaderboard-cielo_movimenta_comunidade_olx_cadastro-as_25_interesses_varejo"/>
    <n v="148665"/>
    <n v="565"/>
  </r>
  <r>
    <x v="0"/>
    <x v="2"/>
    <s v="cielo_movimenta_comunidade-marca-dv360-marca-display-leaderboard-comunidade_generica-as_25_interesses_varejo"/>
    <n v="2532804"/>
    <n v="6910"/>
  </r>
  <r>
    <x v="0"/>
    <x v="2"/>
    <s v="cielo_movimenta_comunidade-marca-dv360-marca-display-leaderboard-movimenta_comu_olxmaes-as_25_interesses_varejo_cadastro"/>
    <n v="143306"/>
    <n v="563"/>
  </r>
  <r>
    <x v="0"/>
    <x v="2"/>
    <s v="cielo_movimenta_comunidade-marca-dv360-marca-display-leaderboard-movimenta_comu_olxmaes-as_25_interesses_varejo_loja"/>
    <n v="264703"/>
    <n v="1056"/>
  </r>
  <r>
    <x v="0"/>
    <x v="2"/>
    <s v="cielo_movimenta_comunidade-marca-dv360-marca-display-medium_rectangle-cielo_movimenta_comunidade_loggi-as_25_interesses_varejo"/>
    <n v="13498207"/>
    <n v="44709"/>
  </r>
  <r>
    <x v="0"/>
    <x v="2"/>
    <s v="cielo_movimenta_comunidade-marca-dv360-marca-display-medium_rectangle-cielo_movimenta_comunidade_olx-as_25_interesses_varejo"/>
    <n v="1196218"/>
    <n v="5866"/>
  </r>
  <r>
    <x v="0"/>
    <x v="2"/>
    <s v="cielo_movimenta_comunidade-marca-dv360-marca-display-medium_rectangle-cielo_movimenta_comunidade_olx_cadastro-as_25_interesses_varejo"/>
    <n v="164163"/>
    <n v="297"/>
  </r>
  <r>
    <x v="0"/>
    <x v="2"/>
    <s v="cielo_movimenta_comunidade-marca-dv360-marca-display-medium_rectangle-comunidade_generica-as_25_interesses_varejo"/>
    <n v="5548684"/>
    <n v="32391"/>
  </r>
  <r>
    <x v="0"/>
    <x v="2"/>
    <s v="cielo_movimenta_comunidade-marca-dv360-marca-display-medium_rectangle-movimenta_comu_olxmaes-as_25_interesses_varejo_cadastro"/>
    <n v="995934"/>
    <n v="3615"/>
  </r>
  <r>
    <x v="0"/>
    <x v="2"/>
    <s v="cielo_movimenta_comunidade-marca-dv360-marca-display-medium_rectangle-movimenta_comu_olxmaes-as_25_interesses_varejo_loja"/>
    <n v="1860009"/>
    <n v="16440"/>
  </r>
  <r>
    <x v="0"/>
    <x v="2"/>
    <s v="cielo_movimenta_comunidade-marca-dv360-marca-display-mobile_leaderboard-cielo_movimenta_comunidade_loggi-as_25_interesses_varejo"/>
    <n v="30450397"/>
    <n v="175777"/>
  </r>
  <r>
    <x v="0"/>
    <x v="2"/>
    <s v="cielo_movimenta_comunidade-marca-dv360-marca-display-mobile_leaderboard-cielo_movimenta_comunidade_olx-as_25_interesses_varejo"/>
    <n v="6777044"/>
    <n v="59671"/>
  </r>
  <r>
    <x v="0"/>
    <x v="2"/>
    <s v="cielo_movimenta_comunidade-marca-dv360-marca-display-mobile_leaderboard-cielo_movimenta_comunidade_olx_cadastro-as_25_interesses_varejo"/>
    <n v="388600"/>
    <n v="2883"/>
  </r>
  <r>
    <x v="0"/>
    <x v="2"/>
    <s v="cielo_movimenta_comunidade-marca-dv360-marca-display-mobile_leaderboard-comunidade_generica-as_25_interesses_varejo"/>
    <n v="13740777"/>
    <n v="109098"/>
  </r>
  <r>
    <x v="0"/>
    <x v="2"/>
    <s v="cielo_movimenta_comunidade-marca-dv360-marca-display-mobile_leaderboard-movimenta_comu_olxmaes-as_25_interesses_varejo_cadastro"/>
    <n v="3296901"/>
    <n v="12957"/>
  </r>
  <r>
    <x v="0"/>
    <x v="2"/>
    <s v="cielo_movimenta_comunidade-marca-dv360-marca-display-mobile_leaderboard-movimenta_comu_olxmaes-as_25_interesses_varejo_loja"/>
    <n v="3282079"/>
    <n v="11736"/>
  </r>
  <r>
    <x v="0"/>
    <x v="2"/>
    <s v="cielo_movimenta_comunidade-marca-dv360-marca-display-skyscraper-cielo_movimenta_comunidade_loggi-as_25_interesses_varejo"/>
    <n v="1841736"/>
    <n v="860"/>
  </r>
  <r>
    <x v="0"/>
    <x v="2"/>
    <s v="cielo_movimenta_comunidade-marca-dv360-marca-display-skyscraper-cielo_movimenta_comunidade_olx-as_25_interesses_varejo"/>
    <n v="53351"/>
    <n v="32"/>
  </r>
  <r>
    <x v="0"/>
    <x v="2"/>
    <s v="cielo_movimenta_comunidade-marca-dv360-marca-display-skyscraper-cielo_movimenta_comunidade_olx_cadastro-as_25_interesses_varejo"/>
    <n v="33158"/>
    <n v="9"/>
  </r>
  <r>
    <x v="0"/>
    <x v="2"/>
    <s v="cielo_movimenta_comunidade-marca-dv360-marca-display-skyscraper-comunidade_generica-as_25_interesses_varejo"/>
    <n v="2123394"/>
    <n v="916"/>
  </r>
  <r>
    <x v="0"/>
    <x v="2"/>
    <s v="cielo_movimenta_comunidade-marca-dv360-marca-display-skyscraper-movimenta_comu_olxmaes-as_25_interesses_varejo_cadastro"/>
    <n v="56572"/>
    <n v="41"/>
  </r>
  <r>
    <x v="0"/>
    <x v="2"/>
    <s v="cielo_movimenta_comunidade-marca-dv360-marca-display-skyscraper-movimenta_comu_olxmaes-as_25_interesses_varejo_loja"/>
    <n v="43647"/>
    <n v="33"/>
  </r>
  <r>
    <x v="0"/>
    <x v="2"/>
    <s v="cielo_movimenta_comunidade-marca-dv360-marca-display-small_rectangle-cielo_movimenta_comunidade_loggi-as_25_interesses_varejo"/>
    <n v="60926"/>
    <n v="584"/>
  </r>
  <r>
    <x v="0"/>
    <x v="2"/>
    <s v="cielo_movimenta_comunidade-marca-dv360-marca-display-small_rectangle-cielo_movimenta_comunidade_olx-as_25_interesses_varejo"/>
    <n v="49807"/>
    <n v="93"/>
  </r>
  <r>
    <x v="0"/>
    <x v="2"/>
    <s v="cielo_movimenta_comunidade-marca-dv360-marca-display-small_rectangle-cielo_movimenta_comunidade_olx_cadastro-as_25_interesses_varejo"/>
    <n v="8762"/>
    <n v="6"/>
  </r>
  <r>
    <x v="0"/>
    <x v="2"/>
    <s v="cielo_movimenta_comunidade-marca-dv360-marca-display-small_rectangle-comunidade_generica-as_25_interesses_varejo"/>
    <n v="72513"/>
    <n v="654"/>
  </r>
  <r>
    <x v="0"/>
    <x v="2"/>
    <s v="cielo_movimenta_comunidade-marca-dv360-marca-display-small_rectangle-movimenta_comu_olxmaes-as_25_interesses_varejo_cadastro"/>
    <n v="12107"/>
    <n v="12"/>
  </r>
  <r>
    <x v="0"/>
    <x v="2"/>
    <s v="cielo_movimenta_comunidade-marca-dv360-marca-display-small_rectangle-movimenta_comu_olxmaes-as_25_interesses_varejo_loja"/>
    <n v="5531"/>
    <n v="2"/>
  </r>
  <r>
    <x v="0"/>
    <x v="2"/>
    <s v="cielo_movimenta_comunidade-marca-dv360-marca-native-native-cielo_movimenta_comunidade_loggi-as_25_interesses_varejo"/>
    <n v="1"/>
    <n v="0"/>
  </r>
  <r>
    <x v="0"/>
    <x v="3"/>
    <s v="cielo_movimenta-marca-dv360-marca-video-pre_roll-cielo_movimenta_manifesto_30s-AS25_microempreendedor_medioempreendedor_negocios_vendasonline_donosdenegocios"/>
    <n v="67567268"/>
    <n v="83576"/>
  </r>
  <r>
    <x v="0"/>
    <x v="3"/>
    <s v="cielo_movimenta-marca-dv360_CorreioBrasiliense-marca-video-pre_roll-cielo_movimenta_manifesto_30s-AS25_microempreendedor_medioempreendedor_negocios_vendasonline_donosdenegocios"/>
    <n v="155185"/>
    <n v="500"/>
  </r>
  <r>
    <x v="0"/>
    <x v="3"/>
    <s v="cielo_movimenta-marca-dv360_Estadao-marca-video-pre_roll-cielo_movimenta_manifesto_30s-AS25_microempreendedor_medioempreendedor_negocios_vendasonline_donosdenegocios"/>
    <n v="195041"/>
    <n v="22"/>
  </r>
  <r>
    <x v="0"/>
    <x v="3"/>
    <s v="cielo_movimenta-marca-dv360_Folha-marca-video-pre_roll-cielo_movimenta_manifesto_30s-AS25_microempreendedor_medioempreendedor_negocios_vendasonline_donosdenegocios"/>
    <n v="118734"/>
    <n v="258"/>
  </r>
  <r>
    <x v="0"/>
    <x v="3"/>
    <s v="cielo_movimenta-marca-dv360_R7-marca-video-pre_roll-cielo_movimenta_manifesto_30s-AS25_microempreendedor_medioempreendedor_negocios_vendasonline_donosdenegocios"/>
    <n v="312519"/>
    <n v="5341"/>
  </r>
  <r>
    <x v="0"/>
    <x v="4"/>
    <s v="nova_cielo-empreendedores-dv360-flash-display-halfpage-flash_atendimento-as_25_mais_3rdparty_list_micro_empreendedor_individual_tailtarget_e_mei_retargetly"/>
    <n v="74267"/>
    <n v="1517"/>
  </r>
  <r>
    <x v="0"/>
    <x v="4"/>
    <s v="nova_cielo-empreendedores-dv360-flash-display-large_rectangle-flash_atendimento-as_25_mais_3rdparty_list_micro_empreendedor_individual_tailtarget_e_mei_retargetly"/>
    <n v="190923"/>
    <n v="1020"/>
  </r>
  <r>
    <x v="0"/>
    <x v="4"/>
    <s v="nova_cielo-empreendedores-dv360-flash-display-medium_rectangle-flash_atendimento-as_25_mais_3rdparty_list_micro_empreendedor_individual_tailtarget_e_mei_retargetly"/>
    <n v="313403"/>
    <n v="821"/>
  </r>
  <r>
    <x v="0"/>
    <x v="4"/>
    <s v="nova_cielo-empreendedores-dv360-flash-display-mobile_leaderboard-flash_atendimento-as_25_mais_3rdparty_list_micro_empreendedor_individual_tailtarget_e_mei_retargetly"/>
    <n v="198656"/>
    <n v="674"/>
  </r>
  <r>
    <x v="0"/>
    <x v="4"/>
    <s v="nova_cielo-empreendedores-dv360-zip-display-halfpage-zip_bandeiras-as_25_mais_3rdparty_list_micro_empreendedor_individual_tailtarget_e_mei_retargetly"/>
    <n v="35827"/>
    <n v="141"/>
  </r>
  <r>
    <x v="0"/>
    <x v="4"/>
    <s v="nova_cielo-empreendedores-dv360-zip-display-large_rectangle-zip_bandeiras-as_25_mais_3rdparty_list_micro_empreendedor_individual_tailtarget_e_mei_retargetly"/>
    <n v="262691"/>
    <n v="1200"/>
  </r>
  <r>
    <x v="0"/>
    <x v="4"/>
    <s v="nova_cielo-empreendedores-dv360-zip-display-medium_rectangle-zip_bandeiras-as_25_mais_3rdparty_list_micro_empreendedor_individual_tailtarget_e_mei_retargetly"/>
    <n v="265184"/>
    <n v="779"/>
  </r>
  <r>
    <x v="0"/>
    <x v="4"/>
    <s v="nova_cielo-empreendedores-dv360-zip-display-mobile_leaderboard-zip_bandeiras-as_25_mais_3rdparty_list_micro_empreendedor_individual_tailtarget_e_mei_retargetly"/>
    <n v="206727"/>
    <n v="767"/>
  </r>
  <r>
    <x v="1"/>
    <x v="5"/>
    <s v="1200x627_rectangle"/>
    <n v="4079699"/>
    <n v="154933"/>
  </r>
  <r>
    <x v="1"/>
    <x v="5"/>
    <s v="1200x627_square"/>
    <n v="220049"/>
    <n v="96"/>
  </r>
  <r>
    <x v="1"/>
    <x v="5"/>
    <s v="NativeAd_Loggi_ajustado_1200x627"/>
    <n v="632939"/>
    <n v="45378"/>
  </r>
  <r>
    <x v="1"/>
    <x v="5"/>
    <s v="aw_movimenta_awareness-geral_1200x627_rectangle"/>
    <n v="1035925"/>
    <n v="29929"/>
  </r>
  <r>
    <x v="1"/>
    <x v="5"/>
    <s v="aw_movimenta_awareness-geral_1200x627_square"/>
    <n v="87642"/>
    <n v="66"/>
  </r>
  <r>
    <x v="1"/>
    <x v="5"/>
    <s v="superlink-marca-dv360_globo-superlink-native-native-luta_diaria_loggi_boost-as25_empreendedor_varejo_interesses_rectangle"/>
    <n v="1428580"/>
    <n v="3509"/>
  </r>
  <r>
    <x v="1"/>
    <x v="6"/>
    <s v="cielo_movimenta-comportamental-pre_roll-1920x1080-marca-cpm-cielo_movimenta_manifesto_30s-tag"/>
    <n v="67567270"/>
    <n v="83576"/>
  </r>
  <r>
    <x v="1"/>
    <x v="6"/>
    <s v="cielo_movimenta-comportamental-pre_roll-1920x1080-marca-cpm-cielo_movimenta_manifesto_30s-tag"/>
    <n v="155185"/>
    <n v="500"/>
  </r>
  <r>
    <x v="1"/>
    <x v="6"/>
    <s v="cielo_movimenta-comportamental-pre_roll-1920x1080-marca-cpm-cielo_movimenta_manifesto_30s-tag"/>
    <n v="195041"/>
    <n v="22"/>
  </r>
  <r>
    <x v="1"/>
    <x v="6"/>
    <s v="cielo_movimenta-comportamental-pre_roll-1920x1080-marca-cpm-cielo_movimenta_manifesto_30s-tag"/>
    <n v="118734"/>
    <n v="258"/>
  </r>
  <r>
    <x v="1"/>
    <x v="6"/>
    <s v="cielo_movimenta-comportamental-pre_roll-1920x1080-marca-cpm-cielo_movimenta_manifesto_30s-tag"/>
    <n v="312519"/>
    <n v="5341"/>
  </r>
  <r>
    <x v="1"/>
    <x v="6"/>
    <s v="cielo_movimenta-comportamental-pre_roll-1920x1080-marca-cpm-cielo_movimenta_manifesto_30s-tag"/>
    <n v="244451"/>
    <n v="297"/>
  </r>
  <r>
    <x v="1"/>
    <x v="6"/>
    <s v="cielo_movimenta-comportamental-arroba_banner-300x250-marca-cpm-cielo_movimenta_olx_cadastro_fase1-tag"/>
    <n v="3"/>
    <n v="1"/>
  </r>
  <r>
    <x v="1"/>
    <x v="6"/>
    <s v="cielo_movimenta-comportamental-arroba_banner-300x250-marca-cpm-cielo_movimenta_olx_fase2-tag"/>
    <n v="6"/>
    <n v="1"/>
  </r>
  <r>
    <x v="1"/>
    <x v="6"/>
    <s v="cielo_movimenta-comportamental-arroba_banner-300x250-marca-cpm-cielo_movimenta_olx_fase2-tag"/>
    <n v="348"/>
    <n v="4"/>
  </r>
  <r>
    <x v="1"/>
    <x v="6"/>
    <s v="cielo_movimenta-comportamental-half_page-300x600-marca-cpm-cielo_movimenta_olx_cadastro_fase1-tag"/>
    <n v="8"/>
    <n v="3"/>
  </r>
  <r>
    <x v="1"/>
    <x v="6"/>
    <s v="cielo_movimenta-comportamental-half_page-300x600-marca-cpm-cielo_movimenta_olx_fase2-tag"/>
    <n v="1"/>
    <n v="0"/>
  </r>
  <r>
    <x v="1"/>
    <x v="6"/>
    <s v="cielo_movimenta-comportamental-medium_rectangle-320x50-marca-cpm-cielo_movimenta_olx_cadastro_fase1-tag"/>
    <n v="829949"/>
    <n v="88"/>
  </r>
  <r>
    <x v="1"/>
    <x v="6"/>
    <s v="cielo_movimenta-comportamental-medium_rectangle-320x50-marca-cpm-cielo_movimenta_olx_fase2-tag"/>
    <n v="42"/>
    <n v="0"/>
  </r>
  <r>
    <x v="1"/>
    <x v="6"/>
    <s v="cielo_movimenta-comportamental-skyscraper-120x600-marca-cpm-cielo_movimenta_olx_cadastro_fase1-tag"/>
    <n v="31778"/>
    <n v="8"/>
  </r>
  <r>
    <x v="1"/>
    <x v="6"/>
    <s v="cielo_movimenta-comportamental-super_banner-728x90-marca-cpm-cielo_movimenta_olx_cadastro_fase1-tag"/>
    <n v="793940"/>
    <n v="46"/>
  </r>
  <r>
    <x v="1"/>
    <x v="6"/>
    <s v="cielo_movimenta-comportamental-super_banner-728x90-marca-cpm-cielo_movimenta_olx_fase2-tag"/>
    <n v="2"/>
    <n v="0"/>
  </r>
  <r>
    <x v="1"/>
    <x v="6"/>
    <s v="cielo_movimenta-comportamental-wide_skyscraper-160x600-marca-cpm-cielo_movimenta_olx_cadastro_fase1-tag"/>
    <n v="159459"/>
    <n v="30"/>
  </r>
  <r>
    <x v="1"/>
    <x v="6"/>
    <s v="Tracking"/>
    <n v="0"/>
    <n v="2"/>
  </r>
  <r>
    <x v="1"/>
    <x v="6"/>
    <s v="Tracking"/>
    <n v="0"/>
    <n v="3"/>
  </r>
  <r>
    <x v="1"/>
    <x v="6"/>
    <s v="Tracking"/>
    <n v="3426"/>
    <n v="9"/>
  </r>
  <r>
    <x v="1"/>
    <x v="6"/>
    <s v="Tracking"/>
    <n v="1"/>
    <n v="8"/>
  </r>
  <r>
    <x v="1"/>
    <x v="6"/>
    <s v="Tracking"/>
    <n v="0"/>
    <n v="3"/>
  </r>
  <r>
    <x v="1"/>
    <x v="6"/>
    <s v="Tracking"/>
    <n v="0"/>
    <n v="3"/>
  </r>
  <r>
    <x v="1"/>
    <x v="6"/>
    <s v="Tracking"/>
    <n v="3469"/>
    <n v="7"/>
  </r>
  <r>
    <x v="1"/>
    <x v="6"/>
    <s v="Tracking"/>
    <n v="0"/>
    <n v="4"/>
  </r>
  <r>
    <x v="1"/>
    <x v="6"/>
    <s v="cielo_movimenta-comportamental-pre_roll-1920x1080-marca-cpm-cielo_movimenta_manifesto_30s-tag"/>
    <n v="601780"/>
    <n v="5577"/>
  </r>
  <r>
    <x v="1"/>
    <x v="7"/>
    <s v="Default_970x250"/>
    <n v="2"/>
    <n v="0"/>
  </r>
  <r>
    <x v="1"/>
    <x v="7"/>
    <s v="cielo_movimenta_comunidade-comportamental-bilboard-970x250-marca-cpm-cielo_movimenta_comunidade_loggi-tag"/>
    <n v="3552581"/>
    <n v="6551"/>
  </r>
  <r>
    <x v="1"/>
    <x v="7"/>
    <s v="cielo_movimenta_comunidade-comportamental-bilboard-970x250-marca-cpm-cielo_movimenta_comunidade_olx-tag"/>
    <n v="34271"/>
    <n v="135"/>
  </r>
  <r>
    <x v="1"/>
    <x v="7"/>
    <s v="cielo_movimenta_comunidade-comportamental-bilboard-970x250-marca-cpm-cielo_movimenta_comunidade_olx_cadastro-tag"/>
    <n v="44485"/>
    <n v="38"/>
  </r>
  <r>
    <x v="1"/>
    <x v="7"/>
    <s v="cielo_movimenta_comunidade-comportamental-bilboard-970x250-marca-cpm-comunidade_generica-tag"/>
    <n v="115664"/>
    <n v="24"/>
  </r>
  <r>
    <x v="1"/>
    <x v="7"/>
    <s v="cielo_movimenta_comunidade-comportamental-bilboard-970x250-marca-cpm-movimenta_comu_olxmaes-tag"/>
    <n v="12570"/>
    <n v="98"/>
  </r>
  <r>
    <x v="1"/>
    <x v="7"/>
    <s v="cielo_movimenta_comunidade-comportamental-bilboard-970x250-marca-cpm-movimenta_comu_olxmaes-tag"/>
    <n v="7498"/>
    <n v="16"/>
  </r>
  <r>
    <x v="1"/>
    <x v="7"/>
    <s v="Default_300x600"/>
    <n v="2"/>
    <n v="0"/>
  </r>
  <r>
    <x v="1"/>
    <x v="7"/>
    <s v="cielo_movimenta_comunidade-comportamental-half_page-300x600-marca-cpm-cielo_movimenta_comunidade_loggi-tag"/>
    <n v="5664044"/>
    <n v="334127"/>
  </r>
  <r>
    <x v="1"/>
    <x v="7"/>
    <s v="cielo_movimenta_comunidade-comportamental-half_page-300x600-marca-cpm-cielo_movimenta_comunidade_olx-tag"/>
    <n v="1104057"/>
    <n v="54782"/>
  </r>
  <r>
    <x v="1"/>
    <x v="7"/>
    <s v="cielo_movimenta_comunidade-comportamental-half_page-300x600-marca-cpm-cielo_movimenta_comunidade_olx_cadastro-tag"/>
    <n v="72614"/>
    <n v="1450"/>
  </r>
  <r>
    <x v="1"/>
    <x v="7"/>
    <s v="Default_300x600"/>
    <n v="1"/>
    <n v="0"/>
  </r>
  <r>
    <x v="1"/>
    <x v="7"/>
    <s v="cielo_movimenta_comunidade-comportamental-half_page-300x600-marca-cpm-comunidade_generica-tag"/>
    <n v="5407563"/>
    <n v="365699"/>
  </r>
  <r>
    <x v="1"/>
    <x v="7"/>
    <s v="cielo_movimenta_comunidade-comportamental-half_page-300x600-marca-cpm-movimenta_comu_olxmaes-tag"/>
    <n v="589904"/>
    <n v="25302"/>
  </r>
  <r>
    <x v="1"/>
    <x v="7"/>
    <s v="cielo_movimenta_comunidade-comportamental-half_page-300x600-marca-cpm-movimenta_comu_olxmaes-tag"/>
    <n v="235961"/>
    <n v="8435"/>
  </r>
  <r>
    <x v="1"/>
    <x v="7"/>
    <s v="Default_320x100"/>
    <n v="1"/>
    <n v="0"/>
  </r>
  <r>
    <x v="1"/>
    <x v="7"/>
    <s v="cielo_movimenta_comunidade-comportamental-large_mobile_banner-320x100-marca-cpm-cielo_movimenta_comunidade_loggi-tag"/>
    <n v="5324195"/>
    <n v="28201"/>
  </r>
  <r>
    <x v="1"/>
    <x v="7"/>
    <s v="cielo_movimenta_comunidade-comportamental-large_mobile_banner-320x100-marca-cpm-cielo_movimenta_comunidade_olx-tag"/>
    <n v="776722"/>
    <n v="5150"/>
  </r>
  <r>
    <x v="1"/>
    <x v="7"/>
    <s v="cielo_movimenta_comunidade-comportamental-large_mobile_banner-320x100-marca-cpm-cielo_movimenta_comunidade_olx_cadastro-tag"/>
    <n v="41288"/>
    <n v="107"/>
  </r>
  <r>
    <x v="1"/>
    <x v="7"/>
    <s v="cielo_movimenta_comunidade-comportamental-large_mobile_banner-320x100-marca-cpm-comunidade_generica-tag"/>
    <n v="2805560"/>
    <n v="18596"/>
  </r>
  <r>
    <x v="1"/>
    <x v="7"/>
    <s v="cielo_movimenta_comunidade-comportamental-large_mobile_banner-320x100-marca-cpm-movimenta_comu_olxmaes-tag"/>
    <n v="223077"/>
    <n v="383"/>
  </r>
  <r>
    <x v="1"/>
    <x v="7"/>
    <s v="cielo_movimenta_comunidade-comportamental-large_mobile_banner-320x100-marca-cpm-movimenta_comu_olxmaes-tag"/>
    <n v="414677"/>
    <n v="856"/>
  </r>
  <r>
    <x v="1"/>
    <x v="7"/>
    <s v="cielo_movimenta_comunidade-comportamental-large_rectangle-336x280-marca-cpm-cielo_movimenta_comunidade_loggi-tag"/>
    <n v="6245203"/>
    <n v="242479"/>
  </r>
  <r>
    <x v="1"/>
    <x v="7"/>
    <s v="cielo_movimenta_comunidade-comportamental-large_rectangle-336x280-marca-cpm-cielo_movimenta_comunidade_olx-tag"/>
    <n v="303627"/>
    <n v="16645"/>
  </r>
  <r>
    <x v="1"/>
    <x v="7"/>
    <s v="cielo_movimenta_comunidade-comportamental-large_rectangle-336x280-marca-cpm-cielo_movimenta_comunidade_olx_cadastro-tag"/>
    <n v="809443"/>
    <n v="14400"/>
  </r>
  <r>
    <x v="1"/>
    <x v="7"/>
    <s v="cielo_movimenta_comunidade-comportamental-large_rectangle-336x280-marca-cpm-comunidade_generica-tag"/>
    <n v="1135205"/>
    <n v="27481"/>
  </r>
  <r>
    <x v="1"/>
    <x v="7"/>
    <s v="Default_728x90"/>
    <n v="3"/>
    <n v="0"/>
  </r>
  <r>
    <x v="1"/>
    <x v="7"/>
    <s v="cielo_movimenta_comunidade-comportamental-leaderboard-728x90-marca-cpm-cielo_movimenta_comunidade_loggi-tag"/>
    <n v="5783654"/>
    <n v="7536"/>
  </r>
  <r>
    <x v="1"/>
    <x v="7"/>
    <s v="cielo_movimenta_comunidade-comportamental-leaderboard-728x90-marca-cpm-cielo_movimenta_comunidade_olx-tag"/>
    <n v="323784"/>
    <n v="778"/>
  </r>
  <r>
    <x v="1"/>
    <x v="7"/>
    <s v="cielo_movimenta_comunidade-comportamental-leaderboard-728x90-marca-cpm-cielo_movimenta_comunidade_olx_cadastro-tag"/>
    <n v="148665"/>
    <n v="565"/>
  </r>
  <r>
    <x v="1"/>
    <x v="7"/>
    <s v="cielo_movimenta_comunidade-comportamental-leaderboard-728x90-marca-cpm-comunidade_generica-tag"/>
    <n v="2532804"/>
    <n v="6910"/>
  </r>
  <r>
    <x v="1"/>
    <x v="7"/>
    <s v="cielo_movimenta_comunidade-comportamental-leaderboard-728x90-marca-cpm-movimenta_comu_olxmaes-tag"/>
    <n v="143307"/>
    <n v="563"/>
  </r>
  <r>
    <x v="1"/>
    <x v="7"/>
    <s v="cielo_movimenta_comunidade-comportamental-leaderboard-728x90-marca-cpm-movimenta_comu_olxmaes-tag"/>
    <n v="264704"/>
    <n v="1056"/>
  </r>
  <r>
    <x v="1"/>
    <x v="7"/>
    <s v="Default_300x250"/>
    <n v="2"/>
    <n v="0"/>
  </r>
  <r>
    <x v="1"/>
    <x v="7"/>
    <s v="cielo_movimenta_comunidade-comportamental-medium_rectangle-300x250-marca-cpm-cielo_movimenta_comunidade_loggi-tag"/>
    <n v="13498206"/>
    <n v="44710"/>
  </r>
  <r>
    <x v="1"/>
    <x v="7"/>
    <s v="cielo_movimenta_comunidade-comportamental-medium_rectangle-300x250-marca-cpm-cielo_movimenta_comunidade_olx-tag"/>
    <n v="1196218"/>
    <n v="5866"/>
  </r>
  <r>
    <x v="1"/>
    <x v="7"/>
    <s v="cielo_movimenta_comunidade-comportamental-medium_rectangle-300x250-marca-cpm-cielo_movimenta_comunidade_olx_cadastro-tag"/>
    <n v="164163"/>
    <n v="297"/>
  </r>
  <r>
    <x v="1"/>
    <x v="7"/>
    <s v="Default_300x250"/>
    <n v="1"/>
    <n v="0"/>
  </r>
  <r>
    <x v="1"/>
    <x v="7"/>
    <s v="cielo_movimenta_comunidade-comportamental-medium_rectangle-300x250-marca-cpm-comunidade_generica-tag"/>
    <n v="5548683"/>
    <n v="32391"/>
  </r>
  <r>
    <x v="1"/>
    <x v="7"/>
    <s v="Default_300x250"/>
    <n v="1"/>
    <n v="0"/>
  </r>
  <r>
    <x v="1"/>
    <x v="7"/>
    <s v="cielo_movimenta_comunidade-comportamental-medium_rectangle-300x250-marca-cpm-movimenta_comu_olxmaes-tag"/>
    <n v="995934"/>
    <n v="3615"/>
  </r>
  <r>
    <x v="1"/>
    <x v="7"/>
    <s v="cielo_movimenta_comunidade-comportamental-medium_rectangle-300x250-marca-cpm-movimenta_comu_olxmaes-tag"/>
    <n v="1860010"/>
    <n v="16440"/>
  </r>
  <r>
    <x v="1"/>
    <x v="7"/>
    <s v="Default_320x50"/>
    <n v="3"/>
    <n v="0"/>
  </r>
  <r>
    <x v="1"/>
    <x v="7"/>
    <s v="cielo_movimenta_comunidade-comportamental-mobile_leaderboard-320x50-marca-cpm-cielo_movimenta_comunidade_loggi-tag"/>
    <n v="30450395"/>
    <n v="175778"/>
  </r>
  <r>
    <x v="1"/>
    <x v="7"/>
    <s v="cielo_movimenta_comunidade-comportamental-mobile_leaderboard-320x50-marca-cpm-cielo_movimenta_comunidade_olx-tag"/>
    <n v="6777044"/>
    <n v="59671"/>
  </r>
  <r>
    <x v="1"/>
    <x v="7"/>
    <s v="cielo_movimenta_comunidade-comportamental-mobile_leaderboard-320x50-marca-cpm-cielo_movimenta_comunidade_olx_cadastro-tag"/>
    <n v="388600"/>
    <n v="2883"/>
  </r>
  <r>
    <x v="1"/>
    <x v="7"/>
    <s v="Default_320x50"/>
    <n v="1"/>
    <n v="0"/>
  </r>
  <r>
    <x v="1"/>
    <x v="7"/>
    <s v="cielo_movimenta_comunidade-comportamental-mobile_leaderboard-320x50-marca-cpm-comunidade_generica-tag"/>
    <n v="13740776"/>
    <n v="109098"/>
  </r>
  <r>
    <x v="1"/>
    <x v="7"/>
    <s v="Default_320x50"/>
    <n v="1"/>
    <n v="0"/>
  </r>
  <r>
    <x v="1"/>
    <x v="7"/>
    <s v="cielo_movimenta_comunidade-comportamental-mobile_leaderboard-320x50-marca-cpm-movimenta_comu_olxmaes-tag"/>
    <n v="3296901"/>
    <n v="12957"/>
  </r>
  <r>
    <x v="1"/>
    <x v="7"/>
    <s v="cielo_movimenta_comunidade-comportamental-mobile_leaderboard-320x50-marca-cpm-movimenta_comu_olxmaes-tag"/>
    <n v="3282080"/>
    <n v="11736"/>
  </r>
  <r>
    <x v="1"/>
    <x v="7"/>
    <s v="cielo_movimenta_comunidade-comportamental-skyscraper-160x600-marca-cpm-cielo_movimenta_comunidade_loggi-tag"/>
    <n v="1841737"/>
    <n v="861"/>
  </r>
  <r>
    <x v="1"/>
    <x v="7"/>
    <s v="cielo_movimenta_comunidade-comportamental-skyscraper-160x600-marca-cpm-cielo_movimenta_comunidade_olx-tag"/>
    <n v="53351"/>
    <n v="32"/>
  </r>
  <r>
    <x v="1"/>
    <x v="7"/>
    <s v="cielo_movimenta_comunidade-comportamental-skyscraper-160x600-marca-cpm-cielo_movimenta_comunidade_olx_cadastro-tag"/>
    <n v="33158"/>
    <n v="9"/>
  </r>
  <r>
    <x v="1"/>
    <x v="7"/>
    <s v="cielo_movimenta_comunidade-comportamental-skyscraper-160x600-marca-cpm-comunidade_generica-tag"/>
    <n v="2123394"/>
    <n v="916"/>
  </r>
  <r>
    <x v="1"/>
    <x v="7"/>
    <s v="cielo_movimenta_comunidade-comportamental-skyscraper-160x600-marca-cpm-movimenta_comu_olxmaes-tag"/>
    <n v="56573"/>
    <n v="41"/>
  </r>
  <r>
    <x v="1"/>
    <x v="7"/>
    <s v="cielo_movimenta_comunidade-comportamental-skyscraper-160x600-marca-cpm-movimenta_comu_olxmaes-tag"/>
    <n v="43648"/>
    <n v="33"/>
  </r>
  <r>
    <x v="1"/>
    <x v="7"/>
    <s v="cielo_movimenta_comunidade-comportamental-small_rectangle-180x150-marca-cpm-cielo_movimenta_comunidade_loggi-tag"/>
    <n v="60927"/>
    <n v="585"/>
  </r>
  <r>
    <x v="1"/>
    <x v="7"/>
    <s v="cielo_movimenta_comunidade-comportamental-small_rectangle-180x150-marca-cpm-cielo_movimenta_comunidade_olx-tag"/>
    <n v="49807"/>
    <n v="93"/>
  </r>
  <r>
    <x v="1"/>
    <x v="7"/>
    <s v="cielo_movimenta_comunidade-comportamental-small_rectangle-180x150-marca-cpm-cielo_movimenta_comunidade_olx_cadastro-tag"/>
    <n v="8764"/>
    <n v="7"/>
  </r>
  <r>
    <x v="1"/>
    <x v="7"/>
    <s v="cielo_movimenta_comunidade-comportamental-small_rectangle-180x150-marca-cpm-comunidade_generica-tag"/>
    <n v="72514"/>
    <n v="655"/>
  </r>
  <r>
    <x v="1"/>
    <x v="7"/>
    <s v="cielo_movimenta_comunidade-comportamental-small_rectangle-180x150-marca-cpm-movimenta_comu_olxmaes-tag"/>
    <n v="12108"/>
    <n v="12"/>
  </r>
  <r>
    <x v="1"/>
    <x v="7"/>
    <s v="cielo_movimenta_comunidade-comportamental-small_rectangle-180x150-marca-cpm-movimenta_comu_olxmaes-tag"/>
    <n v="5532"/>
    <n v="2"/>
  </r>
  <r>
    <x v="1"/>
    <x v="7"/>
    <s v="Tracking"/>
    <n v="0"/>
    <n v="1"/>
  </r>
  <r>
    <x v="1"/>
    <x v="7"/>
    <s v="Tracking"/>
    <n v="0"/>
    <n v="1"/>
  </r>
  <r>
    <x v="1"/>
    <x v="7"/>
    <s v="Tracking"/>
    <n v="0"/>
    <n v="2"/>
  </r>
  <r>
    <x v="1"/>
    <x v="7"/>
    <s v="cielo_movimenta_comunidade-comportamental-native-627x627-marca-cpm-cielo_movimenta_comunidade_loggi-tag"/>
    <n v="2"/>
    <n v="1"/>
  </r>
  <r>
    <x v="1"/>
    <x v="7"/>
    <s v="Tracking"/>
    <n v="0"/>
    <n v="1"/>
  </r>
  <r>
    <x v="1"/>
    <x v="7"/>
    <s v="Tracking"/>
    <n v="0"/>
    <n v="2"/>
  </r>
  <r>
    <x v="1"/>
    <x v="7"/>
    <s v="Tracking"/>
    <n v="0"/>
    <n v="1"/>
  </r>
  <r>
    <x v="1"/>
    <x v="7"/>
    <s v="Tracking"/>
    <n v="0"/>
    <n v="5"/>
  </r>
  <r>
    <x v="1"/>
    <x v="7"/>
    <s v="cielo_movimenta_comunidade-comportamental-super_banner-300x250-marca-cpm-comunidade_generica-tag"/>
    <n v="1915630"/>
    <n v="1942"/>
  </r>
  <r>
    <x v="1"/>
    <x v="7"/>
    <s v="cielo_movimenta_comunidade-comportamental-arroba_banner-300x250-marca-cpm-cielo_movimenta_comunidade_olx_cadastro-tag"/>
    <n v="687434"/>
    <n v="593"/>
  </r>
  <r>
    <x v="1"/>
    <x v="7"/>
    <s v="Default_300x250"/>
    <n v="1"/>
    <n v="0"/>
  </r>
  <r>
    <x v="1"/>
    <x v="7"/>
    <s v="cielo_movimenta_comunidade-comportamental-arroba_banner-300x250-marca-cpm-cielo_movimenta_comunidade_olx_loja-tag"/>
    <n v="1018986"/>
    <n v="802"/>
  </r>
  <r>
    <x v="1"/>
    <x v="7"/>
    <s v="cielo_movimenta_comunidade-comportamental-arroba_banner-300x250-marca-cpm-cielo_movimenta_comunidade_olxmaes_cadastro-tag"/>
    <n v="983817"/>
    <n v="766"/>
  </r>
  <r>
    <x v="1"/>
    <x v="7"/>
    <s v="cielo_movimenta_comunidade-comportamental-arroba_banner-300x250-marca-cpm-cielo_movimenta_comunidade_olxmaes_loja-tag"/>
    <n v="964759"/>
    <n v="803"/>
  </r>
  <r>
    <x v="1"/>
    <x v="7"/>
    <s v="cielo_movimenta_comunidade-comportamental-half_page-300x600-marca-cpm-cielo_movimenta_comunidade_olx_cadastro-tag"/>
    <n v="42303"/>
    <n v="10"/>
  </r>
  <r>
    <x v="1"/>
    <x v="7"/>
    <s v="cielo_movimenta_comunidade-comportamental-half_page-300x600-marca-cpm-cielo_movimenta_comunidade_olx_loja-tag"/>
    <n v="28871"/>
    <n v="3"/>
  </r>
  <r>
    <x v="1"/>
    <x v="7"/>
    <s v="cielo_movimenta_comunidade-comportamental-half_page-300x600-marca-cpm-cielo_movimenta_comunidade_olxmaes_cadastro-tag"/>
    <n v="2"/>
    <n v="0"/>
  </r>
  <r>
    <x v="1"/>
    <x v="7"/>
    <s v="cielo_movimenta_comunidade-comportamental-half_page-300x600-marca-cpm-cielo_movimenta_comunidade_olxmaes_loja-tag"/>
    <n v="2"/>
    <n v="1"/>
  </r>
  <r>
    <x v="1"/>
    <x v="7"/>
    <s v="cielo_movimenta_comunidade-comportamental-medium_rectangle-320x50-marca-cpm-cielo_movimenta_comunidade_olx_cadastro-tag"/>
    <n v="570730"/>
    <n v="75"/>
  </r>
  <r>
    <x v="1"/>
    <x v="7"/>
    <s v="cielo_movimenta_comunidade-comportamental-medium_rectangle-320x50-marca-cpm-cielo_movimenta_comunidade_olx_loja-tag"/>
    <n v="500371"/>
    <n v="56"/>
  </r>
  <r>
    <x v="1"/>
    <x v="7"/>
    <s v="cielo_movimenta_comunidade-comportamental-medium_rectangle-320x50-marca-cpm-cielo_movimenta_comunidade_olxmaes_cadastro-tag"/>
    <n v="164433"/>
    <n v="20"/>
  </r>
  <r>
    <x v="1"/>
    <x v="7"/>
    <s v="cielo_movimenta_comunidade-comportamental-medium_rectangle-320x50-marca-cpm-cielo_movimenta_comunidade_olxmaes_loja-tag"/>
    <n v="188057"/>
    <n v="23"/>
  </r>
  <r>
    <x v="1"/>
    <x v="7"/>
    <s v="Tracking"/>
    <n v="0"/>
    <n v="1"/>
  </r>
  <r>
    <x v="1"/>
    <x v="7"/>
    <s v="Tracking"/>
    <n v="0"/>
    <n v="1"/>
  </r>
  <r>
    <x v="1"/>
    <x v="7"/>
    <s v="Tracking"/>
    <n v="0"/>
    <n v="1"/>
  </r>
  <r>
    <x v="1"/>
    <x v="7"/>
    <s v="Tracking"/>
    <n v="0"/>
    <n v="1"/>
  </r>
  <r>
    <x v="1"/>
    <x v="7"/>
    <s v="cielo_movimenta_comunidade-comportamental-bilboard-970x250-marca-cpm-cielo_movimenta_comunidade_loggi-tag"/>
    <n v="405922"/>
    <n v="313"/>
  </r>
  <r>
    <x v="1"/>
    <x v="7"/>
    <s v="cielo_movimenta_comunidade-comportamental-bilboard-970x250-marca-cpm-comunidade_generica-tag"/>
    <n v="109385"/>
    <n v="97"/>
  </r>
  <r>
    <x v="1"/>
    <x v="7"/>
    <s v="cielo_movimenta_comunidade-comportamental-bilboard-970x250-marca-cpm-movimenta_comu_olxmaes-tag"/>
    <n v="101691"/>
    <n v="100"/>
  </r>
  <r>
    <x v="1"/>
    <x v="7"/>
    <s v="cielo_movimenta_comunidade-comportamental-bilboard-970x250-marca-cpm-movimenta_comu_olxmaes-tag"/>
    <n v="82195"/>
    <n v="75"/>
  </r>
  <r>
    <x v="1"/>
    <x v="7"/>
    <s v="cielo_movimenta_comunidade-comportamental-half_page-300x600-marca-cpm-cielo_movimenta_comunidade_loggi-tag"/>
    <n v="1925794"/>
    <n v="974"/>
  </r>
  <r>
    <x v="1"/>
    <x v="7"/>
    <s v="cielo_movimenta_comunidade-comportamental-half_page-300x600-marca-cpm-comunidade_generica-tag"/>
    <n v="505190"/>
    <n v="317"/>
  </r>
  <r>
    <x v="1"/>
    <x v="7"/>
    <s v="cielo_movimenta_comunidade-comportamental-half_page-300x600-marca-cpm-movimenta_comu_olxmaes-tag"/>
    <n v="471748"/>
    <n v="429"/>
  </r>
  <r>
    <x v="1"/>
    <x v="7"/>
    <s v="cielo_movimenta_comunidade-comportamental-half_page-300x600-marca-cpm-movimenta_comu_olxmaes-tag"/>
    <n v="305967"/>
    <n v="715"/>
  </r>
  <r>
    <x v="1"/>
    <x v="7"/>
    <s v="cielo_movimenta_comunidade-comportamental-leaderboard-728x90-marca-cpm-cielo_movimenta_comunidade_loggi-tag"/>
    <n v="1891464"/>
    <n v="7116"/>
  </r>
  <r>
    <x v="1"/>
    <x v="7"/>
    <s v="cielo_movimenta_comunidade-comportamental-leaderboard-728x90-marca-cpm-comunidade_generica-tag"/>
    <n v="1868022"/>
    <n v="5668"/>
  </r>
  <r>
    <x v="1"/>
    <x v="7"/>
    <s v="cielo_movimenta_comunidade-comportamental-leaderboard-728x90-marca-cpm-movimenta_comu_olxmaes-tag"/>
    <n v="1063713"/>
    <n v="4161"/>
  </r>
  <r>
    <x v="1"/>
    <x v="7"/>
    <s v="cielo_movimenta_comunidade-comportamental-leaderboard-728x90-marca-cpm-movimenta_comu_olxmaes-tag"/>
    <n v="1456433"/>
    <n v="6110"/>
  </r>
  <r>
    <x v="1"/>
    <x v="7"/>
    <s v="cielo_movimenta_comunidade-comportamental-medium_rectangle-300x250-marca-cpm-cielo_movimenta_comunidade_loggi-tag"/>
    <n v="920427"/>
    <n v="2223"/>
  </r>
  <r>
    <x v="1"/>
    <x v="7"/>
    <s v="cielo_movimenta_comunidade-comportamental-medium_rectangle-300x250-marca-cpm-comunidade_generica-tag"/>
    <n v="799455"/>
    <n v="1225"/>
  </r>
  <r>
    <x v="1"/>
    <x v="7"/>
    <s v="cielo_movimenta_comunidade-comportamental-medium_rectangle-300x250-marca-cpm-movimenta_comu_olxmaes-tag"/>
    <n v="575668"/>
    <n v="2427"/>
  </r>
  <r>
    <x v="1"/>
    <x v="7"/>
    <s v="cielo_movimenta_comunidade-comportamental-medium_rectangle-300x250-marca-cpm-movimenta_comu_olxmaes-tag"/>
    <n v="758370"/>
    <n v="5184"/>
  </r>
  <r>
    <x v="1"/>
    <x v="7"/>
    <s v="Default_320x50"/>
    <n v="1"/>
    <n v="0"/>
  </r>
  <r>
    <x v="1"/>
    <x v="7"/>
    <s v="cielo_movimenta_comunidade-comportamental-mobile_leaderboard-320x50-marca-cpm-cielo_movimenta_comunidade_loggi-tag"/>
    <n v="5323071"/>
    <n v="20240"/>
  </r>
  <r>
    <x v="1"/>
    <x v="7"/>
    <s v="Default_320x50"/>
    <n v="1"/>
    <n v="0"/>
  </r>
  <r>
    <x v="1"/>
    <x v="7"/>
    <s v="cielo_movimenta_comunidade-comportamental-mobile_leaderboard-320x50-marca-cpm-comunidade_generica-tag"/>
    <n v="4993934"/>
    <n v="15853"/>
  </r>
  <r>
    <x v="1"/>
    <x v="7"/>
    <s v="cielo_movimenta_comunidade-comportamental-mobile_leaderboard-320x50-marca-cpm-movimenta_comu_olxmaes-tag"/>
    <n v="2603438"/>
    <n v="10133"/>
  </r>
  <r>
    <x v="1"/>
    <x v="7"/>
    <s v="cielo_movimenta_comunidade-comportamental-mobile_leaderboard-320x50-marca-cpm-movimenta_comu_olxmaes-tag"/>
    <n v="3300428"/>
    <n v="15285"/>
  </r>
  <r>
    <x v="1"/>
    <x v="7"/>
    <s v="cielo_movimenta_comunidade-comportamental-skyscraper-160x600-marca-cpm-cielo_movimenta_comunidade_loggi-tag"/>
    <n v="2349374"/>
    <n v="2287"/>
  </r>
  <r>
    <x v="1"/>
    <x v="7"/>
    <s v="cielo_movimenta_comunidade-comportamental-skyscraper-160x600-marca-cpm-cielo_movimenta_comunidade_olx-tag"/>
    <n v="1"/>
    <n v="0"/>
  </r>
  <r>
    <x v="1"/>
    <x v="7"/>
    <s v="cielo_movimenta_comunidade-comportamental-skyscraper-160x600-marca-cpm-cielo_movimenta_comunidade_olx_cadastro-tag"/>
    <n v="1"/>
    <n v="1"/>
  </r>
  <r>
    <x v="1"/>
    <x v="7"/>
    <s v="cielo_movimenta_comunidade-comportamental-skyscraper-160x600-marca-cpm-comunidade_generica-tag"/>
    <n v="1646725"/>
    <n v="1623"/>
  </r>
  <r>
    <x v="1"/>
    <x v="7"/>
    <s v="cielo_movimenta_comunidade-comportamental-skyscraper-160x600-marca-cpm-movimenta_comu_olxmaes-tag"/>
    <n v="1037628"/>
    <n v="946"/>
  </r>
  <r>
    <x v="1"/>
    <x v="7"/>
    <s v="cielo_movimenta_comunidade-comportamental-skyscraper-160x600-marca-cpm-movimenta_comu_olxmaes-tag"/>
    <n v="1095569"/>
    <n v="912"/>
  </r>
  <r>
    <x v="1"/>
    <x v="7"/>
    <s v="Tracking"/>
    <n v="3244427"/>
    <n v="15543"/>
  </r>
  <r>
    <x v="1"/>
    <x v="7"/>
    <s v="Tracking"/>
    <n v="1556333"/>
    <n v="12832"/>
  </r>
  <r>
    <x v="1"/>
    <x v="7"/>
    <s v="Tracking"/>
    <n v="452952"/>
    <n v="1351"/>
  </r>
  <r>
    <x v="1"/>
    <x v="7"/>
    <s v="Tracking"/>
    <n v="0"/>
    <n v="2"/>
  </r>
  <r>
    <x v="1"/>
    <x v="7"/>
    <s v="Tracking"/>
    <n v="0"/>
    <n v="3"/>
  </r>
  <r>
    <x v="1"/>
    <x v="7"/>
    <s v="Tracking"/>
    <n v="859102"/>
    <n v="6239"/>
  </r>
  <r>
    <x v="1"/>
    <x v="7"/>
    <s v="Tracking"/>
    <n v="0"/>
    <n v="896487"/>
  </r>
  <r>
    <x v="1"/>
    <x v="7"/>
    <s v="Tracking"/>
    <n v="10801537"/>
    <n v="65937"/>
  </r>
  <r>
    <x v="1"/>
    <x v="7"/>
    <s v="Tracking"/>
    <n v="0"/>
    <n v="1"/>
  </r>
  <r>
    <x v="1"/>
    <x v="7"/>
    <s v="Tracking"/>
    <n v="0"/>
    <n v="1"/>
  </r>
  <r>
    <x v="1"/>
    <x v="7"/>
    <s v="Tracking"/>
    <n v="0"/>
    <n v="1"/>
  </r>
  <r>
    <x v="1"/>
    <x v="8"/>
    <s v="cnn-comportamental-arroba_banner-300x250-marca-cpm-cnn_cielo_movimenta_superlink-tag"/>
    <n v="167590"/>
    <n v="68"/>
  </r>
  <r>
    <x v="1"/>
    <x v="8"/>
    <s v="cnn-comportamental-arroba_banner-300x250-marca-cpm-cnn_cielo_sebrae-tag"/>
    <n v="310"/>
    <n v="0"/>
  </r>
  <r>
    <x v="1"/>
    <x v="8"/>
    <s v="cnn-comportamental-arroba_banner-300x250-marca-cpm-cnn_cielo_sebrae-tag"/>
    <n v="185"/>
    <n v="5"/>
  </r>
  <r>
    <x v="1"/>
    <x v="8"/>
    <s v="cnn-comportamental-arroba_banner-300x250-marca-cpm-cnn_cielo_superlink_diaria1506-tag"/>
    <n v="338129"/>
    <n v="136"/>
  </r>
  <r>
    <x v="1"/>
    <x v="8"/>
    <s v="cnn-comportamental-bilboard-970x250-marca-cpm-cnn_cielo_farol-tag"/>
    <n v="3900"/>
    <n v="5"/>
  </r>
  <r>
    <x v="1"/>
    <x v="8"/>
    <s v="cnn-comportamental-bilboard-970x250-marca-cpm-cnn_cielo_movimenta_superlink-tag"/>
    <n v="19790"/>
    <n v="25"/>
  </r>
  <r>
    <x v="1"/>
    <x v="8"/>
    <s v="cnn-comportamental-bilboard-970x250-marca-cpm-cnn_cielo_sebrae-tag"/>
    <n v="203"/>
    <n v="5"/>
  </r>
  <r>
    <x v="1"/>
    <x v="8"/>
    <s v="cnn-comportamental-bilboard-970x250-marca-cpm-cnn_cielo_sebrae-tag"/>
    <n v="233"/>
    <n v="1"/>
  </r>
  <r>
    <x v="1"/>
    <x v="8"/>
    <s v="cnn-comportamental-bilboard-970x250-marca-cpm-cnn_cielo_superlink_diaria1506-tag"/>
    <n v="80741"/>
    <n v="72"/>
  </r>
  <r>
    <x v="1"/>
    <x v="8"/>
    <s v="cnn-comportamental-halfpage-300x600-marca-cpm-cnn_cielo_farol-tag"/>
    <n v="4647"/>
    <n v="7"/>
  </r>
  <r>
    <x v="1"/>
    <x v="8"/>
    <s v="cnn-comportamental-halfpage-300x600-marca-cpm-cnn_cielo_movimenta_superlink-tag"/>
    <n v="27636"/>
    <n v="24"/>
  </r>
  <r>
    <x v="1"/>
    <x v="8"/>
    <s v="cnn-comportamental-halfpage-300x600-marca-cpm-cnn_cielo_sebrae-tag"/>
    <n v="3331"/>
    <n v="4"/>
  </r>
  <r>
    <x v="1"/>
    <x v="8"/>
    <s v="cnn-comportamental-halfpage-300x600-marca-cpm-cnn_cielo_sebrae-tag"/>
    <n v="2276"/>
    <n v="3"/>
  </r>
  <r>
    <x v="1"/>
    <x v="8"/>
    <s v="cnn-comportamental-leaderboard-728x90-marca-cpm-cnn_cielo_farol-tag"/>
    <n v="1745"/>
    <n v="1"/>
  </r>
  <r>
    <x v="1"/>
    <x v="8"/>
    <s v="cnn-comportamental-leaderboard-728x90-marca-cpm-cnn_cielo_movimenta_superlink-tag"/>
    <n v="12108"/>
    <n v="3"/>
  </r>
  <r>
    <x v="1"/>
    <x v="8"/>
    <s v="cnn-comportamental-leaderboard-728x90-marca-cpm-cnn_cielo_sebrae-tag"/>
    <n v="215"/>
    <n v="2"/>
  </r>
  <r>
    <x v="1"/>
    <x v="8"/>
    <s v="cnn-comportamental-leaderboard-728x90-marca-cpm-cnn_cielo_sebrae-tag"/>
    <n v="187"/>
    <n v="0"/>
  </r>
  <r>
    <x v="1"/>
    <x v="8"/>
    <s v="cnn-comportamental-leaderboard-728x90-marca-cpm-cnn_cielo_superlink_diaria1506-tag"/>
    <n v="53338"/>
    <n v="20"/>
  </r>
  <r>
    <x v="1"/>
    <x v="8"/>
    <s v="cnn-comportamental-mobile-320x50-marca-cpm-cnn_cielo_farol-tag"/>
    <n v="67373"/>
    <n v="240"/>
  </r>
  <r>
    <x v="1"/>
    <x v="8"/>
    <s v="cnn-comportamental-mobile-320x50-marca-cpm-cnn_cielo_movimenta_superlink-tag"/>
    <n v="347972"/>
    <n v="1230"/>
  </r>
  <r>
    <x v="1"/>
    <x v="8"/>
    <s v="cnn-comportamental-mobile-320x50-marca-cpm-cnn_cielo_sebrae-tag"/>
    <n v="12382"/>
    <n v="44"/>
  </r>
  <r>
    <x v="1"/>
    <x v="8"/>
    <s v="cnn-comportamental-mobile-320x50-marca-cpm-cnn_cielo_sebrae-tag"/>
    <n v="11725"/>
    <n v="40"/>
  </r>
  <r>
    <x v="1"/>
    <x v="8"/>
    <s v="cnn-comportamental-mobile-320x50-marca-cpm-cnn_cielo_superlink_diaria1506-tag"/>
    <n v="244309"/>
    <n v="417"/>
  </r>
  <r>
    <x v="1"/>
    <x v="8"/>
    <s v="cnn-comportamental-super_banner-300x250-marca-cpm-cnn_cielo_farol-tag"/>
    <n v="38902"/>
    <n v="18"/>
  </r>
  <r>
    <x v="1"/>
    <x v="9"/>
    <s v="corona_voucher-comportamental-pre_roll-1920x1080-marca-cpm-video_hero_30s-tag"/>
    <n v="25985"/>
    <n v="75"/>
  </r>
  <r>
    <x v="1"/>
    <x v="9"/>
    <s v="corona_voucher-comportamental-pre_roll-1920x1080-marca-cpm-video_hero_30s-tag"/>
    <n v="84173"/>
    <n v="17"/>
  </r>
  <r>
    <x v="1"/>
    <x v="9"/>
    <s v="corona_voucher-comportamental-pre_roll-1920x1080-marca-cpm-video_hero_30s-tag"/>
    <n v="98376"/>
    <n v="122"/>
  </r>
  <r>
    <x v="1"/>
    <x v="9"/>
    <s v="corona_voucher-comportamental-pre_roll-1920x1080-marca-cpm-video_hero_30s-tag"/>
    <n v="47320"/>
    <n v="1478"/>
  </r>
  <r>
    <x v="1"/>
    <x v="10"/>
    <s v="Tracking"/>
    <n v="2"/>
    <n v="1"/>
  </r>
  <r>
    <x v="1"/>
    <x v="10"/>
    <s v="covid19-comportamental-leaderboard-728x90-marca-cpm-institucional_corona-tag"/>
    <n v="8"/>
    <n v="1"/>
  </r>
  <r>
    <x v="1"/>
    <x v="10"/>
    <s v="covid19-comportamental-medium_rectangle-300x250-marca-cpm-institucional_corona-tag"/>
    <n v="15"/>
    <n v="3"/>
  </r>
  <r>
    <x v="1"/>
    <x v="10"/>
    <s v="covid19-comportamental-mobile_leaderboard-320x50-marca-cpm-institucional_corona-tag"/>
    <n v="12"/>
    <n v="1"/>
  </r>
  <r>
    <x v="1"/>
    <x v="10"/>
    <s v="covid19-comportamental-skyscraper-300x600-marca-cpm-institucional_corona-tag"/>
    <n v="8"/>
    <n v="2"/>
  </r>
  <r>
    <x v="1"/>
    <x v="10"/>
    <s v="Tracking"/>
    <n v="1635"/>
    <n v="45"/>
  </r>
  <r>
    <x v="1"/>
    <x v="11"/>
    <s v="empreendedores-cons-halfpage-300x600-flash_atendimento-cpm"/>
    <n v="74265"/>
    <n v="1517"/>
  </r>
  <r>
    <x v="1"/>
    <x v="11"/>
    <s v="empreendedores-cons-large_rectangle-336x280-flash_atendimento-cpm"/>
    <n v="190904"/>
    <n v="1020"/>
  </r>
  <r>
    <x v="1"/>
    <x v="11"/>
    <s v="empreendedores-cons-medium_rectangle-300x250-flash_atendimento-cpm"/>
    <n v="313292"/>
    <n v="821"/>
  </r>
  <r>
    <x v="1"/>
    <x v="11"/>
    <s v="empreendedores-cons-mobile_leaderboard-320x50-flash_atendimento-cpm"/>
    <n v="198618"/>
    <n v="674"/>
  </r>
  <r>
    <x v="1"/>
    <x v="11"/>
    <s v="empreendedores-cons-halfpage-300x600-zip_bandeiras-cpm"/>
    <n v="35817"/>
    <n v="141"/>
  </r>
  <r>
    <x v="1"/>
    <x v="11"/>
    <s v="empreendedores-cons-large_rectangle-336x280-zip_bandeiras-cpm"/>
    <n v="262613"/>
    <n v="1200"/>
  </r>
  <r>
    <x v="1"/>
    <x v="11"/>
    <s v="empreendedores-cons-medium_rectangle-300x250-zip_bandeiras-cpm"/>
    <n v="265083"/>
    <n v="779"/>
  </r>
  <r>
    <x v="1"/>
    <x v="11"/>
    <s v="empreendedores-cons-mobile_leaderboard-320x50-zip_bandeiras-cpm"/>
    <n v="206708"/>
    <n v="767"/>
  </r>
  <r>
    <x v="1"/>
    <x v="11"/>
    <s v="empreendedores-cons-halfpage-300x600-flash_atendimento-cpm"/>
    <n v="1"/>
    <n v="0"/>
  </r>
  <r>
    <x v="1"/>
    <x v="11"/>
    <s v="empreendedores-cons-halfpage-300x600-flash_atendimento-cpm"/>
    <n v="262170"/>
    <n v="82"/>
  </r>
  <r>
    <x v="1"/>
    <x v="11"/>
    <s v="empreendedores-cons-leaderboard-728x90-flash_atendimento-cpm"/>
    <n v="190918"/>
    <n v="118"/>
  </r>
  <r>
    <x v="1"/>
    <x v="11"/>
    <s v="empreendedores-cons-medium_rectangle-300x250-flash_atendimento-cpm"/>
    <n v="1"/>
    <n v="0"/>
  </r>
  <r>
    <x v="1"/>
    <x v="11"/>
    <s v="empreendedores-cons-medium_rectangle-300x250-flash_atendimento-cpm"/>
    <n v="163093"/>
    <n v="65"/>
  </r>
  <r>
    <x v="1"/>
    <x v="11"/>
    <s v="empreendedores-cons-mobile_leaderboard-320x50-flash_atendimento-cpm"/>
    <n v="1"/>
    <n v="0"/>
  </r>
  <r>
    <x v="1"/>
    <x v="11"/>
    <s v="empreendedores-cons-mobile_leaderboard-320x50-flash_atendimento-cpm"/>
    <n v="172970"/>
    <n v="327"/>
  </r>
  <r>
    <x v="1"/>
    <x v="11"/>
    <s v="empreendedores-cons-wide_skyscraper-160x600-flash_atendimento-cpm"/>
    <n v="4"/>
    <n v="0"/>
  </r>
  <r>
    <x v="1"/>
    <x v="11"/>
    <s v="empreendedores-cons-wide_skyscraper-160x600-flash_atendimento-cpm"/>
    <n v="551184"/>
    <n v="334"/>
  </r>
  <r>
    <x v="1"/>
    <x v="11"/>
    <s v="Tracking"/>
    <n v="407375"/>
    <n v="5323"/>
  </r>
  <r>
    <x v="1"/>
    <x v="11"/>
    <s v="empreendedores-cons-halfpage-300x600-zip_bandeiras-cpm"/>
    <n v="1"/>
    <n v="0"/>
  </r>
  <r>
    <x v="1"/>
    <x v="11"/>
    <s v="empreendedores-cons-halfpage-300x600-zip_bandeiras-cpm"/>
    <n v="266510"/>
    <n v="91"/>
  </r>
  <r>
    <x v="1"/>
    <x v="11"/>
    <s v="empreendedores-cons-leaderboard-728x90-zip_bandeiras-cpm"/>
    <n v="2"/>
    <n v="0"/>
  </r>
  <r>
    <x v="1"/>
    <x v="11"/>
    <s v="empreendedores-cons-leaderboard-728x90-zip_bandeiras-cpm"/>
    <n v="192847"/>
    <n v="102"/>
  </r>
  <r>
    <x v="1"/>
    <x v="11"/>
    <s v="empreendedores-cons-medium_rectangle-300x250-zip_bandeiras-cpm"/>
    <n v="10"/>
    <n v="0"/>
  </r>
  <r>
    <x v="1"/>
    <x v="11"/>
    <s v="empreendedores-cons-medium_rectangle-300x250-zip_bandeiras-cpm"/>
    <n v="161926"/>
    <n v="62"/>
  </r>
  <r>
    <x v="1"/>
    <x v="11"/>
    <s v="empreendedores-cons-mobile_leaderboard-320x50-zip_bandeiras-cpm"/>
    <n v="6"/>
    <n v="0"/>
  </r>
  <r>
    <x v="1"/>
    <x v="11"/>
    <s v="empreendedores-cons-mobile_leaderboard-320x50-zip_bandeiras-cpm"/>
    <n v="165982"/>
    <n v="330"/>
  </r>
  <r>
    <x v="1"/>
    <x v="11"/>
    <s v="empreendedores-cons-wide_skyscraper-160x600-zip_bandeiras-cpm"/>
    <n v="1"/>
    <n v="0"/>
  </r>
  <r>
    <x v="1"/>
    <x v="11"/>
    <s v="empreendedores-cons-wide_skyscraper-160x600-zip_bandeiras-cpm"/>
    <n v="572592"/>
    <n v="387"/>
  </r>
  <r>
    <x v="1"/>
    <x v="11"/>
    <s v="Tracking"/>
    <n v="1350587"/>
    <n v="4054"/>
  </r>
  <r>
    <x v="1"/>
    <x v="11"/>
    <s v="Tracking"/>
    <n v="70523"/>
    <n v="994"/>
  </r>
  <r>
    <x v="1"/>
    <x v="11"/>
    <s v="Tracking"/>
    <n v="994782"/>
    <n v="4"/>
  </r>
  <r>
    <x v="1"/>
    <x v="11"/>
    <s v="empreendedores_cons_mobile_leaderboard_320x50_zip_taxa_zero_atendimento"/>
    <n v="1"/>
    <n v="0"/>
  </r>
  <r>
    <x v="1"/>
    <x v="12"/>
    <s v="Tracking"/>
    <n v="4603"/>
    <n v="2"/>
  </r>
  <r>
    <x v="1"/>
    <x v="12"/>
    <s v="Tracking"/>
    <n v="0"/>
    <n v="3"/>
  </r>
  <r>
    <x v="1"/>
    <x v="12"/>
    <s v="Tracking"/>
    <n v="438809"/>
    <n v="103"/>
  </r>
  <r>
    <x v="1"/>
    <x v="12"/>
    <s v="pegn-comportamental-maxiboard-970x150-marca-cpm-pegn_cielo_movimenta_baseig-tag"/>
    <n v="259469"/>
    <n v="63"/>
  </r>
  <r>
    <x v="1"/>
    <x v="12"/>
    <s v="pegn-comportamental-maxiboard-970x150-marca-cpm-pegn_cielo_movimenta_superlink-tag"/>
    <n v="877609"/>
    <n v="145"/>
  </r>
  <r>
    <x v="1"/>
    <x v="12"/>
    <s v="Tracking"/>
    <n v="34818"/>
    <n v="196"/>
  </r>
  <r>
    <x v="1"/>
    <x v="12"/>
    <s v="pegn-comportamental-medium_rectangle-300x250-marca-cpm-pegn_cielo_movimenta_baseig-tag"/>
    <n v="427984"/>
    <n v="822"/>
  </r>
  <r>
    <x v="1"/>
    <x v="12"/>
    <s v="pegn-comportamental-medium_rectangle-300x250-marca-cpm-pegn_cielo_movimenta_superlink-tag"/>
    <n v="641457"/>
    <n v="1266"/>
  </r>
  <r>
    <x v="1"/>
    <x v="12"/>
    <s v="pegn-comportamental-medium_rectangle-300x250-marca-cpm-pegn_cielo_sebrae-tag"/>
    <n v="2"/>
    <n v="2"/>
  </r>
  <r>
    <x v="1"/>
    <x v="12"/>
    <s v="Tracking"/>
    <n v="2199"/>
    <n v="22"/>
  </r>
  <r>
    <x v="1"/>
    <x v="12"/>
    <s v="pegn-comportamental-stick_ad-320x50-marca-cpm-pegn_cielo_movimenta_baseig-tag"/>
    <n v="11697"/>
    <n v="24"/>
  </r>
  <r>
    <x v="1"/>
    <x v="12"/>
    <s v="pegn-comportamental-stick_ad-320x50-marca-cpm-pegn_cielo_movimenta_superlink-tag"/>
    <n v="5256"/>
    <n v="60"/>
  </r>
  <r>
    <x v="1"/>
    <x v="12"/>
    <s v="pegn-comportamental-stick_ad-320x50-marca-cpm-pegn_cielo_sebrae-tag"/>
    <n v="2"/>
    <n v="2"/>
  </r>
  <r>
    <x v="1"/>
    <x v="12"/>
    <s v="Tracking"/>
    <n v="13418"/>
    <n v="23"/>
  </r>
  <r>
    <x v="1"/>
    <x v="12"/>
    <s v="Tracking"/>
    <n v="129101"/>
    <n v="2959"/>
  </r>
  <r>
    <x v="1"/>
    <x v="12"/>
    <s v="pegn-comportamental-pre_roll-1920x1080-marca-cpm-pegn_cielo_movimenta_superlink-tag"/>
    <n v="35050"/>
    <n v="688"/>
  </r>
  <r>
    <x v="1"/>
    <x v="12"/>
    <s v="Tracking"/>
    <n v="25"/>
    <n v="2"/>
  </r>
  <r>
    <x v="1"/>
    <x v="12"/>
    <s v="Tracking"/>
    <n v="14790"/>
    <n v="42"/>
  </r>
  <r>
    <x v="1"/>
    <x v="13"/>
    <s v="Tracking"/>
    <n v="7"/>
    <n v="0"/>
  </r>
  <r>
    <x v="1"/>
    <x v="13"/>
    <s v="Tracking"/>
    <n v="1"/>
    <n v="0"/>
  </r>
  <r>
    <x v="1"/>
    <x v="13"/>
    <s v="Tracking"/>
    <n v="3"/>
    <n v="0"/>
  </r>
  <r>
    <x v="1"/>
    <x v="13"/>
    <s v="Tracking"/>
    <n v="4"/>
    <n v="0"/>
  </r>
  <r>
    <x v="1"/>
    <x v="13"/>
    <s v="Tracking"/>
    <n v="1"/>
    <n v="0"/>
  </r>
  <r>
    <x v="1"/>
    <x v="13"/>
    <s v="Tracking"/>
    <n v="1"/>
    <n v="0"/>
  </r>
  <r>
    <x v="1"/>
    <x v="13"/>
    <s v="Tracking"/>
    <n v="20"/>
    <n v="0"/>
  </r>
  <r>
    <x v="1"/>
    <x v="13"/>
    <s v="Tracking"/>
    <n v="14"/>
    <n v="0"/>
  </r>
  <r>
    <x v="1"/>
    <x v="13"/>
    <s v="Tracking"/>
    <n v="7"/>
    <n v="0"/>
  </r>
  <r>
    <x v="1"/>
    <x v="13"/>
    <s v="Tracking"/>
    <n v="1"/>
    <n v="0"/>
  </r>
  <r>
    <x v="1"/>
    <x v="13"/>
    <s v="Tracking"/>
    <n v="5"/>
    <n v="0"/>
  </r>
  <r>
    <x v="1"/>
    <x v="13"/>
    <s v="Tracking"/>
    <n v="7"/>
    <n v="0"/>
  </r>
  <r>
    <x v="1"/>
    <x v="13"/>
    <s v="Tracking"/>
    <n v="0"/>
    <n v="1"/>
  </r>
  <r>
    <x v="1"/>
    <x v="13"/>
    <s v="Tracking"/>
    <n v="0"/>
    <n v="7"/>
  </r>
  <r>
    <x v="1"/>
    <x v="13"/>
    <s v="receba-rapido-comportamental-medium_rectangle-300x250-marca-cpm-receba_rapido_estoque-tag"/>
    <n v="1"/>
    <n v="0"/>
  </r>
  <r>
    <x v="1"/>
    <x v="13"/>
    <s v="receba-rapido-comportamental-mobile_leaderboard-320x50-marca-cpm-receba_rapido_estoque-tag"/>
    <n v="1"/>
    <n v="0"/>
  </r>
  <r>
    <x v="1"/>
    <x v="13"/>
    <s v="receba-rapido-comportamental-mobile_leaderboard-320x50-marca-cpm-receba_rapido_fluxo-tag"/>
    <n v="17"/>
    <n v="0"/>
  </r>
  <r>
    <x v="1"/>
    <x v="13"/>
    <s v="receba-rapido-comportamental-mobile_leaderboard-320x50-marca-cpm-receba_rapido_vendas-tag"/>
    <n v="1"/>
    <n v="0"/>
  </r>
  <r>
    <x v="1"/>
    <x v="13"/>
    <s v="receba-rapido-comportamental-wide_skyscraper-160x600-marca-cpm-receba_rapido_fluxo-tag"/>
    <n v="1"/>
    <n v="0"/>
  </r>
  <r>
    <x v="1"/>
    <x v="13"/>
    <s v="Tracking"/>
    <n v="23"/>
    <n v="0"/>
  </r>
  <r>
    <x v="1"/>
    <x v="14"/>
    <s v="Default_300x600"/>
    <n v="2"/>
    <n v="0"/>
  </r>
  <r>
    <x v="1"/>
    <x v="14"/>
    <s v="superlink-comportamental-halfpage-300x600-superlink-cpm-sl_luta_diaria-tag"/>
    <n v="750593"/>
    <n v="169"/>
  </r>
  <r>
    <x v="1"/>
    <x v="14"/>
    <s v="superlink-comportamental-leaderboard-728x90-superlink-cpm-sl_luta_diaria-tag"/>
    <n v="4589428"/>
    <n v="7213"/>
  </r>
  <r>
    <x v="1"/>
    <x v="14"/>
    <s v="superlink-comportamental-medium_rectangle-300x250-superlink-cpm-sl_luta_diaria-tag"/>
    <n v="1854201"/>
    <n v="816"/>
  </r>
  <r>
    <x v="1"/>
    <x v="14"/>
    <s v="Default_160x600"/>
    <n v="1"/>
    <n v="0"/>
  </r>
  <r>
    <x v="1"/>
    <x v="14"/>
    <s v="superlink-comportamental-skyscraper-160x600-superlink-cpm-sl_luta_diaria-tag"/>
    <n v="3078551"/>
    <n v="1447"/>
  </r>
  <r>
    <x v="1"/>
    <x v="14"/>
    <s v="Tracking"/>
    <n v="4585273"/>
    <n v="25387"/>
  </r>
  <r>
    <x v="1"/>
    <x v="15"/>
    <s v="Tracking"/>
    <n v="0"/>
    <n v="1"/>
  </r>
  <r>
    <x v="1"/>
    <x v="15"/>
    <s v="Tracking"/>
    <n v="0"/>
    <n v="3395"/>
  </r>
  <r>
    <x v="1"/>
    <x v="15"/>
    <s v="superlink-comportamental-billboard-970x250-superlink-cpm-sl_vendapelainternet_loggi_boost-tag"/>
    <n v="420489"/>
    <n v="178"/>
  </r>
  <r>
    <x v="1"/>
    <x v="15"/>
    <s v="superlink-comportamental-halfpage-300x600-superlink-cpm-sl_vendapelainternet_loggi_boost-tag"/>
    <n v="37987"/>
    <n v="8"/>
  </r>
  <r>
    <x v="1"/>
    <x v="15"/>
    <s v="superlink-comportamental-leaderboard-728x90-superlink-cpm-sl_vendapelainternet_loggi_boost-tag"/>
    <n v="10"/>
    <n v="1"/>
  </r>
  <r>
    <x v="1"/>
    <x v="15"/>
    <s v="Default_300x250"/>
    <n v="1"/>
    <n v="0"/>
  </r>
  <r>
    <x v="1"/>
    <x v="15"/>
    <s v="superlink-comportamental-medium_rectangle-300x250-superlink-cpm-sl_vendapelainternet_loggi_boost-tag"/>
    <n v="9541174"/>
    <n v="18723"/>
  </r>
  <r>
    <x v="1"/>
    <x v="15"/>
    <s v="superlink-comportamental-skyscraper-160x600-superlink-cpm-sl_vendapelainternet_loggi_boost-tag"/>
    <n v="2"/>
    <n v="1"/>
  </r>
  <r>
    <x v="1"/>
    <x v="16"/>
    <s v="Tracking"/>
    <n v="1"/>
    <n v="1"/>
  </r>
  <r>
    <x v="1"/>
    <x v="16"/>
    <s v="aquisicao-comportamental-leaderboard-728x90-marca-cpm-voce_e_cielo_stress-tag"/>
    <n v="1"/>
    <n v="0"/>
  </r>
  <r>
    <x v="1"/>
    <x v="16"/>
    <s v="Tracking"/>
    <n v="49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ADFFD-C2E2-4ED5-BF84-D4D72C04D891}" name="Tabela dinâ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gridDropZones="1" multipleFieldFilters="0">
  <location ref="A3:G16" firstHeaderRow="1" firstDataRow="1" firstDataCol="1"/>
  <pivotFields count="6">
    <pivotField compact="0" outline="0" showAll="0"/>
    <pivotField compact="0" outline="0" showAll="0"/>
    <pivotField compact="0" outline="0" showAll="0"/>
    <pivotField compact="0" outline="0" showAll="0">
      <items count="10">
        <item x="8"/>
        <item x="0"/>
        <item x="7"/>
        <item x="3"/>
        <item x="6"/>
        <item x="2"/>
        <item x="1"/>
        <item x="5"/>
        <item x="4"/>
        <item t="default"/>
      </items>
    </pivotField>
    <pivotField compact="0" numFmtId="3" outline="0" showAll="0"/>
    <pivotField compact="0" numFmtId="3" outline="0" showAll="0">
      <items count="166">
        <item x="15"/>
        <item x="12"/>
        <item x="20"/>
        <item x="14"/>
        <item x="13"/>
        <item x="72"/>
        <item x="22"/>
        <item x="17"/>
        <item x="21"/>
        <item x="78"/>
        <item x="71"/>
        <item x="29"/>
        <item x="122"/>
        <item x="121"/>
        <item x="81"/>
        <item x="8"/>
        <item x="82"/>
        <item x="27"/>
        <item x="114"/>
        <item x="19"/>
        <item x="64"/>
        <item x="67"/>
        <item x="26"/>
        <item x="119"/>
        <item x="66"/>
        <item x="156"/>
        <item x="118"/>
        <item x="125"/>
        <item x="18"/>
        <item x="80"/>
        <item x="153"/>
        <item x="142"/>
        <item x="148"/>
        <item x="136"/>
        <item x="4"/>
        <item x="112"/>
        <item x="115"/>
        <item x="79"/>
        <item x="134"/>
        <item x="16"/>
        <item x="140"/>
        <item x="69"/>
        <item x="1"/>
        <item x="84"/>
        <item x="28"/>
        <item x="85"/>
        <item x="141"/>
        <item x="147"/>
        <item x="38"/>
        <item x="135"/>
        <item x="123"/>
        <item x="25"/>
        <item x="113"/>
        <item x="130"/>
        <item x="149"/>
        <item x="157"/>
        <item x="163"/>
        <item x="150"/>
        <item x="116"/>
        <item x="9"/>
        <item x="11"/>
        <item x="83"/>
        <item x="87"/>
        <item x="137"/>
        <item x="143"/>
        <item x="138"/>
        <item x="40"/>
        <item x="144"/>
        <item x="120"/>
        <item x="88"/>
        <item x="7"/>
        <item x="50"/>
        <item x="48"/>
        <item x="68"/>
        <item x="74"/>
        <item x="70"/>
        <item x="129"/>
        <item x="155"/>
        <item x="89"/>
        <item x="76"/>
        <item x="133"/>
        <item x="47"/>
        <item x="132"/>
        <item x="75"/>
        <item x="77"/>
        <item x="159"/>
        <item x="128"/>
        <item x="151"/>
        <item x="41"/>
        <item x="63"/>
        <item x="105"/>
        <item x="65"/>
        <item x="104"/>
        <item x="86"/>
        <item x="146"/>
        <item x="127"/>
        <item x="51"/>
        <item x="131"/>
        <item x="95"/>
        <item x="117"/>
        <item x="152"/>
        <item x="108"/>
        <item x="160"/>
        <item x="32"/>
        <item x="124"/>
        <item x="126"/>
        <item x="103"/>
        <item x="73"/>
        <item x="94"/>
        <item x="102"/>
        <item x="96"/>
        <item x="59"/>
        <item x="154"/>
        <item x="162"/>
        <item x="5"/>
        <item x="55"/>
        <item x="145"/>
        <item x="92"/>
        <item x="37"/>
        <item x="97"/>
        <item x="139"/>
        <item x="10"/>
        <item x="23"/>
        <item x="91"/>
        <item x="53"/>
        <item x="93"/>
        <item x="109"/>
        <item x="24"/>
        <item x="49"/>
        <item x="90"/>
        <item x="158"/>
        <item x="46"/>
        <item x="35"/>
        <item x="100"/>
        <item x="62"/>
        <item x="107"/>
        <item x="61"/>
        <item x="44"/>
        <item x="101"/>
        <item x="106"/>
        <item x="99"/>
        <item x="56"/>
        <item x="43"/>
        <item x="39"/>
        <item x="164"/>
        <item x="98"/>
        <item x="34"/>
        <item x="161"/>
        <item x="45"/>
        <item x="36"/>
        <item x="3"/>
        <item x="54"/>
        <item x="52"/>
        <item x="2"/>
        <item x="31"/>
        <item x="58"/>
        <item x="111"/>
        <item x="6"/>
        <item x="60"/>
        <item x="0"/>
        <item x="57"/>
        <item x="42"/>
        <item x="30"/>
        <item x="33"/>
        <item x="110"/>
        <item t="default"/>
      </items>
    </pivotField>
  </pivotFields>
  <formats count="2">
    <format dxfId="12">
      <pivotArea outline="0" collapsedLevelsAreSubtotals="1" fieldPosition="0"/>
    </format>
    <format dxfId="11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5F852-0618-47B3-A3E4-851B54DC51D5}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gridDropZones="1" multipleFieldFilters="0">
  <location ref="A3:G16" firstHeaderRow="1" firstDataRow="1" firstDataCol="1"/>
  <pivotFields count="4">
    <pivotField compact="0" outline="0" showAll="0"/>
    <pivotField compact="0" outline="0" showAll="0"/>
    <pivotField compact="0" numFmtId="3" outline="0" showAll="0"/>
    <pivotField compact="0" numFmtId="3" outline="0" showAll="0"/>
  </pivotFields>
  <formats count="2">
    <format dxfId="10">
      <pivotArea outline="0" collapsedLevelsAreSubtotals="1" fieldPosition="0"/>
    </format>
    <format dxfId="9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01E95-1E77-4819-B161-CE053B0E21E9}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gridDropZones="1" multipleFieldFilters="0">
  <location ref="A3:G16" firstHeaderRow="1" firstDataRow="1" firstDataCol="1"/>
  <pivotFields count="5">
    <pivotField compact="0" outline="0" showAll="0">
      <items count="3">
        <item x="1"/>
        <item x="0"/>
        <item t="default"/>
      </items>
    </pivotField>
    <pivotField compact="0" outline="0" showAll="0">
      <items count="18">
        <item x="16"/>
        <item x="7"/>
        <item x="6"/>
        <item x="8"/>
        <item x="9"/>
        <item x="10"/>
        <item x="11"/>
        <item x="12"/>
        <item x="13"/>
        <item x="14"/>
        <item x="15"/>
        <item x="5"/>
        <item x="0"/>
        <item x="1"/>
        <item x="2"/>
        <item x="3"/>
        <item x="4"/>
        <item t="default"/>
      </items>
    </pivotField>
    <pivotField compact="0" outline="0" showAll="0"/>
    <pivotField compact="0" numFmtId="3" outline="0" showAll="0"/>
    <pivotField compact="0" numFmtId="3" outline="0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7"/>
  <sheetViews>
    <sheetView showGridLines="0" tabSelected="1" workbookViewId="0">
      <pane ySplit="1" topLeftCell="A2" activePane="bottomLeft" state="frozenSplit"/>
      <selection pane="bottomLeft" activeCell="A2" sqref="A2"/>
    </sheetView>
  </sheetViews>
  <sheetFormatPr defaultRowHeight="15"/>
  <cols>
    <col min="1" max="1" width="58.28515625" bestFit="1" customWidth="1"/>
    <col min="2" max="2" width="62.28515625" customWidth="1"/>
    <col min="3" max="3" width="16.28515625" customWidth="1"/>
    <col min="4" max="4" width="27.5703125" bestFit="1" customWidth="1"/>
    <col min="5" max="5" width="14" style="9" bestFit="1" customWidth="1"/>
    <col min="6" max="6" width="9.140625" style="9" bestFit="1"/>
  </cols>
  <sheetData>
    <row r="1" spans="1:6">
      <c r="A1" s="1" t="s">
        <v>3</v>
      </c>
      <c r="B1" s="1" t="s">
        <v>4</v>
      </c>
      <c r="C1" s="1" t="s">
        <v>5</v>
      </c>
      <c r="D1" s="1" t="s">
        <v>6</v>
      </c>
      <c r="E1" s="6" t="s">
        <v>7</v>
      </c>
      <c r="F1" s="6" t="s">
        <v>8</v>
      </c>
    </row>
    <row r="2" spans="1:6">
      <c r="A2" s="2" t="s">
        <v>9</v>
      </c>
      <c r="B2" s="2" t="s">
        <v>10</v>
      </c>
      <c r="C2" s="2" t="s">
        <v>11</v>
      </c>
      <c r="D2" s="2" t="s">
        <v>12</v>
      </c>
      <c r="E2" s="7">
        <v>4079699</v>
      </c>
      <c r="F2" s="7">
        <v>154933</v>
      </c>
    </row>
    <row r="3" spans="1:6">
      <c r="A3" s="2" t="s">
        <v>9</v>
      </c>
      <c r="B3" s="2" t="s">
        <v>13</v>
      </c>
      <c r="C3" s="2" t="s">
        <v>14</v>
      </c>
      <c r="D3" s="2" t="s">
        <v>12</v>
      </c>
      <c r="E3" s="7">
        <v>220049</v>
      </c>
      <c r="F3" s="7">
        <v>96</v>
      </c>
    </row>
    <row r="4" spans="1:6">
      <c r="A4" s="2" t="s">
        <v>9</v>
      </c>
      <c r="B4" s="2" t="s">
        <v>15</v>
      </c>
      <c r="C4" s="2" t="s">
        <v>16</v>
      </c>
      <c r="D4" s="2" t="s">
        <v>12</v>
      </c>
      <c r="E4" s="7">
        <v>632939</v>
      </c>
      <c r="F4" s="7">
        <v>45378</v>
      </c>
    </row>
    <row r="5" spans="1:6">
      <c r="A5" s="2" t="s">
        <v>9</v>
      </c>
      <c r="B5" s="2" t="s">
        <v>17</v>
      </c>
      <c r="C5" s="2" t="s">
        <v>18</v>
      </c>
      <c r="D5" s="2" t="s">
        <v>12</v>
      </c>
      <c r="E5" s="7">
        <v>1035925</v>
      </c>
      <c r="F5" s="7">
        <v>29929</v>
      </c>
    </row>
    <row r="6" spans="1:6">
      <c r="A6" s="2" t="s">
        <v>9</v>
      </c>
      <c r="B6" s="2" t="s">
        <v>19</v>
      </c>
      <c r="C6" s="2" t="s">
        <v>20</v>
      </c>
      <c r="D6" s="2" t="s">
        <v>12</v>
      </c>
      <c r="E6" s="7">
        <v>87642</v>
      </c>
      <c r="F6" s="7">
        <v>66</v>
      </c>
    </row>
    <row r="7" spans="1:6">
      <c r="A7" s="2" t="s">
        <v>9</v>
      </c>
      <c r="B7" s="2" t="s">
        <v>21</v>
      </c>
      <c r="C7" s="2" t="s">
        <v>22</v>
      </c>
      <c r="D7" s="2" t="s">
        <v>12</v>
      </c>
      <c r="E7" s="7">
        <v>1428580</v>
      </c>
      <c r="F7" s="7">
        <v>3509</v>
      </c>
    </row>
    <row r="8" spans="1:6">
      <c r="A8" s="2" t="s">
        <v>23</v>
      </c>
      <c r="B8" s="2" t="s">
        <v>24</v>
      </c>
      <c r="C8" s="2" t="s">
        <v>25</v>
      </c>
      <c r="D8" s="2" t="s">
        <v>26</v>
      </c>
      <c r="E8" s="7">
        <v>67567270</v>
      </c>
      <c r="F8" s="7">
        <v>83576</v>
      </c>
    </row>
    <row r="9" spans="1:6">
      <c r="A9" s="2" t="s">
        <v>23</v>
      </c>
      <c r="B9" s="2" t="s">
        <v>27</v>
      </c>
      <c r="C9" s="2" t="s">
        <v>25</v>
      </c>
      <c r="D9" s="2" t="s">
        <v>26</v>
      </c>
      <c r="E9" s="7">
        <v>155185</v>
      </c>
      <c r="F9" s="7">
        <v>500</v>
      </c>
    </row>
    <row r="10" spans="1:6">
      <c r="A10" s="2" t="s">
        <v>23</v>
      </c>
      <c r="B10" s="2" t="s">
        <v>28</v>
      </c>
      <c r="C10" s="2" t="s">
        <v>25</v>
      </c>
      <c r="D10" s="2" t="s">
        <v>26</v>
      </c>
      <c r="E10" s="7">
        <v>195041</v>
      </c>
      <c r="F10" s="7">
        <v>22</v>
      </c>
    </row>
    <row r="11" spans="1:6">
      <c r="A11" s="2" t="s">
        <v>23</v>
      </c>
      <c r="B11" s="2" t="s">
        <v>29</v>
      </c>
      <c r="C11" s="2" t="s">
        <v>25</v>
      </c>
      <c r="D11" s="2" t="s">
        <v>26</v>
      </c>
      <c r="E11" s="7">
        <v>118734</v>
      </c>
      <c r="F11" s="7">
        <v>258</v>
      </c>
    </row>
    <row r="12" spans="1:6">
      <c r="A12" s="2" t="s">
        <v>23</v>
      </c>
      <c r="B12" s="2" t="s">
        <v>30</v>
      </c>
      <c r="C12" s="2" t="s">
        <v>25</v>
      </c>
      <c r="D12" s="2" t="s">
        <v>26</v>
      </c>
      <c r="E12" s="7">
        <v>312519</v>
      </c>
      <c r="F12" s="7">
        <v>5341</v>
      </c>
    </row>
    <row r="13" spans="1:6">
      <c r="A13" s="2" t="s">
        <v>23</v>
      </c>
      <c r="B13" s="2" t="s">
        <v>31</v>
      </c>
      <c r="C13" s="2" t="s">
        <v>25</v>
      </c>
      <c r="D13" s="2" t="s">
        <v>32</v>
      </c>
      <c r="E13" s="7">
        <v>244451</v>
      </c>
      <c r="F13" s="7">
        <v>297</v>
      </c>
    </row>
    <row r="14" spans="1:6">
      <c r="A14" s="2" t="s">
        <v>23</v>
      </c>
      <c r="B14" s="2" t="s">
        <v>33</v>
      </c>
      <c r="C14" s="2" t="s">
        <v>34</v>
      </c>
      <c r="D14" s="2" t="s">
        <v>35</v>
      </c>
      <c r="E14" s="7">
        <v>3</v>
      </c>
      <c r="F14" s="7">
        <v>1</v>
      </c>
    </row>
    <row r="15" spans="1:6">
      <c r="A15" s="2" t="s">
        <v>23</v>
      </c>
      <c r="B15" s="2" t="s">
        <v>36</v>
      </c>
      <c r="C15" s="2" t="s">
        <v>37</v>
      </c>
      <c r="D15" s="2" t="s">
        <v>35</v>
      </c>
      <c r="E15" s="7">
        <v>6</v>
      </c>
      <c r="F15" s="7">
        <v>1</v>
      </c>
    </row>
    <row r="16" spans="1:6">
      <c r="A16" s="2" t="s">
        <v>23</v>
      </c>
      <c r="B16" s="2" t="s">
        <v>38</v>
      </c>
      <c r="C16" s="2" t="s">
        <v>37</v>
      </c>
      <c r="D16" s="2" t="s">
        <v>35</v>
      </c>
      <c r="E16" s="7">
        <v>348</v>
      </c>
      <c r="F16" s="7">
        <v>4</v>
      </c>
    </row>
    <row r="17" spans="1:6">
      <c r="A17" s="2" t="s">
        <v>23</v>
      </c>
      <c r="B17" s="2" t="s">
        <v>39</v>
      </c>
      <c r="C17" s="2" t="s">
        <v>40</v>
      </c>
      <c r="D17" s="2" t="s">
        <v>35</v>
      </c>
      <c r="E17" s="7">
        <v>8</v>
      </c>
      <c r="F17" s="7">
        <v>3</v>
      </c>
    </row>
    <row r="18" spans="1:6">
      <c r="A18" s="2" t="s">
        <v>23</v>
      </c>
      <c r="B18" s="2" t="s">
        <v>41</v>
      </c>
      <c r="C18" s="2" t="s">
        <v>42</v>
      </c>
      <c r="D18" s="2" t="s">
        <v>35</v>
      </c>
      <c r="E18" s="7">
        <v>1</v>
      </c>
      <c r="F18" s="7">
        <v>0</v>
      </c>
    </row>
    <row r="19" spans="1:6">
      <c r="A19" s="2" t="s">
        <v>23</v>
      </c>
      <c r="B19" s="2" t="s">
        <v>43</v>
      </c>
      <c r="C19" s="2" t="s">
        <v>44</v>
      </c>
      <c r="D19" s="2" t="s">
        <v>35</v>
      </c>
      <c r="E19" s="7">
        <v>829949</v>
      </c>
      <c r="F19" s="7">
        <v>88</v>
      </c>
    </row>
    <row r="20" spans="1:6">
      <c r="A20" s="2" t="s">
        <v>23</v>
      </c>
      <c r="B20" s="2" t="s">
        <v>45</v>
      </c>
      <c r="C20" s="2" t="s">
        <v>46</v>
      </c>
      <c r="D20" s="2" t="s">
        <v>35</v>
      </c>
      <c r="E20" s="7">
        <v>42</v>
      </c>
      <c r="F20" s="7">
        <v>0</v>
      </c>
    </row>
    <row r="21" spans="1:6">
      <c r="A21" s="2" t="s">
        <v>23</v>
      </c>
      <c r="B21" s="2" t="s">
        <v>47</v>
      </c>
      <c r="C21" s="2" t="s">
        <v>48</v>
      </c>
      <c r="D21" s="2" t="s">
        <v>35</v>
      </c>
      <c r="E21" s="7">
        <v>31778</v>
      </c>
      <c r="F21" s="7">
        <v>8</v>
      </c>
    </row>
    <row r="22" spans="1:6">
      <c r="A22" s="2" t="s">
        <v>23</v>
      </c>
      <c r="B22" s="2" t="s">
        <v>49</v>
      </c>
      <c r="C22" s="2" t="s">
        <v>50</v>
      </c>
      <c r="D22" s="2" t="s">
        <v>35</v>
      </c>
      <c r="E22" s="7">
        <v>793940</v>
      </c>
      <c r="F22" s="7">
        <v>46</v>
      </c>
    </row>
    <row r="23" spans="1:6">
      <c r="A23" s="2" t="s">
        <v>23</v>
      </c>
      <c r="B23" s="2" t="s">
        <v>51</v>
      </c>
      <c r="C23" s="2" t="s">
        <v>52</v>
      </c>
      <c r="D23" s="2" t="s">
        <v>35</v>
      </c>
      <c r="E23" s="7">
        <v>2</v>
      </c>
      <c r="F23" s="7">
        <v>0</v>
      </c>
    </row>
    <row r="24" spans="1:6">
      <c r="A24" s="2" t="s">
        <v>23</v>
      </c>
      <c r="B24" s="2" t="s">
        <v>53</v>
      </c>
      <c r="C24" s="2" t="s">
        <v>54</v>
      </c>
      <c r="D24" s="2" t="s">
        <v>35</v>
      </c>
      <c r="E24" s="7">
        <v>159459</v>
      </c>
      <c r="F24" s="7">
        <v>30</v>
      </c>
    </row>
    <row r="25" spans="1:6">
      <c r="A25" s="2" t="s">
        <v>23</v>
      </c>
      <c r="B25" s="2" t="s">
        <v>55</v>
      </c>
      <c r="C25" s="2" t="s">
        <v>56</v>
      </c>
      <c r="D25" s="2" t="s">
        <v>35</v>
      </c>
      <c r="E25" s="7">
        <v>0</v>
      </c>
      <c r="F25" s="7">
        <v>2</v>
      </c>
    </row>
    <row r="26" spans="1:6">
      <c r="A26" s="2" t="s">
        <v>23</v>
      </c>
      <c r="B26" s="2" t="s">
        <v>57</v>
      </c>
      <c r="C26" s="2" t="s">
        <v>56</v>
      </c>
      <c r="D26" s="2" t="s">
        <v>35</v>
      </c>
      <c r="E26" s="7">
        <v>0</v>
      </c>
      <c r="F26" s="7">
        <v>3</v>
      </c>
    </row>
    <row r="27" spans="1:6">
      <c r="A27" s="2" t="s">
        <v>23</v>
      </c>
      <c r="B27" s="2" t="s">
        <v>58</v>
      </c>
      <c r="C27" s="2" t="s">
        <v>56</v>
      </c>
      <c r="D27" s="2" t="s">
        <v>35</v>
      </c>
      <c r="E27" s="7">
        <v>3426</v>
      </c>
      <c r="F27" s="7">
        <v>9</v>
      </c>
    </row>
    <row r="28" spans="1:6">
      <c r="A28" s="2" t="s">
        <v>23</v>
      </c>
      <c r="B28" s="2" t="s">
        <v>59</v>
      </c>
      <c r="C28" s="2" t="s">
        <v>56</v>
      </c>
      <c r="D28" s="2" t="s">
        <v>35</v>
      </c>
      <c r="E28" s="7">
        <v>1</v>
      </c>
      <c r="F28" s="7">
        <v>8</v>
      </c>
    </row>
    <row r="29" spans="1:6">
      <c r="A29" s="2" t="s">
        <v>23</v>
      </c>
      <c r="B29" s="2" t="s">
        <v>60</v>
      </c>
      <c r="C29" s="2" t="s">
        <v>56</v>
      </c>
      <c r="D29" s="2" t="s">
        <v>35</v>
      </c>
      <c r="E29" s="7">
        <v>0</v>
      </c>
      <c r="F29" s="7">
        <v>3</v>
      </c>
    </row>
    <row r="30" spans="1:6">
      <c r="A30" s="2" t="s">
        <v>23</v>
      </c>
      <c r="B30" s="2" t="s">
        <v>61</v>
      </c>
      <c r="C30" s="2" t="s">
        <v>56</v>
      </c>
      <c r="D30" s="2" t="s">
        <v>35</v>
      </c>
      <c r="E30" s="7">
        <v>0</v>
      </c>
      <c r="F30" s="7">
        <v>3</v>
      </c>
    </row>
    <row r="31" spans="1:6">
      <c r="A31" s="2" t="s">
        <v>23</v>
      </c>
      <c r="B31" s="2" t="s">
        <v>62</v>
      </c>
      <c r="C31" s="2" t="s">
        <v>56</v>
      </c>
      <c r="D31" s="2" t="s">
        <v>35</v>
      </c>
      <c r="E31" s="7">
        <v>3469</v>
      </c>
      <c r="F31" s="7">
        <v>7</v>
      </c>
    </row>
    <row r="32" spans="1:6">
      <c r="A32" s="2" t="s">
        <v>23</v>
      </c>
      <c r="B32" s="2" t="s">
        <v>63</v>
      </c>
      <c r="C32" s="2" t="s">
        <v>56</v>
      </c>
      <c r="D32" s="2" t="s">
        <v>35</v>
      </c>
      <c r="E32" s="7">
        <v>0</v>
      </c>
      <c r="F32" s="7">
        <v>4</v>
      </c>
    </row>
    <row r="33" spans="1:6">
      <c r="A33" s="2" t="s">
        <v>23</v>
      </c>
      <c r="B33" s="2" t="s">
        <v>64</v>
      </c>
      <c r="C33" s="2" t="s">
        <v>25</v>
      </c>
      <c r="D33" s="2" t="s">
        <v>65</v>
      </c>
      <c r="E33" s="7">
        <v>601780</v>
      </c>
      <c r="F33" s="7">
        <v>5577</v>
      </c>
    </row>
    <row r="34" spans="1:6">
      <c r="A34" s="2" t="s">
        <v>66</v>
      </c>
      <c r="B34" s="2" t="s">
        <v>67</v>
      </c>
      <c r="C34" s="2" t="s">
        <v>69</v>
      </c>
      <c r="D34" s="2" t="s">
        <v>26</v>
      </c>
      <c r="E34" s="7">
        <v>3552581</v>
      </c>
      <c r="F34" s="7">
        <v>6551</v>
      </c>
    </row>
    <row r="35" spans="1:6">
      <c r="A35" s="2" t="s">
        <v>66</v>
      </c>
      <c r="B35" s="2" t="s">
        <v>70</v>
      </c>
      <c r="C35" s="2" t="s">
        <v>71</v>
      </c>
      <c r="D35" s="2" t="s">
        <v>26</v>
      </c>
      <c r="E35" s="7">
        <v>34271</v>
      </c>
      <c r="F35" s="7">
        <v>135</v>
      </c>
    </row>
    <row r="36" spans="1:6">
      <c r="A36" s="2" t="s">
        <v>66</v>
      </c>
      <c r="B36" s="2" t="s">
        <v>72</v>
      </c>
      <c r="C36" s="2" t="s">
        <v>73</v>
      </c>
      <c r="D36" s="2" t="s">
        <v>26</v>
      </c>
      <c r="E36" s="7">
        <v>44485</v>
      </c>
      <c r="F36" s="7">
        <v>38</v>
      </c>
    </row>
    <row r="37" spans="1:6">
      <c r="A37" s="2" t="s">
        <v>66</v>
      </c>
      <c r="B37" s="2" t="s">
        <v>74</v>
      </c>
      <c r="C37" s="2" t="s">
        <v>75</v>
      </c>
      <c r="D37" s="2" t="s">
        <v>26</v>
      </c>
      <c r="E37" s="7">
        <v>115664</v>
      </c>
      <c r="F37" s="7">
        <v>24</v>
      </c>
    </row>
    <row r="38" spans="1:6">
      <c r="A38" s="2" t="s">
        <v>66</v>
      </c>
      <c r="B38" s="2" t="s">
        <v>76</v>
      </c>
      <c r="C38" s="2" t="s">
        <v>77</v>
      </c>
      <c r="D38" s="2" t="s">
        <v>26</v>
      </c>
      <c r="E38" s="7">
        <v>12570</v>
      </c>
      <c r="F38" s="7">
        <v>98</v>
      </c>
    </row>
    <row r="39" spans="1:6">
      <c r="A39" s="2" t="s">
        <v>66</v>
      </c>
      <c r="B39" s="2" t="s">
        <v>78</v>
      </c>
      <c r="C39" s="2" t="s">
        <v>77</v>
      </c>
      <c r="D39" s="2" t="s">
        <v>26</v>
      </c>
      <c r="E39" s="7">
        <v>7498</v>
      </c>
      <c r="F39" s="7">
        <v>16</v>
      </c>
    </row>
    <row r="40" spans="1:6">
      <c r="A40" s="2" t="s">
        <v>66</v>
      </c>
      <c r="B40" s="2" t="s">
        <v>79</v>
      </c>
      <c r="C40" s="2" t="s">
        <v>81</v>
      </c>
      <c r="D40" s="2" t="s">
        <v>26</v>
      </c>
      <c r="E40" s="7">
        <v>5664044</v>
      </c>
      <c r="F40" s="7">
        <v>334127</v>
      </c>
    </row>
    <row r="41" spans="1:6">
      <c r="A41" s="2" t="s">
        <v>66</v>
      </c>
      <c r="B41" s="2" t="s">
        <v>82</v>
      </c>
      <c r="C41" s="2" t="s">
        <v>83</v>
      </c>
      <c r="D41" s="2" t="s">
        <v>26</v>
      </c>
      <c r="E41" s="7">
        <v>1104057</v>
      </c>
      <c r="F41" s="7">
        <v>54782</v>
      </c>
    </row>
    <row r="42" spans="1:6">
      <c r="A42" s="2" t="s">
        <v>66</v>
      </c>
      <c r="B42" s="2" t="s">
        <v>84</v>
      </c>
      <c r="C42" s="2" t="s">
        <v>85</v>
      </c>
      <c r="D42" s="2" t="s">
        <v>26</v>
      </c>
      <c r="E42" s="7">
        <v>72614</v>
      </c>
      <c r="F42" s="7">
        <v>1450</v>
      </c>
    </row>
    <row r="43" spans="1:6">
      <c r="A43" s="2" t="s">
        <v>66</v>
      </c>
      <c r="B43" s="2" t="s">
        <v>86</v>
      </c>
      <c r="C43" s="2" t="s">
        <v>87</v>
      </c>
      <c r="D43" s="2" t="s">
        <v>26</v>
      </c>
      <c r="E43" s="7">
        <v>5407563</v>
      </c>
      <c r="F43" s="7">
        <v>365699</v>
      </c>
    </row>
    <row r="44" spans="1:6">
      <c r="A44" s="2" t="s">
        <v>66</v>
      </c>
      <c r="B44" s="2" t="s">
        <v>88</v>
      </c>
      <c r="C44" s="2" t="s">
        <v>89</v>
      </c>
      <c r="D44" s="2" t="s">
        <v>26</v>
      </c>
      <c r="E44" s="7">
        <v>589904</v>
      </c>
      <c r="F44" s="7">
        <v>25302</v>
      </c>
    </row>
    <row r="45" spans="1:6">
      <c r="A45" s="2" t="s">
        <v>66</v>
      </c>
      <c r="B45" s="2" t="s">
        <v>90</v>
      </c>
      <c r="C45" s="2" t="s">
        <v>89</v>
      </c>
      <c r="D45" s="2" t="s">
        <v>26</v>
      </c>
      <c r="E45" s="7">
        <v>235961</v>
      </c>
      <c r="F45" s="7">
        <v>8435</v>
      </c>
    </row>
    <row r="46" spans="1:6">
      <c r="A46" s="2" t="s">
        <v>66</v>
      </c>
      <c r="B46" s="2" t="s">
        <v>91</v>
      </c>
      <c r="C46" s="2" t="s">
        <v>93</v>
      </c>
      <c r="D46" s="2" t="s">
        <v>26</v>
      </c>
      <c r="E46" s="7">
        <v>5324195</v>
      </c>
      <c r="F46" s="7">
        <v>28201</v>
      </c>
    </row>
    <row r="47" spans="1:6">
      <c r="A47" s="2" t="s">
        <v>66</v>
      </c>
      <c r="B47" s="2" t="s">
        <v>94</v>
      </c>
      <c r="C47" s="2" t="s">
        <v>95</v>
      </c>
      <c r="D47" s="2" t="s">
        <v>26</v>
      </c>
      <c r="E47" s="7">
        <v>776722</v>
      </c>
      <c r="F47" s="7">
        <v>5150</v>
      </c>
    </row>
    <row r="48" spans="1:6">
      <c r="A48" s="2" t="s">
        <v>66</v>
      </c>
      <c r="B48" s="2" t="s">
        <v>96</v>
      </c>
      <c r="C48" s="2" t="s">
        <v>97</v>
      </c>
      <c r="D48" s="2" t="s">
        <v>26</v>
      </c>
      <c r="E48" s="7">
        <v>41288</v>
      </c>
      <c r="F48" s="7">
        <v>107</v>
      </c>
    </row>
    <row r="49" spans="1:6">
      <c r="A49" s="2" t="s">
        <v>66</v>
      </c>
      <c r="B49" s="2" t="s">
        <v>98</v>
      </c>
      <c r="C49" s="2" t="s">
        <v>99</v>
      </c>
      <c r="D49" s="2" t="s">
        <v>26</v>
      </c>
      <c r="E49" s="7">
        <v>2805560</v>
      </c>
      <c r="F49" s="7">
        <v>18596</v>
      </c>
    </row>
    <row r="50" spans="1:6">
      <c r="A50" s="2" t="s">
        <v>66</v>
      </c>
      <c r="B50" s="2" t="s">
        <v>100</v>
      </c>
      <c r="C50" s="2" t="s">
        <v>101</v>
      </c>
      <c r="D50" s="2" t="s">
        <v>26</v>
      </c>
      <c r="E50" s="7">
        <v>223077</v>
      </c>
      <c r="F50" s="7">
        <v>383</v>
      </c>
    </row>
    <row r="51" spans="1:6">
      <c r="A51" s="2" t="s">
        <v>66</v>
      </c>
      <c r="B51" s="2" t="s">
        <v>102</v>
      </c>
      <c r="C51" s="2" t="s">
        <v>101</v>
      </c>
      <c r="D51" s="2" t="s">
        <v>26</v>
      </c>
      <c r="E51" s="7">
        <v>414677</v>
      </c>
      <c r="F51" s="7">
        <v>856</v>
      </c>
    </row>
    <row r="52" spans="1:6">
      <c r="A52" s="2" t="s">
        <v>66</v>
      </c>
      <c r="B52" s="2" t="s">
        <v>103</v>
      </c>
      <c r="C52" s="2" t="s">
        <v>104</v>
      </c>
      <c r="D52" s="2" t="s">
        <v>26</v>
      </c>
      <c r="E52" s="7">
        <v>6245203</v>
      </c>
      <c r="F52" s="7">
        <v>242479</v>
      </c>
    </row>
    <row r="53" spans="1:6">
      <c r="A53" s="2" t="s">
        <v>66</v>
      </c>
      <c r="B53" s="2" t="s">
        <v>105</v>
      </c>
      <c r="C53" s="2" t="s">
        <v>106</v>
      </c>
      <c r="D53" s="2" t="s">
        <v>26</v>
      </c>
      <c r="E53" s="7">
        <v>303627</v>
      </c>
      <c r="F53" s="7">
        <v>16645</v>
      </c>
    </row>
    <row r="54" spans="1:6">
      <c r="A54" s="2" t="s">
        <v>66</v>
      </c>
      <c r="B54" s="2" t="s">
        <v>107</v>
      </c>
      <c r="C54" s="2" t="s">
        <v>108</v>
      </c>
      <c r="D54" s="2" t="s">
        <v>26</v>
      </c>
      <c r="E54" s="7">
        <v>809443</v>
      </c>
      <c r="F54" s="7">
        <v>14400</v>
      </c>
    </row>
    <row r="55" spans="1:6">
      <c r="A55" s="2" t="s">
        <v>66</v>
      </c>
      <c r="B55" s="2" t="s">
        <v>109</v>
      </c>
      <c r="C55" s="2" t="s">
        <v>110</v>
      </c>
      <c r="D55" s="2" t="s">
        <v>26</v>
      </c>
      <c r="E55" s="7">
        <v>1135205</v>
      </c>
      <c r="F55" s="7">
        <v>27481</v>
      </c>
    </row>
    <row r="56" spans="1:6">
      <c r="A56" s="2" t="s">
        <v>66</v>
      </c>
      <c r="B56" s="2" t="s">
        <v>111</v>
      </c>
      <c r="C56" s="2" t="s">
        <v>113</v>
      </c>
      <c r="D56" s="2" t="s">
        <v>26</v>
      </c>
      <c r="E56" s="7">
        <v>5783654</v>
      </c>
      <c r="F56" s="7">
        <v>7536</v>
      </c>
    </row>
    <row r="57" spans="1:6">
      <c r="A57" s="2" t="s">
        <v>66</v>
      </c>
      <c r="B57" s="2" t="s">
        <v>114</v>
      </c>
      <c r="C57" s="2" t="s">
        <v>115</v>
      </c>
      <c r="D57" s="2" t="s">
        <v>26</v>
      </c>
      <c r="E57" s="7">
        <v>323784</v>
      </c>
      <c r="F57" s="7">
        <v>778</v>
      </c>
    </row>
    <row r="58" spans="1:6">
      <c r="A58" s="2" t="s">
        <v>66</v>
      </c>
      <c r="B58" s="2" t="s">
        <v>116</v>
      </c>
      <c r="C58" s="2" t="s">
        <v>117</v>
      </c>
      <c r="D58" s="2" t="s">
        <v>26</v>
      </c>
      <c r="E58" s="7">
        <v>148665</v>
      </c>
      <c r="F58" s="7">
        <v>565</v>
      </c>
    </row>
    <row r="59" spans="1:6">
      <c r="A59" s="2" t="s">
        <v>66</v>
      </c>
      <c r="B59" s="2" t="s">
        <v>118</v>
      </c>
      <c r="C59" s="2" t="s">
        <v>119</v>
      </c>
      <c r="D59" s="2" t="s">
        <v>26</v>
      </c>
      <c r="E59" s="7">
        <v>2532804</v>
      </c>
      <c r="F59" s="7">
        <v>6910</v>
      </c>
    </row>
    <row r="60" spans="1:6">
      <c r="A60" s="2" t="s">
        <v>66</v>
      </c>
      <c r="B60" s="2" t="s">
        <v>120</v>
      </c>
      <c r="C60" s="2" t="s">
        <v>121</v>
      </c>
      <c r="D60" s="2" t="s">
        <v>26</v>
      </c>
      <c r="E60" s="7">
        <v>143307</v>
      </c>
      <c r="F60" s="7">
        <v>563</v>
      </c>
    </row>
    <row r="61" spans="1:6">
      <c r="A61" s="2" t="s">
        <v>66</v>
      </c>
      <c r="B61" s="2" t="s">
        <v>122</v>
      </c>
      <c r="C61" s="2" t="s">
        <v>121</v>
      </c>
      <c r="D61" s="2" t="s">
        <v>26</v>
      </c>
      <c r="E61" s="7">
        <v>264704</v>
      </c>
      <c r="F61" s="7">
        <v>1056</v>
      </c>
    </row>
    <row r="62" spans="1:6">
      <c r="A62" s="2" t="s">
        <v>66</v>
      </c>
      <c r="B62" s="2" t="s">
        <v>123</v>
      </c>
      <c r="C62" s="2" t="s">
        <v>125</v>
      </c>
      <c r="D62" s="2" t="s">
        <v>26</v>
      </c>
      <c r="E62" s="7">
        <v>13498206</v>
      </c>
      <c r="F62" s="7">
        <v>44710</v>
      </c>
    </row>
    <row r="63" spans="1:6">
      <c r="A63" s="2" t="s">
        <v>66</v>
      </c>
      <c r="B63" s="2" t="s">
        <v>126</v>
      </c>
      <c r="C63" s="2" t="s">
        <v>127</v>
      </c>
      <c r="D63" s="2" t="s">
        <v>26</v>
      </c>
      <c r="E63" s="7">
        <v>1196218</v>
      </c>
      <c r="F63" s="7">
        <v>5866</v>
      </c>
    </row>
    <row r="64" spans="1:6">
      <c r="A64" s="2" t="s">
        <v>66</v>
      </c>
      <c r="B64" s="2" t="s">
        <v>128</v>
      </c>
      <c r="C64" s="2" t="s">
        <v>129</v>
      </c>
      <c r="D64" s="2" t="s">
        <v>26</v>
      </c>
      <c r="E64" s="7">
        <v>164163</v>
      </c>
      <c r="F64" s="7">
        <v>297</v>
      </c>
    </row>
    <row r="65" spans="1:6">
      <c r="A65" s="2" t="s">
        <v>66</v>
      </c>
      <c r="B65" s="2" t="s">
        <v>130</v>
      </c>
      <c r="C65" s="2" t="s">
        <v>131</v>
      </c>
      <c r="D65" s="2" t="s">
        <v>26</v>
      </c>
      <c r="E65" s="7">
        <v>5548683</v>
      </c>
      <c r="F65" s="7">
        <v>32391</v>
      </c>
    </row>
    <row r="66" spans="1:6">
      <c r="A66" s="2" t="s">
        <v>66</v>
      </c>
      <c r="B66" s="2" t="s">
        <v>132</v>
      </c>
      <c r="C66" s="2" t="s">
        <v>133</v>
      </c>
      <c r="D66" s="2" t="s">
        <v>26</v>
      </c>
      <c r="E66" s="7">
        <v>995934</v>
      </c>
      <c r="F66" s="7">
        <v>3615</v>
      </c>
    </row>
    <row r="67" spans="1:6">
      <c r="A67" s="2" t="s">
        <v>66</v>
      </c>
      <c r="B67" s="2" t="s">
        <v>134</v>
      </c>
      <c r="C67" s="2" t="s">
        <v>133</v>
      </c>
      <c r="D67" s="2" t="s">
        <v>26</v>
      </c>
      <c r="E67" s="7">
        <v>1860010</v>
      </c>
      <c r="F67" s="7">
        <v>16440</v>
      </c>
    </row>
    <row r="68" spans="1:6">
      <c r="A68" s="2" t="s">
        <v>66</v>
      </c>
      <c r="B68" s="2" t="s">
        <v>135</v>
      </c>
      <c r="C68" s="2" t="s">
        <v>137</v>
      </c>
      <c r="D68" s="2" t="s">
        <v>26</v>
      </c>
      <c r="E68" s="7">
        <v>30450395</v>
      </c>
      <c r="F68" s="7">
        <v>175778</v>
      </c>
    </row>
    <row r="69" spans="1:6">
      <c r="A69" s="2" t="s">
        <v>66</v>
      </c>
      <c r="B69" s="2" t="s">
        <v>138</v>
      </c>
      <c r="C69" s="2" t="s">
        <v>139</v>
      </c>
      <c r="D69" s="2" t="s">
        <v>26</v>
      </c>
      <c r="E69" s="7">
        <v>6777044</v>
      </c>
      <c r="F69" s="7">
        <v>59671</v>
      </c>
    </row>
    <row r="70" spans="1:6">
      <c r="A70" s="2" t="s">
        <v>66</v>
      </c>
      <c r="B70" s="2" t="s">
        <v>140</v>
      </c>
      <c r="C70" s="2" t="s">
        <v>141</v>
      </c>
      <c r="D70" s="2" t="s">
        <v>26</v>
      </c>
      <c r="E70" s="7">
        <v>388600</v>
      </c>
      <c r="F70" s="7">
        <v>2883</v>
      </c>
    </row>
    <row r="71" spans="1:6">
      <c r="A71" s="2" t="s">
        <v>66</v>
      </c>
      <c r="B71" s="2" t="s">
        <v>142</v>
      </c>
      <c r="C71" s="2" t="s">
        <v>143</v>
      </c>
      <c r="D71" s="2" t="s">
        <v>26</v>
      </c>
      <c r="E71" s="7">
        <v>13740776</v>
      </c>
      <c r="F71" s="7">
        <v>109098</v>
      </c>
    </row>
    <row r="72" spans="1:6">
      <c r="A72" s="2" t="s">
        <v>66</v>
      </c>
      <c r="B72" s="2" t="s">
        <v>144</v>
      </c>
      <c r="C72" s="2" t="s">
        <v>145</v>
      </c>
      <c r="D72" s="2" t="s">
        <v>26</v>
      </c>
      <c r="E72" s="7">
        <v>3296901</v>
      </c>
      <c r="F72" s="7">
        <v>12957</v>
      </c>
    </row>
    <row r="73" spans="1:6">
      <c r="A73" s="2" t="s">
        <v>66</v>
      </c>
      <c r="B73" s="2" t="s">
        <v>146</v>
      </c>
      <c r="C73" s="2" t="s">
        <v>145</v>
      </c>
      <c r="D73" s="2" t="s">
        <v>26</v>
      </c>
      <c r="E73" s="7">
        <v>3282080</v>
      </c>
      <c r="F73" s="7">
        <v>11736</v>
      </c>
    </row>
    <row r="74" spans="1:6">
      <c r="A74" s="2" t="s">
        <v>66</v>
      </c>
      <c r="B74" s="2" t="s">
        <v>147</v>
      </c>
      <c r="C74" s="2" t="s">
        <v>148</v>
      </c>
      <c r="D74" s="2" t="s">
        <v>26</v>
      </c>
      <c r="E74" s="7">
        <v>1841737</v>
      </c>
      <c r="F74" s="7">
        <v>861</v>
      </c>
    </row>
    <row r="75" spans="1:6">
      <c r="A75" s="2" t="s">
        <v>66</v>
      </c>
      <c r="B75" s="2" t="s">
        <v>149</v>
      </c>
      <c r="C75" s="2" t="s">
        <v>150</v>
      </c>
      <c r="D75" s="2" t="s">
        <v>26</v>
      </c>
      <c r="E75" s="7">
        <v>53351</v>
      </c>
      <c r="F75" s="7">
        <v>32</v>
      </c>
    </row>
    <row r="76" spans="1:6">
      <c r="A76" s="2" t="s">
        <v>66</v>
      </c>
      <c r="B76" s="2" t="s">
        <v>151</v>
      </c>
      <c r="C76" s="2" t="s">
        <v>152</v>
      </c>
      <c r="D76" s="2" t="s">
        <v>26</v>
      </c>
      <c r="E76" s="7">
        <v>33158</v>
      </c>
      <c r="F76" s="7">
        <v>9</v>
      </c>
    </row>
    <row r="77" spans="1:6">
      <c r="A77" s="2" t="s">
        <v>66</v>
      </c>
      <c r="B77" s="2" t="s">
        <v>153</v>
      </c>
      <c r="C77" s="2" t="s">
        <v>154</v>
      </c>
      <c r="D77" s="2" t="s">
        <v>26</v>
      </c>
      <c r="E77" s="7">
        <v>2123394</v>
      </c>
      <c r="F77" s="7">
        <v>916</v>
      </c>
    </row>
    <row r="78" spans="1:6">
      <c r="A78" s="2" t="s">
        <v>66</v>
      </c>
      <c r="B78" s="2" t="s">
        <v>155</v>
      </c>
      <c r="C78" s="2" t="s">
        <v>156</v>
      </c>
      <c r="D78" s="2" t="s">
        <v>26</v>
      </c>
      <c r="E78" s="7">
        <v>56573</v>
      </c>
      <c r="F78" s="7">
        <v>41</v>
      </c>
    </row>
    <row r="79" spans="1:6">
      <c r="A79" s="2" t="s">
        <v>66</v>
      </c>
      <c r="B79" s="2" t="s">
        <v>157</v>
      </c>
      <c r="C79" s="2" t="s">
        <v>156</v>
      </c>
      <c r="D79" s="2" t="s">
        <v>26</v>
      </c>
      <c r="E79" s="7">
        <v>43648</v>
      </c>
      <c r="F79" s="7">
        <v>33</v>
      </c>
    </row>
    <row r="80" spans="1:6">
      <c r="A80" s="2" t="s">
        <v>66</v>
      </c>
      <c r="B80" s="2" t="s">
        <v>158</v>
      </c>
      <c r="C80" s="2" t="s">
        <v>159</v>
      </c>
      <c r="D80" s="2" t="s">
        <v>26</v>
      </c>
      <c r="E80" s="7">
        <v>60927</v>
      </c>
      <c r="F80" s="7">
        <v>585</v>
      </c>
    </row>
    <row r="81" spans="1:6">
      <c r="A81" s="2" t="s">
        <v>66</v>
      </c>
      <c r="B81" s="2" t="s">
        <v>160</v>
      </c>
      <c r="C81" s="2" t="s">
        <v>161</v>
      </c>
      <c r="D81" s="2" t="s">
        <v>26</v>
      </c>
      <c r="E81" s="7">
        <v>49807</v>
      </c>
      <c r="F81" s="7">
        <v>93</v>
      </c>
    </row>
    <row r="82" spans="1:6">
      <c r="A82" s="2" t="s">
        <v>66</v>
      </c>
      <c r="B82" s="2" t="s">
        <v>162</v>
      </c>
      <c r="C82" s="2" t="s">
        <v>163</v>
      </c>
      <c r="D82" s="2" t="s">
        <v>26</v>
      </c>
      <c r="E82" s="7">
        <v>8764</v>
      </c>
      <c r="F82" s="7">
        <v>7</v>
      </c>
    </row>
    <row r="83" spans="1:6">
      <c r="A83" s="2" t="s">
        <v>66</v>
      </c>
      <c r="B83" s="2" t="s">
        <v>164</v>
      </c>
      <c r="C83" s="2" t="s">
        <v>165</v>
      </c>
      <c r="D83" s="2" t="s">
        <v>26</v>
      </c>
      <c r="E83" s="7">
        <v>72514</v>
      </c>
      <c r="F83" s="7">
        <v>655</v>
      </c>
    </row>
    <row r="84" spans="1:6">
      <c r="A84" s="2" t="s">
        <v>66</v>
      </c>
      <c r="B84" s="2" t="s">
        <v>166</v>
      </c>
      <c r="C84" s="2" t="s">
        <v>167</v>
      </c>
      <c r="D84" s="2" t="s">
        <v>26</v>
      </c>
      <c r="E84" s="7">
        <v>12108</v>
      </c>
      <c r="F84" s="7">
        <v>12</v>
      </c>
    </row>
    <row r="85" spans="1:6">
      <c r="A85" s="2" t="s">
        <v>66</v>
      </c>
      <c r="B85" s="2" t="s">
        <v>168</v>
      </c>
      <c r="C85" s="2" t="s">
        <v>167</v>
      </c>
      <c r="D85" s="2" t="s">
        <v>26</v>
      </c>
      <c r="E85" s="7">
        <v>5532</v>
      </c>
      <c r="F85" s="7">
        <v>2</v>
      </c>
    </row>
    <row r="86" spans="1:6">
      <c r="A86" s="2" t="s">
        <v>66</v>
      </c>
      <c r="B86" s="2" t="s">
        <v>169</v>
      </c>
      <c r="C86" s="2" t="s">
        <v>56</v>
      </c>
      <c r="D86" s="2" t="s">
        <v>26</v>
      </c>
      <c r="E86" s="7">
        <v>0</v>
      </c>
      <c r="F86" s="7">
        <v>1</v>
      </c>
    </row>
    <row r="87" spans="1:6">
      <c r="A87" s="2" t="s">
        <v>66</v>
      </c>
      <c r="B87" s="2" t="s">
        <v>170</v>
      </c>
      <c r="C87" s="2" t="s">
        <v>56</v>
      </c>
      <c r="D87" s="2" t="s">
        <v>26</v>
      </c>
      <c r="E87" s="7">
        <v>0</v>
      </c>
      <c r="F87" s="7">
        <v>1</v>
      </c>
    </row>
    <row r="88" spans="1:6">
      <c r="A88" s="2" t="s">
        <v>66</v>
      </c>
      <c r="B88" s="2" t="s">
        <v>171</v>
      </c>
      <c r="C88" s="2" t="s">
        <v>56</v>
      </c>
      <c r="D88" s="2" t="s">
        <v>26</v>
      </c>
      <c r="E88" s="7">
        <v>0</v>
      </c>
      <c r="F88" s="7">
        <v>2</v>
      </c>
    </row>
    <row r="89" spans="1:6">
      <c r="A89" s="2" t="s">
        <v>66</v>
      </c>
      <c r="B89" s="2" t="s">
        <v>172</v>
      </c>
      <c r="C89" s="2" t="s">
        <v>173</v>
      </c>
      <c r="D89" s="2" t="s">
        <v>26</v>
      </c>
      <c r="E89" s="7">
        <v>2</v>
      </c>
      <c r="F89" s="7">
        <v>1</v>
      </c>
    </row>
    <row r="90" spans="1:6">
      <c r="A90" s="2" t="s">
        <v>66</v>
      </c>
      <c r="B90" s="2" t="s">
        <v>174</v>
      </c>
      <c r="C90" s="2" t="s">
        <v>56</v>
      </c>
      <c r="D90" s="2" t="s">
        <v>26</v>
      </c>
      <c r="E90" s="7">
        <v>0</v>
      </c>
      <c r="F90" s="7">
        <v>1</v>
      </c>
    </row>
    <row r="91" spans="1:6">
      <c r="A91" s="2" t="s">
        <v>66</v>
      </c>
      <c r="B91" s="2" t="s">
        <v>175</v>
      </c>
      <c r="C91" s="2" t="s">
        <v>56</v>
      </c>
      <c r="D91" s="2" t="s">
        <v>26</v>
      </c>
      <c r="E91" s="7">
        <v>0</v>
      </c>
      <c r="F91" s="7">
        <v>2</v>
      </c>
    </row>
    <row r="92" spans="1:6">
      <c r="A92" s="2" t="s">
        <v>66</v>
      </c>
      <c r="B92" s="2" t="s">
        <v>176</v>
      </c>
      <c r="C92" s="2" t="s">
        <v>56</v>
      </c>
      <c r="D92" s="2" t="s">
        <v>26</v>
      </c>
      <c r="E92" s="7">
        <v>0</v>
      </c>
      <c r="F92" s="7">
        <v>1</v>
      </c>
    </row>
    <row r="93" spans="1:6">
      <c r="A93" s="2" t="s">
        <v>66</v>
      </c>
      <c r="B93" s="2" t="s">
        <v>177</v>
      </c>
      <c r="C93" s="2" t="s">
        <v>56</v>
      </c>
      <c r="D93" s="2" t="s">
        <v>26</v>
      </c>
      <c r="E93" s="7">
        <v>0</v>
      </c>
      <c r="F93" s="7">
        <v>5</v>
      </c>
    </row>
    <row r="94" spans="1:6">
      <c r="A94" s="2" t="s">
        <v>66</v>
      </c>
      <c r="B94" s="2" t="s">
        <v>178</v>
      </c>
      <c r="C94" s="2" t="s">
        <v>179</v>
      </c>
      <c r="D94" s="2" t="s">
        <v>180</v>
      </c>
      <c r="E94" s="7">
        <v>1915630</v>
      </c>
      <c r="F94" s="7">
        <v>1942</v>
      </c>
    </row>
    <row r="95" spans="1:6">
      <c r="A95" s="2" t="s">
        <v>66</v>
      </c>
      <c r="B95" s="2" t="s">
        <v>181</v>
      </c>
      <c r="C95" s="2" t="s">
        <v>182</v>
      </c>
      <c r="D95" s="2" t="s">
        <v>35</v>
      </c>
      <c r="E95" s="7">
        <v>687434</v>
      </c>
      <c r="F95" s="7">
        <v>593</v>
      </c>
    </row>
    <row r="96" spans="1:6">
      <c r="A96" s="2" t="s">
        <v>66</v>
      </c>
      <c r="B96" s="2" t="s">
        <v>183</v>
      </c>
      <c r="C96" s="2" t="s">
        <v>184</v>
      </c>
      <c r="D96" s="2" t="s">
        <v>35</v>
      </c>
      <c r="E96" s="7">
        <v>1018986</v>
      </c>
      <c r="F96" s="7">
        <v>802</v>
      </c>
    </row>
    <row r="97" spans="1:6">
      <c r="A97" s="2" t="s">
        <v>66</v>
      </c>
      <c r="B97" s="2" t="s">
        <v>185</v>
      </c>
      <c r="C97" s="2" t="s">
        <v>186</v>
      </c>
      <c r="D97" s="2" t="s">
        <v>35</v>
      </c>
      <c r="E97" s="7">
        <v>983817</v>
      </c>
      <c r="F97" s="7">
        <v>766</v>
      </c>
    </row>
    <row r="98" spans="1:6">
      <c r="A98" s="2" t="s">
        <v>66</v>
      </c>
      <c r="B98" s="2" t="s">
        <v>187</v>
      </c>
      <c r="C98" s="2" t="s">
        <v>188</v>
      </c>
      <c r="D98" s="2" t="s">
        <v>35</v>
      </c>
      <c r="E98" s="7">
        <v>964759</v>
      </c>
      <c r="F98" s="7">
        <v>803</v>
      </c>
    </row>
    <row r="99" spans="1:6">
      <c r="A99" s="2" t="s">
        <v>66</v>
      </c>
      <c r="B99" s="2" t="s">
        <v>189</v>
      </c>
      <c r="C99" s="2" t="s">
        <v>85</v>
      </c>
      <c r="D99" s="2" t="s">
        <v>35</v>
      </c>
      <c r="E99" s="7">
        <v>42303</v>
      </c>
      <c r="F99" s="7">
        <v>10</v>
      </c>
    </row>
    <row r="100" spans="1:6">
      <c r="A100" s="2" t="s">
        <v>66</v>
      </c>
      <c r="B100" s="2" t="s">
        <v>190</v>
      </c>
      <c r="C100" s="2" t="s">
        <v>191</v>
      </c>
      <c r="D100" s="2" t="s">
        <v>35</v>
      </c>
      <c r="E100" s="7">
        <v>28871</v>
      </c>
      <c r="F100" s="7">
        <v>3</v>
      </c>
    </row>
    <row r="101" spans="1:6">
      <c r="A101" s="2" t="s">
        <v>66</v>
      </c>
      <c r="B101" s="2" t="s">
        <v>192</v>
      </c>
      <c r="C101" s="2" t="s">
        <v>193</v>
      </c>
      <c r="D101" s="2" t="s">
        <v>35</v>
      </c>
      <c r="E101" s="7">
        <v>2</v>
      </c>
      <c r="F101" s="7">
        <v>0</v>
      </c>
    </row>
    <row r="102" spans="1:6">
      <c r="A102" s="2" t="s">
        <v>66</v>
      </c>
      <c r="B102" s="2" t="s">
        <v>194</v>
      </c>
      <c r="C102" s="2" t="s">
        <v>195</v>
      </c>
      <c r="D102" s="2" t="s">
        <v>35</v>
      </c>
      <c r="E102" s="7">
        <v>2</v>
      </c>
      <c r="F102" s="7">
        <v>1</v>
      </c>
    </row>
    <row r="103" spans="1:6">
      <c r="A103" s="2" t="s">
        <v>66</v>
      </c>
      <c r="B103" s="2" t="s">
        <v>196</v>
      </c>
      <c r="C103" s="2" t="s">
        <v>197</v>
      </c>
      <c r="D103" s="2" t="s">
        <v>35</v>
      </c>
      <c r="E103" s="7">
        <v>570730</v>
      </c>
      <c r="F103" s="7">
        <v>75</v>
      </c>
    </row>
    <row r="104" spans="1:6">
      <c r="A104" s="2" t="s">
        <v>66</v>
      </c>
      <c r="B104" s="2" t="s">
        <v>198</v>
      </c>
      <c r="C104" s="2" t="s">
        <v>199</v>
      </c>
      <c r="D104" s="2" t="s">
        <v>35</v>
      </c>
      <c r="E104" s="7">
        <v>500371</v>
      </c>
      <c r="F104" s="7">
        <v>56</v>
      </c>
    </row>
    <row r="105" spans="1:6">
      <c r="A105" s="2" t="s">
        <v>66</v>
      </c>
      <c r="B105" s="2" t="s">
        <v>200</v>
      </c>
      <c r="C105" s="2" t="s">
        <v>201</v>
      </c>
      <c r="D105" s="2" t="s">
        <v>35</v>
      </c>
      <c r="E105" s="7">
        <v>164433</v>
      </c>
      <c r="F105" s="7">
        <v>20</v>
      </c>
    </row>
    <row r="106" spans="1:6">
      <c r="A106" s="2" t="s">
        <v>66</v>
      </c>
      <c r="B106" s="2" t="s">
        <v>202</v>
      </c>
      <c r="C106" s="2" t="s">
        <v>203</v>
      </c>
      <c r="D106" s="2" t="s">
        <v>35</v>
      </c>
      <c r="E106" s="7">
        <v>188057</v>
      </c>
      <c r="F106" s="7">
        <v>23</v>
      </c>
    </row>
    <row r="107" spans="1:6">
      <c r="A107" s="2" t="s">
        <v>66</v>
      </c>
      <c r="B107" s="2" t="s">
        <v>204</v>
      </c>
      <c r="C107" s="2" t="s">
        <v>56</v>
      </c>
      <c r="D107" s="2" t="s">
        <v>35</v>
      </c>
      <c r="E107" s="7">
        <v>0</v>
      </c>
      <c r="F107" s="7">
        <v>1</v>
      </c>
    </row>
    <row r="108" spans="1:6">
      <c r="A108" s="2" t="s">
        <v>66</v>
      </c>
      <c r="B108" s="2" t="s">
        <v>205</v>
      </c>
      <c r="C108" s="2" t="s">
        <v>56</v>
      </c>
      <c r="D108" s="2" t="s">
        <v>35</v>
      </c>
      <c r="E108" s="7">
        <v>0</v>
      </c>
      <c r="F108" s="7">
        <v>1</v>
      </c>
    </row>
    <row r="109" spans="1:6">
      <c r="A109" s="2" t="s">
        <v>66</v>
      </c>
      <c r="B109" s="2" t="s">
        <v>206</v>
      </c>
      <c r="C109" s="2" t="s">
        <v>56</v>
      </c>
      <c r="D109" s="2" t="s">
        <v>35</v>
      </c>
      <c r="E109" s="7">
        <v>0</v>
      </c>
      <c r="F109" s="7">
        <v>1</v>
      </c>
    </row>
    <row r="110" spans="1:6">
      <c r="A110" s="2" t="s">
        <v>66</v>
      </c>
      <c r="B110" s="2" t="s">
        <v>207</v>
      </c>
      <c r="C110" s="2" t="s">
        <v>56</v>
      </c>
      <c r="D110" s="2" t="s">
        <v>35</v>
      </c>
      <c r="E110" s="7">
        <v>0</v>
      </c>
      <c r="F110" s="7">
        <v>1</v>
      </c>
    </row>
    <row r="111" spans="1:6">
      <c r="A111" s="2" t="s">
        <v>66</v>
      </c>
      <c r="B111" s="2" t="s">
        <v>208</v>
      </c>
      <c r="C111" s="2" t="s">
        <v>69</v>
      </c>
      <c r="D111" s="2" t="s">
        <v>65</v>
      </c>
      <c r="E111" s="7">
        <v>405922</v>
      </c>
      <c r="F111" s="7">
        <v>313</v>
      </c>
    </row>
    <row r="112" spans="1:6">
      <c r="A112" s="2" t="s">
        <v>66</v>
      </c>
      <c r="B112" s="2" t="s">
        <v>209</v>
      </c>
      <c r="C112" s="2" t="s">
        <v>75</v>
      </c>
      <c r="D112" s="2" t="s">
        <v>65</v>
      </c>
      <c r="E112" s="7">
        <v>109385</v>
      </c>
      <c r="F112" s="7">
        <v>97</v>
      </c>
    </row>
    <row r="113" spans="1:6">
      <c r="A113" s="2" t="s">
        <v>66</v>
      </c>
      <c r="B113" s="2" t="s">
        <v>210</v>
      </c>
      <c r="C113" s="2" t="s">
        <v>77</v>
      </c>
      <c r="D113" s="2" t="s">
        <v>65</v>
      </c>
      <c r="E113" s="7">
        <v>101691</v>
      </c>
      <c r="F113" s="7">
        <v>100</v>
      </c>
    </row>
    <row r="114" spans="1:6">
      <c r="A114" s="2" t="s">
        <v>66</v>
      </c>
      <c r="B114" s="2" t="s">
        <v>211</v>
      </c>
      <c r="C114" s="2" t="s">
        <v>77</v>
      </c>
      <c r="D114" s="2" t="s">
        <v>65</v>
      </c>
      <c r="E114" s="7">
        <v>82195</v>
      </c>
      <c r="F114" s="7">
        <v>75</v>
      </c>
    </row>
    <row r="115" spans="1:6">
      <c r="A115" s="2" t="s">
        <v>66</v>
      </c>
      <c r="B115" s="2" t="s">
        <v>212</v>
      </c>
      <c r="C115" s="2" t="s">
        <v>81</v>
      </c>
      <c r="D115" s="2" t="s">
        <v>65</v>
      </c>
      <c r="E115" s="7">
        <v>1925794</v>
      </c>
      <c r="F115" s="7">
        <v>974</v>
      </c>
    </row>
    <row r="116" spans="1:6">
      <c r="A116" s="2" t="s">
        <v>66</v>
      </c>
      <c r="B116" s="2" t="s">
        <v>213</v>
      </c>
      <c r="C116" s="2" t="s">
        <v>87</v>
      </c>
      <c r="D116" s="2" t="s">
        <v>65</v>
      </c>
      <c r="E116" s="7">
        <v>505190</v>
      </c>
      <c r="F116" s="7">
        <v>317</v>
      </c>
    </row>
    <row r="117" spans="1:6">
      <c r="A117" s="2" t="s">
        <v>66</v>
      </c>
      <c r="B117" s="2" t="s">
        <v>214</v>
      </c>
      <c r="C117" s="2" t="s">
        <v>89</v>
      </c>
      <c r="D117" s="2" t="s">
        <v>65</v>
      </c>
      <c r="E117" s="7">
        <v>471748</v>
      </c>
      <c r="F117" s="7">
        <v>429</v>
      </c>
    </row>
    <row r="118" spans="1:6">
      <c r="A118" s="2" t="s">
        <v>66</v>
      </c>
      <c r="B118" s="2" t="s">
        <v>215</v>
      </c>
      <c r="C118" s="2" t="s">
        <v>89</v>
      </c>
      <c r="D118" s="2" t="s">
        <v>65</v>
      </c>
      <c r="E118" s="7">
        <v>305967</v>
      </c>
      <c r="F118" s="7">
        <v>715</v>
      </c>
    </row>
    <row r="119" spans="1:6">
      <c r="A119" s="2" t="s">
        <v>66</v>
      </c>
      <c r="B119" s="2" t="s">
        <v>216</v>
      </c>
      <c r="C119" s="2" t="s">
        <v>113</v>
      </c>
      <c r="D119" s="2" t="s">
        <v>65</v>
      </c>
      <c r="E119" s="7">
        <v>1891464</v>
      </c>
      <c r="F119" s="7">
        <v>7116</v>
      </c>
    </row>
    <row r="120" spans="1:6">
      <c r="A120" s="2" t="s">
        <v>66</v>
      </c>
      <c r="B120" s="2" t="s">
        <v>217</v>
      </c>
      <c r="C120" s="2" t="s">
        <v>119</v>
      </c>
      <c r="D120" s="2" t="s">
        <v>65</v>
      </c>
      <c r="E120" s="7">
        <v>1868022</v>
      </c>
      <c r="F120" s="7">
        <v>5668</v>
      </c>
    </row>
    <row r="121" spans="1:6">
      <c r="A121" s="2" t="s">
        <v>66</v>
      </c>
      <c r="B121" s="2" t="s">
        <v>218</v>
      </c>
      <c r="C121" s="2" t="s">
        <v>121</v>
      </c>
      <c r="D121" s="2" t="s">
        <v>65</v>
      </c>
      <c r="E121" s="7">
        <v>1063713</v>
      </c>
      <c r="F121" s="7">
        <v>4161</v>
      </c>
    </row>
    <row r="122" spans="1:6">
      <c r="A122" s="2" t="s">
        <v>66</v>
      </c>
      <c r="B122" s="2" t="s">
        <v>219</v>
      </c>
      <c r="C122" s="2" t="s">
        <v>121</v>
      </c>
      <c r="D122" s="2" t="s">
        <v>65</v>
      </c>
      <c r="E122" s="7">
        <v>1456433</v>
      </c>
      <c r="F122" s="7">
        <v>6110</v>
      </c>
    </row>
    <row r="123" spans="1:6">
      <c r="A123" s="2" t="s">
        <v>66</v>
      </c>
      <c r="B123" s="2" t="s">
        <v>220</v>
      </c>
      <c r="C123" s="2" t="s">
        <v>125</v>
      </c>
      <c r="D123" s="2" t="s">
        <v>65</v>
      </c>
      <c r="E123" s="7">
        <v>920427</v>
      </c>
      <c r="F123" s="7">
        <v>2223</v>
      </c>
    </row>
    <row r="124" spans="1:6">
      <c r="A124" s="2" t="s">
        <v>66</v>
      </c>
      <c r="B124" s="2" t="s">
        <v>221</v>
      </c>
      <c r="C124" s="2" t="s">
        <v>131</v>
      </c>
      <c r="D124" s="2" t="s">
        <v>65</v>
      </c>
      <c r="E124" s="7">
        <v>799455</v>
      </c>
      <c r="F124" s="7">
        <v>1225</v>
      </c>
    </row>
    <row r="125" spans="1:6">
      <c r="A125" s="2" t="s">
        <v>66</v>
      </c>
      <c r="B125" s="2" t="s">
        <v>222</v>
      </c>
      <c r="C125" s="2" t="s">
        <v>133</v>
      </c>
      <c r="D125" s="2" t="s">
        <v>65</v>
      </c>
      <c r="E125" s="7">
        <v>575668</v>
      </c>
      <c r="F125" s="7">
        <v>2427</v>
      </c>
    </row>
    <row r="126" spans="1:6">
      <c r="A126" s="2" t="s">
        <v>66</v>
      </c>
      <c r="B126" s="2" t="s">
        <v>223</v>
      </c>
      <c r="C126" s="2" t="s">
        <v>133</v>
      </c>
      <c r="D126" s="2" t="s">
        <v>65</v>
      </c>
      <c r="E126" s="7">
        <v>758370</v>
      </c>
      <c r="F126" s="7">
        <v>5184</v>
      </c>
    </row>
    <row r="127" spans="1:6">
      <c r="A127" s="2" t="s">
        <v>66</v>
      </c>
      <c r="B127" s="2" t="s">
        <v>224</v>
      </c>
      <c r="C127" s="2" t="s">
        <v>137</v>
      </c>
      <c r="D127" s="2" t="s">
        <v>65</v>
      </c>
      <c r="E127" s="7">
        <v>5323071</v>
      </c>
      <c r="F127" s="7">
        <v>20240</v>
      </c>
    </row>
    <row r="128" spans="1:6">
      <c r="A128" s="2" t="s">
        <v>66</v>
      </c>
      <c r="B128" s="2" t="s">
        <v>225</v>
      </c>
      <c r="C128" s="2" t="s">
        <v>143</v>
      </c>
      <c r="D128" s="2" t="s">
        <v>65</v>
      </c>
      <c r="E128" s="7">
        <v>4993934</v>
      </c>
      <c r="F128" s="7">
        <v>15853</v>
      </c>
    </row>
    <row r="129" spans="1:6">
      <c r="A129" s="2" t="s">
        <v>66</v>
      </c>
      <c r="B129" s="2" t="s">
        <v>226</v>
      </c>
      <c r="C129" s="2" t="s">
        <v>145</v>
      </c>
      <c r="D129" s="2" t="s">
        <v>65</v>
      </c>
      <c r="E129" s="7">
        <v>2603438</v>
      </c>
      <c r="F129" s="7">
        <v>10133</v>
      </c>
    </row>
    <row r="130" spans="1:6">
      <c r="A130" s="2" t="s">
        <v>66</v>
      </c>
      <c r="B130" s="2" t="s">
        <v>227</v>
      </c>
      <c r="C130" s="2" t="s">
        <v>145</v>
      </c>
      <c r="D130" s="2" t="s">
        <v>65</v>
      </c>
      <c r="E130" s="7">
        <v>3300428</v>
      </c>
      <c r="F130" s="7">
        <v>15285</v>
      </c>
    </row>
    <row r="131" spans="1:6">
      <c r="A131" s="2" t="s">
        <v>66</v>
      </c>
      <c r="B131" s="2" t="s">
        <v>228</v>
      </c>
      <c r="C131" s="2" t="s">
        <v>148</v>
      </c>
      <c r="D131" s="2" t="s">
        <v>65</v>
      </c>
      <c r="E131" s="7">
        <v>2349374</v>
      </c>
      <c r="F131" s="7">
        <v>2287</v>
      </c>
    </row>
    <row r="132" spans="1:6">
      <c r="A132" s="2" t="s">
        <v>66</v>
      </c>
      <c r="B132" s="2" t="s">
        <v>229</v>
      </c>
      <c r="C132" s="2" t="s">
        <v>150</v>
      </c>
      <c r="D132" s="2" t="s">
        <v>65</v>
      </c>
      <c r="E132" s="7">
        <v>1</v>
      </c>
      <c r="F132" s="7">
        <v>0</v>
      </c>
    </row>
    <row r="133" spans="1:6">
      <c r="A133" s="2" t="s">
        <v>66</v>
      </c>
      <c r="B133" s="2" t="s">
        <v>230</v>
      </c>
      <c r="C133" s="2" t="s">
        <v>152</v>
      </c>
      <c r="D133" s="2" t="s">
        <v>65</v>
      </c>
      <c r="E133" s="7">
        <v>1</v>
      </c>
      <c r="F133" s="7">
        <v>1</v>
      </c>
    </row>
    <row r="134" spans="1:6">
      <c r="A134" s="2" t="s">
        <v>66</v>
      </c>
      <c r="B134" s="2" t="s">
        <v>231</v>
      </c>
      <c r="C134" s="2" t="s">
        <v>154</v>
      </c>
      <c r="D134" s="2" t="s">
        <v>65</v>
      </c>
      <c r="E134" s="7">
        <v>1646725</v>
      </c>
      <c r="F134" s="7">
        <v>1623</v>
      </c>
    </row>
    <row r="135" spans="1:6">
      <c r="A135" s="2" t="s">
        <v>66</v>
      </c>
      <c r="B135" s="2" t="s">
        <v>232</v>
      </c>
      <c r="C135" s="2" t="s">
        <v>156</v>
      </c>
      <c r="D135" s="2" t="s">
        <v>65</v>
      </c>
      <c r="E135" s="7">
        <v>1037628</v>
      </c>
      <c r="F135" s="7">
        <v>946</v>
      </c>
    </row>
    <row r="136" spans="1:6">
      <c r="A136" s="2" t="s">
        <v>66</v>
      </c>
      <c r="B136" s="2" t="s">
        <v>233</v>
      </c>
      <c r="C136" s="2" t="s">
        <v>156</v>
      </c>
      <c r="D136" s="2" t="s">
        <v>65</v>
      </c>
      <c r="E136" s="7">
        <v>1095569</v>
      </c>
      <c r="F136" s="7">
        <v>912</v>
      </c>
    </row>
    <row r="137" spans="1:6">
      <c r="A137" s="2" t="s">
        <v>66</v>
      </c>
      <c r="B137" s="2" t="s">
        <v>234</v>
      </c>
      <c r="C137" s="2" t="s">
        <v>56</v>
      </c>
      <c r="D137" s="2" t="s">
        <v>65</v>
      </c>
      <c r="E137" s="7">
        <v>3244427</v>
      </c>
      <c r="F137" s="7">
        <v>15543</v>
      </c>
    </row>
    <row r="138" spans="1:6">
      <c r="A138" s="2" t="s">
        <v>66</v>
      </c>
      <c r="B138" s="2" t="s">
        <v>235</v>
      </c>
      <c r="C138" s="2" t="s">
        <v>56</v>
      </c>
      <c r="D138" s="2" t="s">
        <v>65</v>
      </c>
      <c r="E138" s="7">
        <v>1556333</v>
      </c>
      <c r="F138" s="7">
        <v>12832</v>
      </c>
    </row>
    <row r="139" spans="1:6">
      <c r="A139" s="2" t="s">
        <v>66</v>
      </c>
      <c r="B139" s="2" t="s">
        <v>236</v>
      </c>
      <c r="C139" s="2" t="s">
        <v>56</v>
      </c>
      <c r="D139" s="2" t="s">
        <v>65</v>
      </c>
      <c r="E139" s="7">
        <v>452952</v>
      </c>
      <c r="F139" s="7">
        <v>1351</v>
      </c>
    </row>
    <row r="140" spans="1:6">
      <c r="A140" s="2" t="s">
        <v>66</v>
      </c>
      <c r="B140" s="2" t="s">
        <v>237</v>
      </c>
      <c r="C140" s="2" t="s">
        <v>56</v>
      </c>
      <c r="D140" s="2" t="s">
        <v>65</v>
      </c>
      <c r="E140" s="7">
        <v>0</v>
      </c>
      <c r="F140" s="7">
        <v>2</v>
      </c>
    </row>
    <row r="141" spans="1:6">
      <c r="A141" s="2" t="s">
        <v>66</v>
      </c>
      <c r="B141" s="2" t="s">
        <v>237</v>
      </c>
      <c r="C141" s="2" t="s">
        <v>56</v>
      </c>
      <c r="D141" s="2" t="s">
        <v>65</v>
      </c>
      <c r="E141" s="7">
        <v>0</v>
      </c>
      <c r="F141" s="7">
        <v>3</v>
      </c>
    </row>
    <row r="142" spans="1:6">
      <c r="A142" s="2" t="s">
        <v>66</v>
      </c>
      <c r="B142" s="2" t="s">
        <v>238</v>
      </c>
      <c r="C142" s="2" t="s">
        <v>56</v>
      </c>
      <c r="D142" s="2" t="s">
        <v>65</v>
      </c>
      <c r="E142" s="7">
        <v>859102</v>
      </c>
      <c r="F142" s="7">
        <v>6239</v>
      </c>
    </row>
    <row r="143" spans="1:6">
      <c r="A143" s="2" t="s">
        <v>66</v>
      </c>
      <c r="B143" s="2" t="s">
        <v>239</v>
      </c>
      <c r="C143" s="2" t="s">
        <v>56</v>
      </c>
      <c r="D143" s="2" t="s">
        <v>65</v>
      </c>
      <c r="E143" s="7">
        <v>0</v>
      </c>
      <c r="F143" s="7">
        <v>896487</v>
      </c>
    </row>
    <row r="144" spans="1:6">
      <c r="A144" s="2" t="s">
        <v>66</v>
      </c>
      <c r="B144" s="2" t="s">
        <v>240</v>
      </c>
      <c r="C144" s="2" t="s">
        <v>56</v>
      </c>
      <c r="D144" s="2" t="s">
        <v>65</v>
      </c>
      <c r="E144" s="7">
        <v>10801537</v>
      </c>
      <c r="F144" s="7">
        <v>65937</v>
      </c>
    </row>
    <row r="145" spans="1:6">
      <c r="A145" s="2" t="s">
        <v>66</v>
      </c>
      <c r="B145" s="2" t="s">
        <v>241</v>
      </c>
      <c r="C145" s="2" t="s">
        <v>56</v>
      </c>
      <c r="D145" s="2" t="s">
        <v>65</v>
      </c>
      <c r="E145" s="7">
        <v>0</v>
      </c>
      <c r="F145" s="7">
        <v>1</v>
      </c>
    </row>
    <row r="146" spans="1:6">
      <c r="A146" s="2" t="s">
        <v>66</v>
      </c>
      <c r="B146" s="2" t="s">
        <v>242</v>
      </c>
      <c r="C146" s="2" t="s">
        <v>56</v>
      </c>
      <c r="D146" s="2" t="s">
        <v>65</v>
      </c>
      <c r="E146" s="7">
        <v>0</v>
      </c>
      <c r="F146" s="7">
        <v>1</v>
      </c>
    </row>
    <row r="147" spans="1:6">
      <c r="A147" s="2" t="s">
        <v>66</v>
      </c>
      <c r="B147" s="2" t="s">
        <v>243</v>
      </c>
      <c r="C147" s="2" t="s">
        <v>56</v>
      </c>
      <c r="D147" s="2" t="s">
        <v>65</v>
      </c>
      <c r="E147" s="7">
        <v>0</v>
      </c>
      <c r="F147" s="7">
        <v>1</v>
      </c>
    </row>
    <row r="148" spans="1:6">
      <c r="A148" s="2" t="s">
        <v>244</v>
      </c>
      <c r="B148" s="2" t="s">
        <v>245</v>
      </c>
      <c r="C148" s="2" t="s">
        <v>246</v>
      </c>
      <c r="D148" s="2" t="s">
        <v>247</v>
      </c>
      <c r="E148" s="7">
        <v>167590</v>
      </c>
      <c r="F148" s="7">
        <v>68</v>
      </c>
    </row>
    <row r="149" spans="1:6">
      <c r="A149" s="2" t="s">
        <v>244</v>
      </c>
      <c r="B149" s="2" t="s">
        <v>248</v>
      </c>
      <c r="C149" s="2" t="s">
        <v>249</v>
      </c>
      <c r="D149" s="2" t="s">
        <v>247</v>
      </c>
      <c r="E149" s="7">
        <v>310</v>
      </c>
      <c r="F149" s="7">
        <v>0</v>
      </c>
    </row>
    <row r="150" spans="1:6">
      <c r="A150" s="2" t="s">
        <v>244</v>
      </c>
      <c r="B150" s="2" t="s">
        <v>248</v>
      </c>
      <c r="C150" s="2" t="s">
        <v>249</v>
      </c>
      <c r="D150" s="2" t="s">
        <v>247</v>
      </c>
      <c r="E150" s="7">
        <v>185</v>
      </c>
      <c r="F150" s="7">
        <v>5</v>
      </c>
    </row>
    <row r="151" spans="1:6">
      <c r="A151" s="2" t="s">
        <v>244</v>
      </c>
      <c r="B151" s="2" t="s">
        <v>250</v>
      </c>
      <c r="C151" s="2" t="s">
        <v>251</v>
      </c>
      <c r="D151" s="2" t="s">
        <v>247</v>
      </c>
      <c r="E151" s="7">
        <v>338129</v>
      </c>
      <c r="F151" s="7">
        <v>136</v>
      </c>
    </row>
    <row r="152" spans="1:6">
      <c r="A152" s="2" t="s">
        <v>244</v>
      </c>
      <c r="B152" s="2" t="s">
        <v>252</v>
      </c>
      <c r="C152" s="2" t="s">
        <v>253</v>
      </c>
      <c r="D152" s="2" t="s">
        <v>247</v>
      </c>
      <c r="E152" s="7">
        <v>3900</v>
      </c>
      <c r="F152" s="7">
        <v>5</v>
      </c>
    </row>
    <row r="153" spans="1:6">
      <c r="A153" s="2" t="s">
        <v>244</v>
      </c>
      <c r="B153" s="2" t="s">
        <v>254</v>
      </c>
      <c r="C153" s="2" t="s">
        <v>255</v>
      </c>
      <c r="D153" s="2" t="s">
        <v>247</v>
      </c>
      <c r="E153" s="7">
        <v>19790</v>
      </c>
      <c r="F153" s="7">
        <v>25</v>
      </c>
    </row>
    <row r="154" spans="1:6">
      <c r="A154" s="2" t="s">
        <v>244</v>
      </c>
      <c r="B154" s="2" t="s">
        <v>256</v>
      </c>
      <c r="C154" s="2" t="s">
        <v>257</v>
      </c>
      <c r="D154" s="2" t="s">
        <v>247</v>
      </c>
      <c r="E154" s="7">
        <v>203</v>
      </c>
      <c r="F154" s="7">
        <v>5</v>
      </c>
    </row>
    <row r="155" spans="1:6">
      <c r="A155" s="2" t="s">
        <v>244</v>
      </c>
      <c r="B155" s="2" t="s">
        <v>256</v>
      </c>
      <c r="C155" s="2" t="s">
        <v>257</v>
      </c>
      <c r="D155" s="2" t="s">
        <v>247</v>
      </c>
      <c r="E155" s="7">
        <v>233</v>
      </c>
      <c r="F155" s="7">
        <v>1</v>
      </c>
    </row>
    <row r="156" spans="1:6">
      <c r="A156" s="2" t="s">
        <v>244</v>
      </c>
      <c r="B156" s="2" t="s">
        <v>258</v>
      </c>
      <c r="C156" s="2" t="s">
        <v>259</v>
      </c>
      <c r="D156" s="2" t="s">
        <v>247</v>
      </c>
      <c r="E156" s="7">
        <v>80741</v>
      </c>
      <c r="F156" s="7">
        <v>72</v>
      </c>
    </row>
    <row r="157" spans="1:6">
      <c r="A157" s="2" t="s">
        <v>244</v>
      </c>
      <c r="B157" s="2" t="s">
        <v>260</v>
      </c>
      <c r="C157" s="2" t="s">
        <v>261</v>
      </c>
      <c r="D157" s="2" t="s">
        <v>247</v>
      </c>
      <c r="E157" s="7">
        <v>4647</v>
      </c>
      <c r="F157" s="7">
        <v>7</v>
      </c>
    </row>
    <row r="158" spans="1:6">
      <c r="A158" s="2" t="s">
        <v>244</v>
      </c>
      <c r="B158" s="2" t="s">
        <v>262</v>
      </c>
      <c r="C158" s="2" t="s">
        <v>263</v>
      </c>
      <c r="D158" s="2" t="s">
        <v>247</v>
      </c>
      <c r="E158" s="7">
        <v>27636</v>
      </c>
      <c r="F158" s="7">
        <v>24</v>
      </c>
    </row>
    <row r="159" spans="1:6">
      <c r="A159" s="2" t="s">
        <v>244</v>
      </c>
      <c r="B159" s="2" t="s">
        <v>264</v>
      </c>
      <c r="C159" s="2" t="s">
        <v>265</v>
      </c>
      <c r="D159" s="2" t="s">
        <v>247</v>
      </c>
      <c r="E159" s="7">
        <v>3331</v>
      </c>
      <c r="F159" s="7">
        <v>4</v>
      </c>
    </row>
    <row r="160" spans="1:6">
      <c r="A160" s="2" t="s">
        <v>244</v>
      </c>
      <c r="B160" s="2" t="s">
        <v>264</v>
      </c>
      <c r="C160" s="2" t="s">
        <v>265</v>
      </c>
      <c r="D160" s="2" t="s">
        <v>247</v>
      </c>
      <c r="E160" s="7">
        <v>2276</v>
      </c>
      <c r="F160" s="7">
        <v>3</v>
      </c>
    </row>
    <row r="161" spans="1:6">
      <c r="A161" s="2" t="s">
        <v>244</v>
      </c>
      <c r="B161" s="2" t="s">
        <v>266</v>
      </c>
      <c r="C161" s="2" t="s">
        <v>267</v>
      </c>
      <c r="D161" s="2" t="s">
        <v>247</v>
      </c>
      <c r="E161" s="7">
        <v>1745</v>
      </c>
      <c r="F161" s="7">
        <v>1</v>
      </c>
    </row>
    <row r="162" spans="1:6">
      <c r="A162" s="2" t="s">
        <v>244</v>
      </c>
      <c r="B162" s="2" t="s">
        <v>268</v>
      </c>
      <c r="C162" s="2" t="s">
        <v>269</v>
      </c>
      <c r="D162" s="2" t="s">
        <v>247</v>
      </c>
      <c r="E162" s="7">
        <v>12108</v>
      </c>
      <c r="F162" s="7">
        <v>3</v>
      </c>
    </row>
    <row r="163" spans="1:6">
      <c r="A163" s="2" t="s">
        <v>244</v>
      </c>
      <c r="B163" s="2" t="s">
        <v>270</v>
      </c>
      <c r="C163" s="2" t="s">
        <v>271</v>
      </c>
      <c r="D163" s="2" t="s">
        <v>247</v>
      </c>
      <c r="E163" s="7">
        <v>215</v>
      </c>
      <c r="F163" s="7">
        <v>2</v>
      </c>
    </row>
    <row r="164" spans="1:6">
      <c r="A164" s="2" t="s">
        <v>244</v>
      </c>
      <c r="B164" s="2" t="s">
        <v>270</v>
      </c>
      <c r="C164" s="2" t="s">
        <v>271</v>
      </c>
      <c r="D164" s="2" t="s">
        <v>247</v>
      </c>
      <c r="E164" s="7">
        <v>187</v>
      </c>
      <c r="F164" s="7">
        <v>0</v>
      </c>
    </row>
    <row r="165" spans="1:6">
      <c r="A165" s="2" t="s">
        <v>244</v>
      </c>
      <c r="B165" s="2" t="s">
        <v>272</v>
      </c>
      <c r="C165" s="2" t="s">
        <v>273</v>
      </c>
      <c r="D165" s="2" t="s">
        <v>247</v>
      </c>
      <c r="E165" s="7">
        <v>53338</v>
      </c>
      <c r="F165" s="7">
        <v>20</v>
      </c>
    </row>
    <row r="166" spans="1:6">
      <c r="A166" s="2" t="s">
        <v>244</v>
      </c>
      <c r="B166" s="2" t="s">
        <v>274</v>
      </c>
      <c r="C166" s="2" t="s">
        <v>275</v>
      </c>
      <c r="D166" s="2" t="s">
        <v>247</v>
      </c>
      <c r="E166" s="7">
        <v>67373</v>
      </c>
      <c r="F166" s="7">
        <v>240</v>
      </c>
    </row>
    <row r="167" spans="1:6">
      <c r="A167" s="2" t="s">
        <v>244</v>
      </c>
      <c r="B167" s="2" t="s">
        <v>276</v>
      </c>
      <c r="C167" s="2" t="s">
        <v>277</v>
      </c>
      <c r="D167" s="2" t="s">
        <v>247</v>
      </c>
      <c r="E167" s="7">
        <v>347972</v>
      </c>
      <c r="F167" s="7">
        <v>1230</v>
      </c>
    </row>
    <row r="168" spans="1:6">
      <c r="A168" s="2" t="s">
        <v>244</v>
      </c>
      <c r="B168" s="2" t="s">
        <v>278</v>
      </c>
      <c r="C168" s="2" t="s">
        <v>279</v>
      </c>
      <c r="D168" s="2" t="s">
        <v>247</v>
      </c>
      <c r="E168" s="7">
        <v>12382</v>
      </c>
      <c r="F168" s="7">
        <v>44</v>
      </c>
    </row>
    <row r="169" spans="1:6">
      <c r="A169" s="2" t="s">
        <v>244</v>
      </c>
      <c r="B169" s="2" t="s">
        <v>278</v>
      </c>
      <c r="C169" s="2" t="s">
        <v>279</v>
      </c>
      <c r="D169" s="2" t="s">
        <v>247</v>
      </c>
      <c r="E169" s="7">
        <v>11725</v>
      </c>
      <c r="F169" s="7">
        <v>40</v>
      </c>
    </row>
    <row r="170" spans="1:6">
      <c r="A170" s="2" t="s">
        <v>244</v>
      </c>
      <c r="B170" s="2" t="s">
        <v>280</v>
      </c>
      <c r="C170" s="2" t="s">
        <v>281</v>
      </c>
      <c r="D170" s="2" t="s">
        <v>247</v>
      </c>
      <c r="E170" s="7">
        <v>244309</v>
      </c>
      <c r="F170" s="7">
        <v>417</v>
      </c>
    </row>
    <row r="171" spans="1:6">
      <c r="A171" s="2" t="s">
        <v>244</v>
      </c>
      <c r="B171" s="2" t="s">
        <v>282</v>
      </c>
      <c r="C171" s="2" t="s">
        <v>283</v>
      </c>
      <c r="D171" s="2" t="s">
        <v>247</v>
      </c>
      <c r="E171" s="7">
        <v>38902</v>
      </c>
      <c r="F171" s="7">
        <v>18</v>
      </c>
    </row>
    <row r="172" spans="1:6">
      <c r="A172" s="2" t="s">
        <v>284</v>
      </c>
      <c r="B172" s="2" t="s">
        <v>285</v>
      </c>
      <c r="C172" s="2" t="s">
        <v>286</v>
      </c>
      <c r="D172" s="2" t="s">
        <v>26</v>
      </c>
      <c r="E172" s="7">
        <v>25985</v>
      </c>
      <c r="F172" s="7">
        <v>75</v>
      </c>
    </row>
    <row r="173" spans="1:6">
      <c r="A173" s="2" t="s">
        <v>284</v>
      </c>
      <c r="B173" s="2" t="s">
        <v>287</v>
      </c>
      <c r="C173" s="2" t="s">
        <v>286</v>
      </c>
      <c r="D173" s="2" t="s">
        <v>26</v>
      </c>
      <c r="E173" s="7">
        <v>84173</v>
      </c>
      <c r="F173" s="7">
        <v>17</v>
      </c>
    </row>
    <row r="174" spans="1:6">
      <c r="A174" s="2" t="s">
        <v>284</v>
      </c>
      <c r="B174" s="2" t="s">
        <v>288</v>
      </c>
      <c r="C174" s="2" t="s">
        <v>286</v>
      </c>
      <c r="D174" s="2" t="s">
        <v>26</v>
      </c>
      <c r="E174" s="7">
        <v>98376</v>
      </c>
      <c r="F174" s="7">
        <v>122</v>
      </c>
    </row>
    <row r="175" spans="1:6">
      <c r="A175" s="2" t="s">
        <v>284</v>
      </c>
      <c r="B175" s="2" t="s">
        <v>289</v>
      </c>
      <c r="C175" s="2" t="s">
        <v>286</v>
      </c>
      <c r="D175" s="2" t="s">
        <v>26</v>
      </c>
      <c r="E175" s="7">
        <v>47320</v>
      </c>
      <c r="F175" s="7">
        <v>1478</v>
      </c>
    </row>
    <row r="176" spans="1:6">
      <c r="A176" s="2" t="s">
        <v>290</v>
      </c>
      <c r="B176" s="2" t="s">
        <v>291</v>
      </c>
      <c r="C176" s="2" t="s">
        <v>56</v>
      </c>
      <c r="D176" s="2" t="s">
        <v>65</v>
      </c>
      <c r="E176" s="7">
        <v>2</v>
      </c>
      <c r="F176" s="7">
        <v>1</v>
      </c>
    </row>
    <row r="177" spans="1:6">
      <c r="A177" s="2" t="s">
        <v>290</v>
      </c>
      <c r="B177" s="2" t="s">
        <v>292</v>
      </c>
      <c r="C177" s="2" t="s">
        <v>293</v>
      </c>
      <c r="D177" s="2" t="s">
        <v>65</v>
      </c>
      <c r="E177" s="7">
        <v>8</v>
      </c>
      <c r="F177" s="7">
        <v>1</v>
      </c>
    </row>
    <row r="178" spans="1:6">
      <c r="A178" s="2" t="s">
        <v>290</v>
      </c>
      <c r="B178" s="2" t="s">
        <v>294</v>
      </c>
      <c r="C178" s="2" t="s">
        <v>295</v>
      </c>
      <c r="D178" s="2" t="s">
        <v>65</v>
      </c>
      <c r="E178" s="7">
        <v>15</v>
      </c>
      <c r="F178" s="7">
        <v>3</v>
      </c>
    </row>
    <row r="179" spans="1:6">
      <c r="A179" s="2" t="s">
        <v>290</v>
      </c>
      <c r="B179" s="2" t="s">
        <v>296</v>
      </c>
      <c r="C179" s="2" t="s">
        <v>297</v>
      </c>
      <c r="D179" s="2" t="s">
        <v>65</v>
      </c>
      <c r="E179" s="7">
        <v>12</v>
      </c>
      <c r="F179" s="7">
        <v>1</v>
      </c>
    </row>
    <row r="180" spans="1:6">
      <c r="A180" s="2" t="s">
        <v>290</v>
      </c>
      <c r="B180" s="2" t="s">
        <v>298</v>
      </c>
      <c r="C180" s="2" t="s">
        <v>299</v>
      </c>
      <c r="D180" s="2" t="s">
        <v>65</v>
      </c>
      <c r="E180" s="7">
        <v>8</v>
      </c>
      <c r="F180" s="7">
        <v>2</v>
      </c>
    </row>
    <row r="181" spans="1:6">
      <c r="A181" s="2" t="s">
        <v>290</v>
      </c>
      <c r="B181" s="2" t="s">
        <v>300</v>
      </c>
      <c r="C181" s="2" t="s">
        <v>56</v>
      </c>
      <c r="D181" s="2" t="s">
        <v>65</v>
      </c>
      <c r="E181" s="7">
        <v>1635</v>
      </c>
      <c r="F181" s="7">
        <v>45</v>
      </c>
    </row>
    <row r="182" spans="1:6">
      <c r="A182" s="2" t="s">
        <v>301</v>
      </c>
      <c r="B182" s="2" t="s">
        <v>302</v>
      </c>
      <c r="C182" s="2" t="s">
        <v>303</v>
      </c>
      <c r="D182" s="2" t="s">
        <v>26</v>
      </c>
      <c r="E182" s="7">
        <v>74265</v>
      </c>
      <c r="F182" s="7">
        <v>1517</v>
      </c>
    </row>
    <row r="183" spans="1:6">
      <c r="A183" s="2" t="s">
        <v>301</v>
      </c>
      <c r="B183" s="2" t="s">
        <v>304</v>
      </c>
      <c r="C183" s="2" t="s">
        <v>305</v>
      </c>
      <c r="D183" s="2" t="s">
        <v>26</v>
      </c>
      <c r="E183" s="7">
        <v>190904</v>
      </c>
      <c r="F183" s="7">
        <v>1020</v>
      </c>
    </row>
    <row r="184" spans="1:6">
      <c r="A184" s="2" t="s">
        <v>301</v>
      </c>
      <c r="B184" s="2" t="s">
        <v>306</v>
      </c>
      <c r="C184" s="2" t="s">
        <v>307</v>
      </c>
      <c r="D184" s="2" t="s">
        <v>26</v>
      </c>
      <c r="E184" s="7">
        <v>313292</v>
      </c>
      <c r="F184" s="7">
        <v>821</v>
      </c>
    </row>
    <row r="185" spans="1:6">
      <c r="A185" s="2" t="s">
        <v>301</v>
      </c>
      <c r="B185" s="2" t="s">
        <v>308</v>
      </c>
      <c r="C185" s="2" t="s">
        <v>309</v>
      </c>
      <c r="D185" s="2" t="s">
        <v>26</v>
      </c>
      <c r="E185" s="7">
        <v>198618</v>
      </c>
      <c r="F185" s="7">
        <v>674</v>
      </c>
    </row>
    <row r="186" spans="1:6">
      <c r="A186" s="2" t="s">
        <v>301</v>
      </c>
      <c r="B186" s="2" t="s">
        <v>310</v>
      </c>
      <c r="C186" s="2" t="s">
        <v>311</v>
      </c>
      <c r="D186" s="2" t="s">
        <v>26</v>
      </c>
      <c r="E186" s="7">
        <v>35817</v>
      </c>
      <c r="F186" s="7">
        <v>141</v>
      </c>
    </row>
    <row r="187" spans="1:6">
      <c r="A187" s="2" t="s">
        <v>301</v>
      </c>
      <c r="B187" s="2" t="s">
        <v>312</v>
      </c>
      <c r="C187" s="2" t="s">
        <v>313</v>
      </c>
      <c r="D187" s="2" t="s">
        <v>26</v>
      </c>
      <c r="E187" s="7">
        <v>262613</v>
      </c>
      <c r="F187" s="7">
        <v>1200</v>
      </c>
    </row>
    <row r="188" spans="1:6">
      <c r="A188" s="2" t="s">
        <v>301</v>
      </c>
      <c r="B188" s="2" t="s">
        <v>314</v>
      </c>
      <c r="C188" s="2" t="s">
        <v>315</v>
      </c>
      <c r="D188" s="2" t="s">
        <v>26</v>
      </c>
      <c r="E188" s="7">
        <v>265083</v>
      </c>
      <c r="F188" s="7">
        <v>779</v>
      </c>
    </row>
    <row r="189" spans="1:6">
      <c r="A189" s="2" t="s">
        <v>301</v>
      </c>
      <c r="B189" s="2" t="s">
        <v>316</v>
      </c>
      <c r="C189" s="2" t="s">
        <v>317</v>
      </c>
      <c r="D189" s="2" t="s">
        <v>26</v>
      </c>
      <c r="E189" s="7">
        <v>206708</v>
      </c>
      <c r="F189" s="7">
        <v>767</v>
      </c>
    </row>
    <row r="190" spans="1:6">
      <c r="A190" s="2" t="s">
        <v>301</v>
      </c>
      <c r="B190" s="2" t="s">
        <v>318</v>
      </c>
      <c r="C190" s="2" t="s">
        <v>303</v>
      </c>
      <c r="D190" s="2" t="s">
        <v>65</v>
      </c>
      <c r="E190" s="7">
        <v>1</v>
      </c>
      <c r="F190" s="7">
        <v>0</v>
      </c>
    </row>
    <row r="191" spans="1:6">
      <c r="A191" s="2" t="s">
        <v>301</v>
      </c>
      <c r="B191" s="2" t="s">
        <v>319</v>
      </c>
      <c r="C191" s="2" t="s">
        <v>303</v>
      </c>
      <c r="D191" s="2" t="s">
        <v>65</v>
      </c>
      <c r="E191" s="7">
        <v>262170</v>
      </c>
      <c r="F191" s="7">
        <v>82</v>
      </c>
    </row>
    <row r="192" spans="1:6">
      <c r="A192" s="2" t="s">
        <v>301</v>
      </c>
      <c r="B192" s="2" t="s">
        <v>320</v>
      </c>
      <c r="C192" s="2" t="s">
        <v>321</v>
      </c>
      <c r="D192" s="2" t="s">
        <v>65</v>
      </c>
      <c r="E192" s="7">
        <v>190918</v>
      </c>
      <c r="F192" s="7">
        <v>118</v>
      </c>
    </row>
    <row r="193" spans="1:6">
      <c r="A193" s="2" t="s">
        <v>301</v>
      </c>
      <c r="B193" s="2" t="s">
        <v>322</v>
      </c>
      <c r="C193" s="2" t="s">
        <v>307</v>
      </c>
      <c r="D193" s="2" t="s">
        <v>65</v>
      </c>
      <c r="E193" s="7">
        <v>1</v>
      </c>
      <c r="F193" s="7">
        <v>0</v>
      </c>
    </row>
    <row r="194" spans="1:6">
      <c r="A194" s="2" t="s">
        <v>301</v>
      </c>
      <c r="B194" s="2" t="s">
        <v>323</v>
      </c>
      <c r="C194" s="2" t="s">
        <v>307</v>
      </c>
      <c r="D194" s="2" t="s">
        <v>65</v>
      </c>
      <c r="E194" s="7">
        <v>163093</v>
      </c>
      <c r="F194" s="7">
        <v>65</v>
      </c>
    </row>
    <row r="195" spans="1:6">
      <c r="A195" s="2" t="s">
        <v>301</v>
      </c>
      <c r="B195" s="2" t="s">
        <v>324</v>
      </c>
      <c r="C195" s="2" t="s">
        <v>309</v>
      </c>
      <c r="D195" s="2" t="s">
        <v>65</v>
      </c>
      <c r="E195" s="7">
        <v>1</v>
      </c>
      <c r="F195" s="7">
        <v>0</v>
      </c>
    </row>
    <row r="196" spans="1:6">
      <c r="A196" s="2" t="s">
        <v>301</v>
      </c>
      <c r="B196" s="2" t="s">
        <v>325</v>
      </c>
      <c r="C196" s="2" t="s">
        <v>309</v>
      </c>
      <c r="D196" s="2" t="s">
        <v>65</v>
      </c>
      <c r="E196" s="7">
        <v>172970</v>
      </c>
      <c r="F196" s="7">
        <v>327</v>
      </c>
    </row>
    <row r="197" spans="1:6">
      <c r="A197" s="2" t="s">
        <v>301</v>
      </c>
      <c r="B197" s="2" t="s">
        <v>326</v>
      </c>
      <c r="C197" s="2" t="s">
        <v>327</v>
      </c>
      <c r="D197" s="2" t="s">
        <v>65</v>
      </c>
      <c r="E197" s="7">
        <v>4</v>
      </c>
      <c r="F197" s="7">
        <v>0</v>
      </c>
    </row>
    <row r="198" spans="1:6">
      <c r="A198" s="2" t="s">
        <v>301</v>
      </c>
      <c r="B198" s="2" t="s">
        <v>328</v>
      </c>
      <c r="C198" s="2" t="s">
        <v>327</v>
      </c>
      <c r="D198" s="2" t="s">
        <v>65</v>
      </c>
      <c r="E198" s="7">
        <v>551184</v>
      </c>
      <c r="F198" s="7">
        <v>334</v>
      </c>
    </row>
    <row r="199" spans="1:6">
      <c r="A199" s="2" t="s">
        <v>301</v>
      </c>
      <c r="B199" s="2" t="s">
        <v>329</v>
      </c>
      <c r="C199" s="2" t="s">
        <v>56</v>
      </c>
      <c r="D199" s="2" t="s">
        <v>65</v>
      </c>
      <c r="E199" s="7">
        <v>407375</v>
      </c>
      <c r="F199" s="7">
        <v>5323</v>
      </c>
    </row>
    <row r="200" spans="1:6">
      <c r="A200" s="2" t="s">
        <v>301</v>
      </c>
      <c r="B200" s="2" t="s">
        <v>330</v>
      </c>
      <c r="C200" s="2" t="s">
        <v>311</v>
      </c>
      <c r="D200" s="2" t="s">
        <v>65</v>
      </c>
      <c r="E200" s="7">
        <v>1</v>
      </c>
      <c r="F200" s="7">
        <v>0</v>
      </c>
    </row>
    <row r="201" spans="1:6">
      <c r="A201" s="2" t="s">
        <v>301</v>
      </c>
      <c r="B201" s="2" t="s">
        <v>331</v>
      </c>
      <c r="C201" s="2" t="s">
        <v>311</v>
      </c>
      <c r="D201" s="2" t="s">
        <v>65</v>
      </c>
      <c r="E201" s="7">
        <v>266510</v>
      </c>
      <c r="F201" s="7">
        <v>91</v>
      </c>
    </row>
    <row r="202" spans="1:6">
      <c r="A202" s="2" t="s">
        <v>301</v>
      </c>
      <c r="B202" s="2" t="s">
        <v>332</v>
      </c>
      <c r="C202" s="2" t="s">
        <v>333</v>
      </c>
      <c r="D202" s="2" t="s">
        <v>65</v>
      </c>
      <c r="E202" s="7">
        <v>2</v>
      </c>
      <c r="F202" s="7">
        <v>0</v>
      </c>
    </row>
    <row r="203" spans="1:6">
      <c r="A203" s="2" t="s">
        <v>301</v>
      </c>
      <c r="B203" s="2" t="s">
        <v>334</v>
      </c>
      <c r="C203" s="2" t="s">
        <v>333</v>
      </c>
      <c r="D203" s="2" t="s">
        <v>65</v>
      </c>
      <c r="E203" s="7">
        <v>192847</v>
      </c>
      <c r="F203" s="7">
        <v>102</v>
      </c>
    </row>
    <row r="204" spans="1:6">
      <c r="A204" s="2" t="s">
        <v>301</v>
      </c>
      <c r="B204" s="2" t="s">
        <v>335</v>
      </c>
      <c r="C204" s="2" t="s">
        <v>315</v>
      </c>
      <c r="D204" s="2" t="s">
        <v>65</v>
      </c>
      <c r="E204" s="7">
        <v>10</v>
      </c>
      <c r="F204" s="7">
        <v>0</v>
      </c>
    </row>
    <row r="205" spans="1:6">
      <c r="A205" s="2" t="s">
        <v>301</v>
      </c>
      <c r="B205" s="2" t="s">
        <v>336</v>
      </c>
      <c r="C205" s="2" t="s">
        <v>315</v>
      </c>
      <c r="D205" s="2" t="s">
        <v>65</v>
      </c>
      <c r="E205" s="7">
        <v>161926</v>
      </c>
      <c r="F205" s="7">
        <v>62</v>
      </c>
    </row>
    <row r="206" spans="1:6">
      <c r="A206" s="2" t="s">
        <v>301</v>
      </c>
      <c r="B206" s="2" t="s">
        <v>337</v>
      </c>
      <c r="C206" s="2" t="s">
        <v>317</v>
      </c>
      <c r="D206" s="2" t="s">
        <v>65</v>
      </c>
      <c r="E206" s="7">
        <v>6</v>
      </c>
      <c r="F206" s="7">
        <v>0</v>
      </c>
    </row>
    <row r="207" spans="1:6">
      <c r="A207" s="2" t="s">
        <v>301</v>
      </c>
      <c r="B207" s="2" t="s">
        <v>338</v>
      </c>
      <c r="C207" s="2" t="s">
        <v>317</v>
      </c>
      <c r="D207" s="2" t="s">
        <v>65</v>
      </c>
      <c r="E207" s="7">
        <v>165982</v>
      </c>
      <c r="F207" s="7">
        <v>330</v>
      </c>
    </row>
    <row r="208" spans="1:6">
      <c r="A208" s="2" t="s">
        <v>301</v>
      </c>
      <c r="B208" s="2" t="s">
        <v>339</v>
      </c>
      <c r="C208" s="2" t="s">
        <v>340</v>
      </c>
      <c r="D208" s="2" t="s">
        <v>65</v>
      </c>
      <c r="E208" s="7">
        <v>1</v>
      </c>
      <c r="F208" s="7">
        <v>0</v>
      </c>
    </row>
    <row r="209" spans="1:6">
      <c r="A209" s="2" t="s">
        <v>301</v>
      </c>
      <c r="B209" s="2" t="s">
        <v>341</v>
      </c>
      <c r="C209" s="2" t="s">
        <v>340</v>
      </c>
      <c r="D209" s="2" t="s">
        <v>65</v>
      </c>
      <c r="E209" s="7">
        <v>572592</v>
      </c>
      <c r="F209" s="7">
        <v>387</v>
      </c>
    </row>
    <row r="210" spans="1:6">
      <c r="A210" s="2" t="s">
        <v>301</v>
      </c>
      <c r="B210" s="2" t="s">
        <v>342</v>
      </c>
      <c r="C210" s="2" t="s">
        <v>56</v>
      </c>
      <c r="D210" s="2" t="s">
        <v>65</v>
      </c>
      <c r="E210" s="7">
        <v>1350587</v>
      </c>
      <c r="F210" s="7">
        <v>4054</v>
      </c>
    </row>
    <row r="211" spans="1:6">
      <c r="A211" s="2" t="s">
        <v>301</v>
      </c>
      <c r="B211" s="2" t="s">
        <v>343</v>
      </c>
      <c r="C211" s="2" t="s">
        <v>56</v>
      </c>
      <c r="D211" s="2" t="s">
        <v>65</v>
      </c>
      <c r="E211" s="7">
        <v>70523</v>
      </c>
      <c r="F211" s="7">
        <v>994</v>
      </c>
    </row>
    <row r="212" spans="1:6">
      <c r="A212" s="2" t="s">
        <v>301</v>
      </c>
      <c r="B212" s="2" t="s">
        <v>344</v>
      </c>
      <c r="C212" s="2" t="s">
        <v>56</v>
      </c>
      <c r="D212" s="2" t="s">
        <v>65</v>
      </c>
      <c r="E212" s="7">
        <v>994782</v>
      </c>
      <c r="F212" s="7">
        <v>4</v>
      </c>
    </row>
    <row r="213" spans="1:6">
      <c r="A213" s="2" t="s">
        <v>301</v>
      </c>
      <c r="B213" s="2" t="s">
        <v>345</v>
      </c>
      <c r="C213" s="2" t="s">
        <v>346</v>
      </c>
      <c r="D213" s="2" t="s">
        <v>65</v>
      </c>
      <c r="E213" s="7">
        <v>1</v>
      </c>
      <c r="F213" s="7">
        <v>0</v>
      </c>
    </row>
    <row r="214" spans="1:6">
      <c r="A214" s="2" t="s">
        <v>347</v>
      </c>
      <c r="B214" s="2" t="s">
        <v>348</v>
      </c>
      <c r="C214" s="2" t="s">
        <v>56</v>
      </c>
      <c r="D214" s="2" t="s">
        <v>349</v>
      </c>
      <c r="E214" s="7">
        <v>4603</v>
      </c>
      <c r="F214" s="7">
        <v>2</v>
      </c>
    </row>
    <row r="215" spans="1:6">
      <c r="A215" s="2" t="s">
        <v>347</v>
      </c>
      <c r="B215" s="2" t="s">
        <v>350</v>
      </c>
      <c r="C215" s="2" t="s">
        <v>56</v>
      </c>
      <c r="D215" s="2" t="s">
        <v>349</v>
      </c>
      <c r="E215" s="7">
        <v>0</v>
      </c>
      <c r="F215" s="7">
        <v>3</v>
      </c>
    </row>
    <row r="216" spans="1:6">
      <c r="A216" s="2" t="s">
        <v>347</v>
      </c>
      <c r="B216" s="2" t="s">
        <v>351</v>
      </c>
      <c r="C216" s="2" t="s">
        <v>56</v>
      </c>
      <c r="D216" s="2" t="s">
        <v>349</v>
      </c>
      <c r="E216" s="7">
        <v>438809</v>
      </c>
      <c r="F216" s="7">
        <v>103</v>
      </c>
    </row>
    <row r="217" spans="1:6">
      <c r="A217" s="2" t="s">
        <v>347</v>
      </c>
      <c r="B217" s="2" t="s">
        <v>352</v>
      </c>
      <c r="C217" s="2" t="s">
        <v>353</v>
      </c>
      <c r="D217" s="2" t="s">
        <v>349</v>
      </c>
      <c r="E217" s="7">
        <v>259469</v>
      </c>
      <c r="F217" s="7">
        <v>63</v>
      </c>
    </row>
    <row r="218" spans="1:6">
      <c r="A218" s="2" t="s">
        <v>347</v>
      </c>
      <c r="B218" s="2" t="s">
        <v>354</v>
      </c>
      <c r="C218" s="2" t="s">
        <v>355</v>
      </c>
      <c r="D218" s="2" t="s">
        <v>349</v>
      </c>
      <c r="E218" s="7">
        <v>877609</v>
      </c>
      <c r="F218" s="7">
        <v>145</v>
      </c>
    </row>
    <row r="219" spans="1:6">
      <c r="A219" s="2" t="s">
        <v>347</v>
      </c>
      <c r="B219" s="2" t="s">
        <v>356</v>
      </c>
      <c r="C219" s="2" t="s">
        <v>56</v>
      </c>
      <c r="D219" s="2" t="s">
        <v>349</v>
      </c>
      <c r="E219" s="7">
        <v>34818</v>
      </c>
      <c r="F219" s="7">
        <v>196</v>
      </c>
    </row>
    <row r="220" spans="1:6">
      <c r="A220" s="2" t="s">
        <v>347</v>
      </c>
      <c r="B220" s="2" t="s">
        <v>357</v>
      </c>
      <c r="C220" s="2" t="s">
        <v>358</v>
      </c>
      <c r="D220" s="2" t="s">
        <v>349</v>
      </c>
      <c r="E220" s="7">
        <v>427984</v>
      </c>
      <c r="F220" s="7">
        <v>822</v>
      </c>
    </row>
    <row r="221" spans="1:6">
      <c r="A221" s="2" t="s">
        <v>347</v>
      </c>
      <c r="B221" s="2" t="s">
        <v>359</v>
      </c>
      <c r="C221" s="2" t="s">
        <v>360</v>
      </c>
      <c r="D221" s="2" t="s">
        <v>349</v>
      </c>
      <c r="E221" s="7">
        <v>641457</v>
      </c>
      <c r="F221" s="7">
        <v>1266</v>
      </c>
    </row>
    <row r="222" spans="1:6">
      <c r="A222" s="2" t="s">
        <v>347</v>
      </c>
      <c r="B222" s="2" t="s">
        <v>361</v>
      </c>
      <c r="C222" s="2" t="s">
        <v>362</v>
      </c>
      <c r="D222" s="2" t="s">
        <v>349</v>
      </c>
      <c r="E222" s="7">
        <v>2</v>
      </c>
      <c r="F222" s="7">
        <v>2</v>
      </c>
    </row>
    <row r="223" spans="1:6">
      <c r="A223" s="2" t="s">
        <v>347</v>
      </c>
      <c r="B223" s="2" t="s">
        <v>363</v>
      </c>
      <c r="C223" s="2" t="s">
        <v>56</v>
      </c>
      <c r="D223" s="2" t="s">
        <v>349</v>
      </c>
      <c r="E223" s="7">
        <v>2199</v>
      </c>
      <c r="F223" s="7">
        <v>22</v>
      </c>
    </row>
    <row r="224" spans="1:6">
      <c r="A224" s="2" t="s">
        <v>347</v>
      </c>
      <c r="B224" s="2" t="s">
        <v>364</v>
      </c>
      <c r="C224" s="2" t="s">
        <v>365</v>
      </c>
      <c r="D224" s="2" t="s">
        <v>349</v>
      </c>
      <c r="E224" s="7">
        <v>11697</v>
      </c>
      <c r="F224" s="7">
        <v>24</v>
      </c>
    </row>
    <row r="225" spans="1:6">
      <c r="A225" s="2" t="s">
        <v>347</v>
      </c>
      <c r="B225" s="2" t="s">
        <v>366</v>
      </c>
      <c r="C225" s="2" t="s">
        <v>367</v>
      </c>
      <c r="D225" s="2" t="s">
        <v>349</v>
      </c>
      <c r="E225" s="7">
        <v>5256</v>
      </c>
      <c r="F225" s="7">
        <v>60</v>
      </c>
    </row>
    <row r="226" spans="1:6">
      <c r="A226" s="2" t="s">
        <v>347</v>
      </c>
      <c r="B226" s="2" t="s">
        <v>368</v>
      </c>
      <c r="C226" s="2" t="s">
        <v>369</v>
      </c>
      <c r="D226" s="2" t="s">
        <v>349</v>
      </c>
      <c r="E226" s="7">
        <v>2</v>
      </c>
      <c r="F226" s="7">
        <v>2</v>
      </c>
    </row>
    <row r="227" spans="1:6">
      <c r="A227" s="2" t="s">
        <v>347</v>
      </c>
      <c r="B227" s="2" t="s">
        <v>370</v>
      </c>
      <c r="C227" s="2" t="s">
        <v>56</v>
      </c>
      <c r="D227" s="2" t="s">
        <v>349</v>
      </c>
      <c r="E227" s="7">
        <v>13418</v>
      </c>
      <c r="F227" s="7">
        <v>23</v>
      </c>
    </row>
    <row r="228" spans="1:6">
      <c r="A228" s="2" t="s">
        <v>347</v>
      </c>
      <c r="B228" s="2" t="s">
        <v>371</v>
      </c>
      <c r="C228" s="2" t="s">
        <v>56</v>
      </c>
      <c r="D228" s="2" t="s">
        <v>349</v>
      </c>
      <c r="E228" s="7">
        <v>129101</v>
      </c>
      <c r="F228" s="7">
        <v>2959</v>
      </c>
    </row>
    <row r="229" spans="1:6">
      <c r="A229" s="2" t="s">
        <v>347</v>
      </c>
      <c r="B229" s="2" t="s">
        <v>372</v>
      </c>
      <c r="C229" s="2" t="s">
        <v>373</v>
      </c>
      <c r="D229" s="2" t="s">
        <v>349</v>
      </c>
      <c r="E229" s="7">
        <v>35050</v>
      </c>
      <c r="F229" s="7">
        <v>688</v>
      </c>
    </row>
    <row r="230" spans="1:6">
      <c r="A230" s="2" t="s">
        <v>347</v>
      </c>
      <c r="B230" s="2" t="s">
        <v>374</v>
      </c>
      <c r="C230" s="2" t="s">
        <v>56</v>
      </c>
      <c r="D230" s="2" t="s">
        <v>349</v>
      </c>
      <c r="E230" s="7">
        <v>25</v>
      </c>
      <c r="F230" s="7">
        <v>2</v>
      </c>
    </row>
    <row r="231" spans="1:6">
      <c r="A231" s="2" t="s">
        <v>347</v>
      </c>
      <c r="B231" s="2" t="s">
        <v>375</v>
      </c>
      <c r="C231" s="2" t="s">
        <v>56</v>
      </c>
      <c r="D231" s="2" t="s">
        <v>349</v>
      </c>
      <c r="E231" s="7">
        <v>14790</v>
      </c>
      <c r="F231" s="7">
        <v>42</v>
      </c>
    </row>
    <row r="232" spans="1:6">
      <c r="A232" s="2" t="s">
        <v>376</v>
      </c>
      <c r="B232" s="2" t="s">
        <v>377</v>
      </c>
      <c r="C232" s="2" t="s">
        <v>56</v>
      </c>
      <c r="D232" s="2" t="s">
        <v>378</v>
      </c>
      <c r="E232" s="7">
        <v>7</v>
      </c>
      <c r="F232" s="7">
        <v>0</v>
      </c>
    </row>
    <row r="233" spans="1:6">
      <c r="A233" s="2" t="s">
        <v>376</v>
      </c>
      <c r="B233" s="2" t="s">
        <v>379</v>
      </c>
      <c r="C233" s="2" t="s">
        <v>56</v>
      </c>
      <c r="D233" s="2" t="s">
        <v>378</v>
      </c>
      <c r="E233" s="7">
        <v>1</v>
      </c>
      <c r="F233" s="7">
        <v>0</v>
      </c>
    </row>
    <row r="234" spans="1:6">
      <c r="A234" s="2" t="s">
        <v>376</v>
      </c>
      <c r="B234" s="2" t="s">
        <v>380</v>
      </c>
      <c r="C234" s="2" t="s">
        <v>56</v>
      </c>
      <c r="D234" s="2" t="s">
        <v>378</v>
      </c>
      <c r="E234" s="7">
        <v>3</v>
      </c>
      <c r="F234" s="7">
        <v>0</v>
      </c>
    </row>
    <row r="235" spans="1:6">
      <c r="A235" s="2" t="s">
        <v>376</v>
      </c>
      <c r="B235" s="2" t="s">
        <v>381</v>
      </c>
      <c r="C235" s="2" t="s">
        <v>56</v>
      </c>
      <c r="D235" s="2" t="s">
        <v>378</v>
      </c>
      <c r="E235" s="7">
        <v>4</v>
      </c>
      <c r="F235" s="7">
        <v>0</v>
      </c>
    </row>
    <row r="236" spans="1:6">
      <c r="A236" s="2" t="s">
        <v>376</v>
      </c>
      <c r="B236" s="2" t="s">
        <v>382</v>
      </c>
      <c r="C236" s="2" t="s">
        <v>56</v>
      </c>
      <c r="D236" s="2" t="s">
        <v>378</v>
      </c>
      <c r="E236" s="7">
        <v>1</v>
      </c>
      <c r="F236" s="7">
        <v>0</v>
      </c>
    </row>
    <row r="237" spans="1:6">
      <c r="A237" s="2" t="s">
        <v>376</v>
      </c>
      <c r="B237" s="2" t="s">
        <v>383</v>
      </c>
      <c r="C237" s="2" t="s">
        <v>56</v>
      </c>
      <c r="D237" s="2" t="s">
        <v>378</v>
      </c>
      <c r="E237" s="7">
        <v>1</v>
      </c>
      <c r="F237" s="7">
        <v>0</v>
      </c>
    </row>
    <row r="238" spans="1:6">
      <c r="A238" s="2" t="s">
        <v>376</v>
      </c>
      <c r="B238" s="2" t="s">
        <v>384</v>
      </c>
      <c r="C238" s="2" t="s">
        <v>56</v>
      </c>
      <c r="D238" s="2" t="s">
        <v>378</v>
      </c>
      <c r="E238" s="7">
        <v>20</v>
      </c>
      <c r="F238" s="7">
        <v>0</v>
      </c>
    </row>
    <row r="239" spans="1:6">
      <c r="A239" s="2" t="s">
        <v>376</v>
      </c>
      <c r="B239" s="2" t="s">
        <v>385</v>
      </c>
      <c r="C239" s="2" t="s">
        <v>56</v>
      </c>
      <c r="D239" s="2" t="s">
        <v>378</v>
      </c>
      <c r="E239" s="7">
        <v>14</v>
      </c>
      <c r="F239" s="7">
        <v>0</v>
      </c>
    </row>
    <row r="240" spans="1:6">
      <c r="A240" s="2" t="s">
        <v>376</v>
      </c>
      <c r="B240" s="2" t="s">
        <v>386</v>
      </c>
      <c r="C240" s="2" t="s">
        <v>56</v>
      </c>
      <c r="D240" s="2" t="s">
        <v>378</v>
      </c>
      <c r="E240" s="7">
        <v>7</v>
      </c>
      <c r="F240" s="7">
        <v>0</v>
      </c>
    </row>
    <row r="241" spans="1:6">
      <c r="A241" s="2" t="s">
        <v>376</v>
      </c>
      <c r="B241" s="2" t="s">
        <v>387</v>
      </c>
      <c r="C241" s="2" t="s">
        <v>56</v>
      </c>
      <c r="D241" s="2" t="s">
        <v>378</v>
      </c>
      <c r="E241" s="7">
        <v>1</v>
      </c>
      <c r="F241" s="7">
        <v>0</v>
      </c>
    </row>
    <row r="242" spans="1:6">
      <c r="A242" s="2" t="s">
        <v>376</v>
      </c>
      <c r="B242" s="2" t="s">
        <v>388</v>
      </c>
      <c r="C242" s="2" t="s">
        <v>56</v>
      </c>
      <c r="D242" s="2" t="s">
        <v>378</v>
      </c>
      <c r="E242" s="7">
        <v>5</v>
      </c>
      <c r="F242" s="7">
        <v>0</v>
      </c>
    </row>
    <row r="243" spans="1:6">
      <c r="A243" s="2" t="s">
        <v>376</v>
      </c>
      <c r="B243" s="2" t="s">
        <v>389</v>
      </c>
      <c r="C243" s="2" t="s">
        <v>56</v>
      </c>
      <c r="D243" s="2" t="s">
        <v>378</v>
      </c>
      <c r="E243" s="7">
        <v>7</v>
      </c>
      <c r="F243" s="7">
        <v>0</v>
      </c>
    </row>
    <row r="244" spans="1:6">
      <c r="A244" s="2" t="s">
        <v>376</v>
      </c>
      <c r="B244" s="2" t="s">
        <v>390</v>
      </c>
      <c r="C244" s="2" t="s">
        <v>56</v>
      </c>
      <c r="D244" s="2" t="s">
        <v>26</v>
      </c>
      <c r="E244" s="7">
        <v>0</v>
      </c>
      <c r="F244" s="7">
        <v>1</v>
      </c>
    </row>
    <row r="245" spans="1:6">
      <c r="A245" s="2" t="s">
        <v>376</v>
      </c>
      <c r="B245" s="2" t="s">
        <v>391</v>
      </c>
      <c r="C245" s="2" t="s">
        <v>56</v>
      </c>
      <c r="D245" s="2" t="s">
        <v>26</v>
      </c>
      <c r="E245" s="7">
        <v>0</v>
      </c>
      <c r="F245" s="7">
        <v>7</v>
      </c>
    </row>
    <row r="246" spans="1:6">
      <c r="A246" s="2" t="s">
        <v>376</v>
      </c>
      <c r="B246" s="2" t="s">
        <v>392</v>
      </c>
      <c r="C246" s="2" t="s">
        <v>393</v>
      </c>
      <c r="D246" s="2" t="s">
        <v>65</v>
      </c>
      <c r="E246" s="7">
        <v>1</v>
      </c>
      <c r="F246" s="7">
        <v>0</v>
      </c>
    </row>
    <row r="247" spans="1:6">
      <c r="A247" s="2" t="s">
        <v>376</v>
      </c>
      <c r="B247" s="2" t="s">
        <v>394</v>
      </c>
      <c r="C247" s="2" t="s">
        <v>395</v>
      </c>
      <c r="D247" s="2" t="s">
        <v>65</v>
      </c>
      <c r="E247" s="7">
        <v>1</v>
      </c>
      <c r="F247" s="7">
        <v>0</v>
      </c>
    </row>
    <row r="248" spans="1:6">
      <c r="A248" s="2" t="s">
        <v>376</v>
      </c>
      <c r="B248" s="2" t="s">
        <v>396</v>
      </c>
      <c r="C248" s="2" t="s">
        <v>397</v>
      </c>
      <c r="D248" s="2" t="s">
        <v>65</v>
      </c>
      <c r="E248" s="7">
        <v>17</v>
      </c>
      <c r="F248" s="7">
        <v>0</v>
      </c>
    </row>
    <row r="249" spans="1:6">
      <c r="A249" s="2" t="s">
        <v>376</v>
      </c>
      <c r="B249" s="2" t="s">
        <v>398</v>
      </c>
      <c r="C249" s="2" t="s">
        <v>399</v>
      </c>
      <c r="D249" s="2" t="s">
        <v>65</v>
      </c>
      <c r="E249" s="7">
        <v>1</v>
      </c>
      <c r="F249" s="7">
        <v>0</v>
      </c>
    </row>
    <row r="250" spans="1:6">
      <c r="A250" s="2" t="s">
        <v>376</v>
      </c>
      <c r="B250" s="2" t="s">
        <v>400</v>
      </c>
      <c r="C250" s="2" t="s">
        <v>401</v>
      </c>
      <c r="D250" s="2" t="s">
        <v>65</v>
      </c>
      <c r="E250" s="7">
        <v>1</v>
      </c>
      <c r="F250" s="7">
        <v>0</v>
      </c>
    </row>
    <row r="251" spans="1:6">
      <c r="A251" s="2" t="s">
        <v>376</v>
      </c>
      <c r="B251" s="2" t="s">
        <v>402</v>
      </c>
      <c r="C251" s="2" t="s">
        <v>56</v>
      </c>
      <c r="D251" s="2" t="s">
        <v>65</v>
      </c>
      <c r="E251" s="7">
        <v>23</v>
      </c>
      <c r="F251" s="7">
        <v>0</v>
      </c>
    </row>
    <row r="252" spans="1:6">
      <c r="A252" s="2" t="s">
        <v>403</v>
      </c>
      <c r="B252" s="2" t="s">
        <v>404</v>
      </c>
      <c r="C252" s="2" t="s">
        <v>405</v>
      </c>
      <c r="D252" s="2" t="s">
        <v>65</v>
      </c>
      <c r="E252" s="7">
        <v>750593</v>
      </c>
      <c r="F252" s="7">
        <v>169</v>
      </c>
    </row>
    <row r="253" spans="1:6">
      <c r="A253" s="2" t="s">
        <v>403</v>
      </c>
      <c r="B253" s="2" t="s">
        <v>406</v>
      </c>
      <c r="C253" s="2" t="s">
        <v>407</v>
      </c>
      <c r="D253" s="2" t="s">
        <v>65</v>
      </c>
      <c r="E253" s="7">
        <v>4589428</v>
      </c>
      <c r="F253" s="7">
        <v>7213</v>
      </c>
    </row>
    <row r="254" spans="1:6">
      <c r="A254" s="2" t="s">
        <v>403</v>
      </c>
      <c r="B254" s="2" t="s">
        <v>408</v>
      </c>
      <c r="C254" s="2" t="s">
        <v>409</v>
      </c>
      <c r="D254" s="2" t="s">
        <v>65</v>
      </c>
      <c r="E254" s="7">
        <v>1854201</v>
      </c>
      <c r="F254" s="7">
        <v>816</v>
      </c>
    </row>
    <row r="255" spans="1:6">
      <c r="A255" s="2" t="s">
        <v>403</v>
      </c>
      <c r="B255" s="2" t="s">
        <v>410</v>
      </c>
      <c r="C255" s="2" t="s">
        <v>412</v>
      </c>
      <c r="D255" s="2" t="s">
        <v>65</v>
      </c>
      <c r="E255" s="7">
        <v>3078551</v>
      </c>
      <c r="F255" s="7">
        <v>1447</v>
      </c>
    </row>
    <row r="256" spans="1:6">
      <c r="A256" s="2" t="s">
        <v>403</v>
      </c>
      <c r="B256" s="2" t="s">
        <v>413</v>
      </c>
      <c r="C256" s="2" t="s">
        <v>56</v>
      </c>
      <c r="D256" s="2" t="s">
        <v>65</v>
      </c>
      <c r="E256" s="7">
        <v>4585273</v>
      </c>
      <c r="F256" s="7">
        <v>25387</v>
      </c>
    </row>
    <row r="257" spans="1:6">
      <c r="A257" s="2" t="s">
        <v>414</v>
      </c>
      <c r="B257" s="2" t="s">
        <v>415</v>
      </c>
      <c r="C257" s="2" t="s">
        <v>56</v>
      </c>
      <c r="D257" s="2" t="s">
        <v>26</v>
      </c>
      <c r="E257" s="7">
        <v>0</v>
      </c>
      <c r="F257" s="7">
        <v>1</v>
      </c>
    </row>
    <row r="258" spans="1:6">
      <c r="A258" s="2" t="s">
        <v>414</v>
      </c>
      <c r="B258" s="2" t="s">
        <v>416</v>
      </c>
      <c r="C258" s="2" t="s">
        <v>56</v>
      </c>
      <c r="D258" s="2" t="s">
        <v>26</v>
      </c>
      <c r="E258" s="7">
        <v>0</v>
      </c>
      <c r="F258" s="7">
        <v>3395</v>
      </c>
    </row>
    <row r="259" spans="1:6">
      <c r="A259" s="2" t="s">
        <v>414</v>
      </c>
      <c r="B259" s="2" t="s">
        <v>417</v>
      </c>
      <c r="C259" s="2" t="s">
        <v>418</v>
      </c>
      <c r="D259" s="2" t="s">
        <v>26</v>
      </c>
      <c r="E259" s="7">
        <v>420489</v>
      </c>
      <c r="F259" s="7">
        <v>178</v>
      </c>
    </row>
    <row r="260" spans="1:6">
      <c r="A260" s="2" t="s">
        <v>414</v>
      </c>
      <c r="B260" s="2" t="s">
        <v>419</v>
      </c>
      <c r="C260" s="2" t="s">
        <v>420</v>
      </c>
      <c r="D260" s="2" t="s">
        <v>26</v>
      </c>
      <c r="E260" s="7">
        <v>37987</v>
      </c>
      <c r="F260" s="7">
        <v>8</v>
      </c>
    </row>
    <row r="261" spans="1:6">
      <c r="A261" s="2" t="s">
        <v>414</v>
      </c>
      <c r="B261" s="2" t="s">
        <v>421</v>
      </c>
      <c r="C261" s="2" t="s">
        <v>422</v>
      </c>
      <c r="D261" s="2" t="s">
        <v>26</v>
      </c>
      <c r="E261" s="7">
        <v>10</v>
      </c>
      <c r="F261" s="7">
        <v>1</v>
      </c>
    </row>
    <row r="262" spans="1:6">
      <c r="A262" s="2" t="s">
        <v>414</v>
      </c>
      <c r="B262" s="2" t="s">
        <v>423</v>
      </c>
      <c r="C262" s="2" t="s">
        <v>424</v>
      </c>
      <c r="D262" s="2" t="s">
        <v>26</v>
      </c>
      <c r="E262" s="7">
        <v>9541174</v>
      </c>
      <c r="F262" s="7">
        <v>18723</v>
      </c>
    </row>
    <row r="263" spans="1:6">
      <c r="A263" s="2" t="s">
        <v>414</v>
      </c>
      <c r="B263" s="2" t="s">
        <v>425</v>
      </c>
      <c r="C263" s="2" t="s">
        <v>426</v>
      </c>
      <c r="D263" s="2" t="s">
        <v>26</v>
      </c>
      <c r="E263" s="7">
        <v>2</v>
      </c>
      <c r="F263" s="7">
        <v>1</v>
      </c>
    </row>
    <row r="264" spans="1:6">
      <c r="A264" s="2" t="s">
        <v>427</v>
      </c>
      <c r="B264" s="2" t="s">
        <v>428</v>
      </c>
      <c r="C264" s="2" t="s">
        <v>56</v>
      </c>
      <c r="D264" s="2" t="s">
        <v>65</v>
      </c>
      <c r="E264" s="7">
        <v>1</v>
      </c>
      <c r="F264" s="7">
        <v>1</v>
      </c>
    </row>
    <row r="265" spans="1:6">
      <c r="A265" s="2" t="s">
        <v>427</v>
      </c>
      <c r="B265" s="2" t="s">
        <v>429</v>
      </c>
      <c r="C265" s="2" t="s">
        <v>430</v>
      </c>
      <c r="D265" s="2" t="s">
        <v>65</v>
      </c>
      <c r="E265" s="7">
        <v>1</v>
      </c>
      <c r="F265" s="7">
        <v>0</v>
      </c>
    </row>
    <row r="266" spans="1:6">
      <c r="A266" s="2" t="s">
        <v>427</v>
      </c>
      <c r="B266" s="2" t="s">
        <v>431</v>
      </c>
      <c r="C266" s="2" t="s">
        <v>56</v>
      </c>
      <c r="D266" s="2" t="s">
        <v>65</v>
      </c>
      <c r="E266" s="7">
        <v>49</v>
      </c>
      <c r="F266" s="7">
        <v>8</v>
      </c>
    </row>
    <row r="267" spans="1:6">
      <c r="A267" s="4" t="s">
        <v>432</v>
      </c>
      <c r="B267" s="4" t="s">
        <v>433</v>
      </c>
      <c r="C267" s="4" t="s">
        <v>433</v>
      </c>
      <c r="D267" s="4" t="s">
        <v>433</v>
      </c>
      <c r="E267" s="8">
        <v>304272993</v>
      </c>
      <c r="F267" s="8">
        <v>3171763</v>
      </c>
    </row>
  </sheetData>
  <autoFilter ref="A1:F267" xr:uid="{9B7873C8-29FB-4193-915A-441C2AD230C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C243-1DEE-4559-9202-FA99C98881FF}">
  <dimension ref="B3:G16"/>
  <sheetViews>
    <sheetView showGridLines="0" workbookViewId="0">
      <selection activeCell="A3" sqref="A3"/>
    </sheetView>
  </sheetViews>
  <sheetFormatPr defaultRowHeight="15"/>
  <cols>
    <col min="1" max="1" width="20" bestFit="1" customWidth="1"/>
    <col min="2" max="2" width="11.140625" style="9" bestFit="1" customWidth="1"/>
    <col min="3" max="3" width="10" bestFit="1" customWidth="1"/>
  </cols>
  <sheetData>
    <row r="3" spans="3:7">
      <c r="C3" s="9"/>
      <c r="D3" s="9"/>
      <c r="E3" s="9"/>
      <c r="F3" s="9"/>
      <c r="G3" s="9"/>
    </row>
    <row r="4" spans="3:7">
      <c r="C4" s="9"/>
      <c r="D4" s="9"/>
      <c r="E4" s="9"/>
      <c r="F4" s="9"/>
      <c r="G4" s="9"/>
    </row>
    <row r="5" spans="3:7">
      <c r="C5" s="9"/>
      <c r="D5" s="9"/>
      <c r="E5" s="9"/>
      <c r="F5" s="9"/>
      <c r="G5" s="9"/>
    </row>
    <row r="6" spans="3:7">
      <c r="C6" s="9"/>
      <c r="D6" s="9"/>
      <c r="E6" s="9"/>
      <c r="F6" s="9"/>
      <c r="G6" s="9"/>
    </row>
    <row r="7" spans="3:7">
      <c r="C7" s="9"/>
      <c r="D7" s="9"/>
      <c r="E7" s="9"/>
      <c r="F7" s="9"/>
      <c r="G7" s="9"/>
    </row>
    <row r="8" spans="3:7">
      <c r="C8" s="9"/>
      <c r="D8" s="9"/>
      <c r="E8" s="9"/>
      <c r="F8" s="9"/>
      <c r="G8" s="9"/>
    </row>
    <row r="9" spans="3:7">
      <c r="C9" s="9"/>
      <c r="D9" s="9"/>
      <c r="E9" s="9"/>
      <c r="F9" s="9"/>
      <c r="G9" s="9"/>
    </row>
    <row r="10" spans="3:7">
      <c r="C10" s="9"/>
      <c r="D10" s="9"/>
      <c r="E10" s="9"/>
      <c r="F10" s="9"/>
      <c r="G10" s="9"/>
    </row>
    <row r="11" spans="3:7">
      <c r="C11" s="9"/>
      <c r="D11" s="9"/>
      <c r="E11" s="9"/>
      <c r="F11" s="9"/>
      <c r="G11" s="9"/>
    </row>
    <row r="12" spans="3:7">
      <c r="C12" s="9"/>
      <c r="D12" s="9"/>
      <c r="E12" s="9"/>
      <c r="F12" s="9"/>
      <c r="G12" s="9"/>
    </row>
    <row r="13" spans="3:7">
      <c r="C13" s="9"/>
      <c r="D13" s="9"/>
      <c r="E13" s="9"/>
      <c r="F13" s="9"/>
      <c r="G13" s="9"/>
    </row>
    <row r="14" spans="3:7">
      <c r="C14" s="9"/>
      <c r="D14" s="9"/>
      <c r="E14" s="9"/>
      <c r="F14" s="9"/>
      <c r="G14" s="9"/>
    </row>
    <row r="15" spans="3:7">
      <c r="C15" s="9"/>
      <c r="D15" s="9"/>
      <c r="E15" s="9"/>
      <c r="F15" s="9"/>
      <c r="G15" s="9"/>
    </row>
    <row r="16" spans="3:7">
      <c r="C16" s="9"/>
      <c r="D16" s="9"/>
      <c r="E16" s="9"/>
      <c r="F16" s="9"/>
      <c r="G16" s="9"/>
    </row>
  </sheetData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37E3C-64AC-4F7D-ADAD-DC7575898C58}">
  <dimension ref="A1:D90"/>
  <sheetViews>
    <sheetView showGridLines="0" workbookViewId="0">
      <pane ySplit="1" topLeftCell="A2" activePane="bottomLeft" state="frozenSplit"/>
      <selection pane="bottomLeft" activeCell="A2" sqref="A2"/>
    </sheetView>
  </sheetViews>
  <sheetFormatPr defaultRowHeight="15"/>
  <cols>
    <col min="1" max="1" width="29.7109375" bestFit="1" customWidth="1"/>
    <col min="2" max="2" width="134" customWidth="1"/>
    <col min="3" max="3" width="14.7109375" style="9" bestFit="1" customWidth="1"/>
    <col min="4" max="4" width="9.140625" style="9" bestFit="1" customWidth="1"/>
  </cols>
  <sheetData>
    <row r="1" spans="1:4">
      <c r="A1" s="1" t="s">
        <v>3</v>
      </c>
      <c r="B1" s="1" t="s">
        <v>5</v>
      </c>
      <c r="C1" s="6" t="s">
        <v>7</v>
      </c>
      <c r="D1" s="6" t="s">
        <v>8</v>
      </c>
    </row>
    <row r="2" spans="1:4">
      <c r="A2" s="2" t="s">
        <v>447</v>
      </c>
      <c r="B2" s="2" t="s">
        <v>285</v>
      </c>
      <c r="C2" s="7">
        <v>25984</v>
      </c>
      <c r="D2" s="7">
        <v>75</v>
      </c>
    </row>
    <row r="3" spans="1:4">
      <c r="A3" s="2" t="s">
        <v>447</v>
      </c>
      <c r="B3" s="2" t="s">
        <v>287</v>
      </c>
      <c r="C3" s="7">
        <v>84236</v>
      </c>
      <c r="D3" s="7">
        <v>17</v>
      </c>
    </row>
    <row r="4" spans="1:4">
      <c r="A4" s="2" t="s">
        <v>447</v>
      </c>
      <c r="B4" s="2" t="s">
        <v>288</v>
      </c>
      <c r="C4" s="7">
        <v>98439</v>
      </c>
      <c r="D4" s="7">
        <v>122</v>
      </c>
    </row>
    <row r="5" spans="1:4">
      <c r="A5" s="2" t="s">
        <v>447</v>
      </c>
      <c r="B5" s="2" t="s">
        <v>289</v>
      </c>
      <c r="C5" s="7">
        <v>47343</v>
      </c>
      <c r="D5" s="7">
        <v>1478</v>
      </c>
    </row>
    <row r="6" spans="1:4">
      <c r="A6" s="2" t="s">
        <v>446</v>
      </c>
      <c r="B6" s="2" t="s">
        <v>417</v>
      </c>
      <c r="C6" s="7">
        <v>420487</v>
      </c>
      <c r="D6" s="7">
        <v>177</v>
      </c>
    </row>
    <row r="7" spans="1:4">
      <c r="A7" s="2" t="s">
        <v>446</v>
      </c>
      <c r="B7" s="2" t="s">
        <v>419</v>
      </c>
      <c r="C7" s="7">
        <v>37982</v>
      </c>
      <c r="D7" s="7">
        <v>3</v>
      </c>
    </row>
    <row r="8" spans="1:4">
      <c r="A8" s="2" t="s">
        <v>446</v>
      </c>
      <c r="B8" s="2" t="s">
        <v>421</v>
      </c>
      <c r="C8" s="7">
        <v>8</v>
      </c>
      <c r="D8" s="7">
        <v>0</v>
      </c>
    </row>
    <row r="9" spans="1:4">
      <c r="A9" s="2" t="s">
        <v>446</v>
      </c>
      <c r="B9" s="2" t="s">
        <v>423</v>
      </c>
      <c r="C9" s="7">
        <v>9541173</v>
      </c>
      <c r="D9" s="7">
        <v>18722</v>
      </c>
    </row>
    <row r="10" spans="1:4">
      <c r="A10" s="2" t="s">
        <v>446</v>
      </c>
      <c r="B10" s="2" t="s">
        <v>22</v>
      </c>
      <c r="C10" s="7">
        <v>1428579</v>
      </c>
      <c r="D10" s="7">
        <v>3508</v>
      </c>
    </row>
    <row r="11" spans="1:4">
      <c r="A11" s="2" t="s">
        <v>445</v>
      </c>
      <c r="B11" s="2" t="s">
        <v>11</v>
      </c>
      <c r="C11" s="7">
        <v>4079694</v>
      </c>
      <c r="D11" s="7">
        <v>154929</v>
      </c>
    </row>
    <row r="12" spans="1:4">
      <c r="A12" s="2" t="s">
        <v>445</v>
      </c>
      <c r="B12" s="2" t="s">
        <v>14</v>
      </c>
      <c r="C12" s="7">
        <v>220049</v>
      </c>
      <c r="D12" s="7">
        <v>96</v>
      </c>
    </row>
    <row r="13" spans="1:4">
      <c r="A13" s="2" t="s">
        <v>445</v>
      </c>
      <c r="B13" s="2" t="s">
        <v>16</v>
      </c>
      <c r="C13" s="7">
        <v>632937</v>
      </c>
      <c r="D13" s="7">
        <v>45377</v>
      </c>
    </row>
    <row r="14" spans="1:4">
      <c r="A14" s="2" t="s">
        <v>445</v>
      </c>
      <c r="B14" s="2" t="s">
        <v>18</v>
      </c>
      <c r="C14" s="7">
        <v>1035921</v>
      </c>
      <c r="D14" s="7">
        <v>29925</v>
      </c>
    </row>
    <row r="15" spans="1:4">
      <c r="A15" s="2" t="s">
        <v>445</v>
      </c>
      <c r="B15" s="2" t="s">
        <v>20</v>
      </c>
      <c r="C15" s="7">
        <v>87642</v>
      </c>
      <c r="D15" s="7">
        <v>66</v>
      </c>
    </row>
    <row r="16" spans="1:4">
      <c r="A16" s="2" t="s">
        <v>445</v>
      </c>
      <c r="B16" s="2" t="s">
        <v>67</v>
      </c>
      <c r="C16" s="7">
        <v>3552582</v>
      </c>
      <c r="D16" s="7">
        <v>6550</v>
      </c>
    </row>
    <row r="17" spans="1:4">
      <c r="A17" s="2" t="s">
        <v>445</v>
      </c>
      <c r="B17" s="2" t="s">
        <v>70</v>
      </c>
      <c r="C17" s="7">
        <v>34271</v>
      </c>
      <c r="D17" s="7">
        <v>135</v>
      </c>
    </row>
    <row r="18" spans="1:4">
      <c r="A18" s="2" t="s">
        <v>445</v>
      </c>
      <c r="B18" s="2" t="s">
        <v>72</v>
      </c>
      <c r="C18" s="7">
        <v>44485</v>
      </c>
      <c r="D18" s="7">
        <v>38</v>
      </c>
    </row>
    <row r="19" spans="1:4">
      <c r="A19" s="2" t="s">
        <v>445</v>
      </c>
      <c r="B19" s="2" t="s">
        <v>74</v>
      </c>
      <c r="C19" s="7">
        <v>115663</v>
      </c>
      <c r="D19" s="7">
        <v>23</v>
      </c>
    </row>
    <row r="20" spans="1:4">
      <c r="A20" s="2" t="s">
        <v>445</v>
      </c>
      <c r="B20" s="2" t="s">
        <v>76</v>
      </c>
      <c r="C20" s="7">
        <v>12569</v>
      </c>
      <c r="D20" s="7">
        <v>98</v>
      </c>
    </row>
    <row r="21" spans="1:4">
      <c r="A21" s="2" t="s">
        <v>445</v>
      </c>
      <c r="B21" s="2" t="s">
        <v>78</v>
      </c>
      <c r="C21" s="7">
        <v>7497</v>
      </c>
      <c r="D21" s="7">
        <v>16</v>
      </c>
    </row>
    <row r="22" spans="1:4">
      <c r="A22" s="2" t="s">
        <v>445</v>
      </c>
      <c r="B22" s="2" t="s">
        <v>79</v>
      </c>
      <c r="C22" s="7">
        <v>5664043</v>
      </c>
      <c r="D22" s="7">
        <v>334124</v>
      </c>
    </row>
    <row r="23" spans="1:4">
      <c r="A23" s="2" t="s">
        <v>445</v>
      </c>
      <c r="B23" s="2" t="s">
        <v>82</v>
      </c>
      <c r="C23" s="7">
        <v>1104057</v>
      </c>
      <c r="D23" s="7">
        <v>54782</v>
      </c>
    </row>
    <row r="24" spans="1:4">
      <c r="A24" s="2" t="s">
        <v>445</v>
      </c>
      <c r="B24" s="2" t="s">
        <v>84</v>
      </c>
      <c r="C24" s="7">
        <v>72614</v>
      </c>
      <c r="D24" s="7">
        <v>1450</v>
      </c>
    </row>
    <row r="25" spans="1:4">
      <c r="A25" s="2" t="s">
        <v>445</v>
      </c>
      <c r="B25" s="2" t="s">
        <v>86</v>
      </c>
      <c r="C25" s="7">
        <v>5407564</v>
      </c>
      <c r="D25" s="7">
        <v>365699</v>
      </c>
    </row>
    <row r="26" spans="1:4">
      <c r="A26" s="2" t="s">
        <v>445</v>
      </c>
      <c r="B26" s="2" t="s">
        <v>88</v>
      </c>
      <c r="C26" s="7">
        <v>589903</v>
      </c>
      <c r="D26" s="7">
        <v>25302</v>
      </c>
    </row>
    <row r="27" spans="1:4">
      <c r="A27" s="2" t="s">
        <v>445</v>
      </c>
      <c r="B27" s="2" t="s">
        <v>90</v>
      </c>
      <c r="C27" s="7">
        <v>235960</v>
      </c>
      <c r="D27" s="7">
        <v>8435</v>
      </c>
    </row>
    <row r="28" spans="1:4">
      <c r="A28" s="2" t="s">
        <v>445</v>
      </c>
      <c r="B28" s="2" t="s">
        <v>91</v>
      </c>
      <c r="C28" s="7">
        <v>5324195</v>
      </c>
      <c r="D28" s="7">
        <v>28200</v>
      </c>
    </row>
    <row r="29" spans="1:4">
      <c r="A29" s="2" t="s">
        <v>445</v>
      </c>
      <c r="B29" s="2" t="s">
        <v>94</v>
      </c>
      <c r="C29" s="7">
        <v>776722</v>
      </c>
      <c r="D29" s="7">
        <v>5150</v>
      </c>
    </row>
    <row r="30" spans="1:4">
      <c r="A30" s="2" t="s">
        <v>445</v>
      </c>
      <c r="B30" s="2" t="s">
        <v>96</v>
      </c>
      <c r="C30" s="7">
        <v>41288</v>
      </c>
      <c r="D30" s="7">
        <v>107</v>
      </c>
    </row>
    <row r="31" spans="1:4">
      <c r="A31" s="2" t="s">
        <v>445</v>
      </c>
      <c r="B31" s="2" t="s">
        <v>98</v>
      </c>
      <c r="C31" s="7">
        <v>2805560</v>
      </c>
      <c r="D31" s="7">
        <v>18596</v>
      </c>
    </row>
    <row r="32" spans="1:4">
      <c r="A32" s="2" t="s">
        <v>445</v>
      </c>
      <c r="B32" s="2" t="s">
        <v>100</v>
      </c>
      <c r="C32" s="7">
        <v>223076</v>
      </c>
      <c r="D32" s="7">
        <v>383</v>
      </c>
    </row>
    <row r="33" spans="1:4">
      <c r="A33" s="2" t="s">
        <v>445</v>
      </c>
      <c r="B33" s="2" t="s">
        <v>102</v>
      </c>
      <c r="C33" s="7">
        <v>414676</v>
      </c>
      <c r="D33" s="7">
        <v>856</v>
      </c>
    </row>
    <row r="34" spans="1:4">
      <c r="A34" s="2" t="s">
        <v>445</v>
      </c>
      <c r="B34" s="2" t="s">
        <v>103</v>
      </c>
      <c r="C34" s="7">
        <v>6245202</v>
      </c>
      <c r="D34" s="7">
        <v>242478</v>
      </c>
    </row>
    <row r="35" spans="1:4">
      <c r="A35" s="2" t="s">
        <v>445</v>
      </c>
      <c r="B35" s="2" t="s">
        <v>105</v>
      </c>
      <c r="C35" s="7">
        <v>303626</v>
      </c>
      <c r="D35" s="7">
        <v>16644</v>
      </c>
    </row>
    <row r="36" spans="1:4">
      <c r="A36" s="2" t="s">
        <v>445</v>
      </c>
      <c r="B36" s="2" t="s">
        <v>107</v>
      </c>
      <c r="C36" s="7">
        <v>809443</v>
      </c>
      <c r="D36" s="7">
        <v>14400</v>
      </c>
    </row>
    <row r="37" spans="1:4">
      <c r="A37" s="2" t="s">
        <v>445</v>
      </c>
      <c r="B37" s="2" t="s">
        <v>109</v>
      </c>
      <c r="C37" s="7">
        <v>1135205</v>
      </c>
      <c r="D37" s="7">
        <v>27481</v>
      </c>
    </row>
    <row r="38" spans="1:4">
      <c r="A38" s="2" t="s">
        <v>445</v>
      </c>
      <c r="B38" s="2" t="s">
        <v>111</v>
      </c>
      <c r="C38" s="7">
        <v>5783656</v>
      </c>
      <c r="D38" s="7">
        <v>7535</v>
      </c>
    </row>
    <row r="39" spans="1:4">
      <c r="A39" s="2" t="s">
        <v>445</v>
      </c>
      <c r="B39" s="2" t="s">
        <v>114</v>
      </c>
      <c r="C39" s="7">
        <v>323784</v>
      </c>
      <c r="D39" s="7">
        <v>778</v>
      </c>
    </row>
    <row r="40" spans="1:4">
      <c r="A40" s="2" t="s">
        <v>445</v>
      </c>
      <c r="B40" s="2" t="s">
        <v>116</v>
      </c>
      <c r="C40" s="7">
        <v>148665</v>
      </c>
      <c r="D40" s="7">
        <v>565</v>
      </c>
    </row>
    <row r="41" spans="1:4">
      <c r="A41" s="2" t="s">
        <v>445</v>
      </c>
      <c r="B41" s="2" t="s">
        <v>118</v>
      </c>
      <c r="C41" s="7">
        <v>2532804</v>
      </c>
      <c r="D41" s="7">
        <v>6910</v>
      </c>
    </row>
    <row r="42" spans="1:4">
      <c r="A42" s="2" t="s">
        <v>445</v>
      </c>
      <c r="B42" s="2" t="s">
        <v>120</v>
      </c>
      <c r="C42" s="7">
        <v>143306</v>
      </c>
      <c r="D42" s="7">
        <v>563</v>
      </c>
    </row>
    <row r="43" spans="1:4">
      <c r="A43" s="2" t="s">
        <v>445</v>
      </c>
      <c r="B43" s="2" t="s">
        <v>122</v>
      </c>
      <c r="C43" s="7">
        <v>264703</v>
      </c>
      <c r="D43" s="7">
        <v>1056</v>
      </c>
    </row>
    <row r="44" spans="1:4">
      <c r="A44" s="2" t="s">
        <v>445</v>
      </c>
      <c r="B44" s="2" t="s">
        <v>123</v>
      </c>
      <c r="C44" s="7">
        <v>13498207</v>
      </c>
      <c r="D44" s="7">
        <v>44709</v>
      </c>
    </row>
    <row r="45" spans="1:4">
      <c r="A45" s="2" t="s">
        <v>445</v>
      </c>
      <c r="B45" s="2" t="s">
        <v>126</v>
      </c>
      <c r="C45" s="7">
        <v>1196218</v>
      </c>
      <c r="D45" s="7">
        <v>5866</v>
      </c>
    </row>
    <row r="46" spans="1:4">
      <c r="A46" s="2" t="s">
        <v>445</v>
      </c>
      <c r="B46" s="2" t="s">
        <v>128</v>
      </c>
      <c r="C46" s="7">
        <v>164163</v>
      </c>
      <c r="D46" s="7">
        <v>297</v>
      </c>
    </row>
    <row r="47" spans="1:4">
      <c r="A47" s="2" t="s">
        <v>445</v>
      </c>
      <c r="B47" s="2" t="s">
        <v>130</v>
      </c>
      <c r="C47" s="7">
        <v>5548684</v>
      </c>
      <c r="D47" s="7">
        <v>32391</v>
      </c>
    </row>
    <row r="48" spans="1:4">
      <c r="A48" s="2" t="s">
        <v>445</v>
      </c>
      <c r="B48" s="2" t="s">
        <v>132</v>
      </c>
      <c r="C48" s="7">
        <v>995934</v>
      </c>
      <c r="D48" s="7">
        <v>3615</v>
      </c>
    </row>
    <row r="49" spans="1:4">
      <c r="A49" s="2" t="s">
        <v>445</v>
      </c>
      <c r="B49" s="2" t="s">
        <v>134</v>
      </c>
      <c r="C49" s="7">
        <v>1860009</v>
      </c>
      <c r="D49" s="7">
        <v>16440</v>
      </c>
    </row>
    <row r="50" spans="1:4">
      <c r="A50" s="2" t="s">
        <v>445</v>
      </c>
      <c r="B50" s="2" t="s">
        <v>135</v>
      </c>
      <c r="C50" s="7">
        <v>30450397</v>
      </c>
      <c r="D50" s="7">
        <v>175777</v>
      </c>
    </row>
    <row r="51" spans="1:4">
      <c r="A51" s="2" t="s">
        <v>445</v>
      </c>
      <c r="B51" s="2" t="s">
        <v>138</v>
      </c>
      <c r="C51" s="7">
        <v>6777044</v>
      </c>
      <c r="D51" s="7">
        <v>59671</v>
      </c>
    </row>
    <row r="52" spans="1:4">
      <c r="A52" s="2" t="s">
        <v>445</v>
      </c>
      <c r="B52" s="2" t="s">
        <v>140</v>
      </c>
      <c r="C52" s="7">
        <v>388600</v>
      </c>
      <c r="D52" s="7">
        <v>2883</v>
      </c>
    </row>
    <row r="53" spans="1:4">
      <c r="A53" s="2" t="s">
        <v>445</v>
      </c>
      <c r="B53" s="2" t="s">
        <v>142</v>
      </c>
      <c r="C53" s="7">
        <v>13740777</v>
      </c>
      <c r="D53" s="7">
        <v>109098</v>
      </c>
    </row>
    <row r="54" spans="1:4">
      <c r="A54" s="2" t="s">
        <v>445</v>
      </c>
      <c r="B54" s="2" t="s">
        <v>144</v>
      </c>
      <c r="C54" s="7">
        <v>3296901</v>
      </c>
      <c r="D54" s="7">
        <v>12957</v>
      </c>
    </row>
    <row r="55" spans="1:4">
      <c r="A55" s="2" t="s">
        <v>445</v>
      </c>
      <c r="B55" s="2" t="s">
        <v>146</v>
      </c>
      <c r="C55" s="7">
        <v>3282079</v>
      </c>
      <c r="D55" s="7">
        <v>11736</v>
      </c>
    </row>
    <row r="56" spans="1:4">
      <c r="A56" s="2" t="s">
        <v>445</v>
      </c>
      <c r="B56" s="2" t="s">
        <v>147</v>
      </c>
      <c r="C56" s="7">
        <v>1841736</v>
      </c>
      <c r="D56" s="7">
        <v>860</v>
      </c>
    </row>
    <row r="57" spans="1:4">
      <c r="A57" s="2" t="s">
        <v>445</v>
      </c>
      <c r="B57" s="2" t="s">
        <v>149</v>
      </c>
      <c r="C57" s="7">
        <v>53351</v>
      </c>
      <c r="D57" s="7">
        <v>32</v>
      </c>
    </row>
    <row r="58" spans="1:4">
      <c r="A58" s="2" t="s">
        <v>445</v>
      </c>
      <c r="B58" s="2" t="s">
        <v>151</v>
      </c>
      <c r="C58" s="7">
        <v>33158</v>
      </c>
      <c r="D58" s="7">
        <v>9</v>
      </c>
    </row>
    <row r="59" spans="1:4">
      <c r="A59" s="2" t="s">
        <v>445</v>
      </c>
      <c r="B59" s="2" t="s">
        <v>153</v>
      </c>
      <c r="C59" s="7">
        <v>2123394</v>
      </c>
      <c r="D59" s="7">
        <v>916</v>
      </c>
    </row>
    <row r="60" spans="1:4">
      <c r="A60" s="2" t="s">
        <v>445</v>
      </c>
      <c r="B60" s="2" t="s">
        <v>155</v>
      </c>
      <c r="C60" s="7">
        <v>56572</v>
      </c>
      <c r="D60" s="7">
        <v>41</v>
      </c>
    </row>
    <row r="61" spans="1:4">
      <c r="A61" s="2" t="s">
        <v>445</v>
      </c>
      <c r="B61" s="2" t="s">
        <v>157</v>
      </c>
      <c r="C61" s="7">
        <v>43647</v>
      </c>
      <c r="D61" s="7">
        <v>33</v>
      </c>
    </row>
    <row r="62" spans="1:4">
      <c r="A62" s="2" t="s">
        <v>445</v>
      </c>
      <c r="B62" s="2" t="s">
        <v>158</v>
      </c>
      <c r="C62" s="7">
        <v>60926</v>
      </c>
      <c r="D62" s="7">
        <v>584</v>
      </c>
    </row>
    <row r="63" spans="1:4">
      <c r="A63" s="2" t="s">
        <v>445</v>
      </c>
      <c r="B63" s="2" t="s">
        <v>160</v>
      </c>
      <c r="C63" s="7">
        <v>49807</v>
      </c>
      <c r="D63" s="7">
        <v>93</v>
      </c>
    </row>
    <row r="64" spans="1:4">
      <c r="A64" s="2" t="s">
        <v>445</v>
      </c>
      <c r="B64" s="2" t="s">
        <v>162</v>
      </c>
      <c r="C64" s="7">
        <v>8762</v>
      </c>
      <c r="D64" s="7">
        <v>6</v>
      </c>
    </row>
    <row r="65" spans="1:4">
      <c r="A65" s="2" t="s">
        <v>445</v>
      </c>
      <c r="B65" s="2" t="s">
        <v>164</v>
      </c>
      <c r="C65" s="7">
        <v>72513</v>
      </c>
      <c r="D65" s="7">
        <v>654</v>
      </c>
    </row>
    <row r="66" spans="1:4">
      <c r="A66" s="2" t="s">
        <v>445</v>
      </c>
      <c r="B66" s="2" t="s">
        <v>166</v>
      </c>
      <c r="C66" s="7">
        <v>12107</v>
      </c>
      <c r="D66" s="7">
        <v>12</v>
      </c>
    </row>
    <row r="67" spans="1:4">
      <c r="A67" s="2" t="s">
        <v>445</v>
      </c>
      <c r="B67" s="2" t="s">
        <v>168</v>
      </c>
      <c r="C67" s="7">
        <v>5531</v>
      </c>
      <c r="D67" s="7">
        <v>2</v>
      </c>
    </row>
    <row r="68" spans="1:4">
      <c r="A68" s="2" t="s">
        <v>445</v>
      </c>
      <c r="B68" s="2" t="s">
        <v>172</v>
      </c>
      <c r="C68" s="7">
        <v>1</v>
      </c>
      <c r="D68" s="7">
        <v>0</v>
      </c>
    </row>
    <row r="69" spans="1:4">
      <c r="A69" s="2" t="s">
        <v>444</v>
      </c>
      <c r="B69" s="2" t="s">
        <v>24</v>
      </c>
      <c r="C69" s="7">
        <v>67567268</v>
      </c>
      <c r="D69" s="7">
        <v>83576</v>
      </c>
    </row>
    <row r="70" spans="1:4">
      <c r="A70" s="2" t="s">
        <v>444</v>
      </c>
      <c r="B70" s="2" t="s">
        <v>27</v>
      </c>
      <c r="C70" s="7">
        <v>155185</v>
      </c>
      <c r="D70" s="7">
        <v>500</v>
      </c>
    </row>
    <row r="71" spans="1:4">
      <c r="A71" s="2" t="s">
        <v>444</v>
      </c>
      <c r="B71" s="2" t="s">
        <v>28</v>
      </c>
      <c r="C71" s="7">
        <v>195041</v>
      </c>
      <c r="D71" s="7">
        <v>22</v>
      </c>
    </row>
    <row r="72" spans="1:4">
      <c r="A72" s="2" t="s">
        <v>444</v>
      </c>
      <c r="B72" s="2" t="s">
        <v>29</v>
      </c>
      <c r="C72" s="7">
        <v>118734</v>
      </c>
      <c r="D72" s="7">
        <v>258</v>
      </c>
    </row>
    <row r="73" spans="1:4">
      <c r="A73" s="2" t="s">
        <v>444</v>
      </c>
      <c r="B73" s="2" t="s">
        <v>30</v>
      </c>
      <c r="C73" s="7">
        <v>312519</v>
      </c>
      <c r="D73" s="7">
        <v>5341</v>
      </c>
    </row>
    <row r="74" spans="1:4">
      <c r="A74" s="2" t="s">
        <v>443</v>
      </c>
      <c r="B74" s="2" t="s">
        <v>302</v>
      </c>
      <c r="C74" s="7">
        <v>74267</v>
      </c>
      <c r="D74" s="7">
        <v>1517</v>
      </c>
    </row>
    <row r="75" spans="1:4">
      <c r="A75" s="2" t="s">
        <v>443</v>
      </c>
      <c r="B75" s="2" t="s">
        <v>304</v>
      </c>
      <c r="C75" s="7">
        <v>190923</v>
      </c>
      <c r="D75" s="7">
        <v>1020</v>
      </c>
    </row>
    <row r="76" spans="1:4">
      <c r="A76" s="2" t="s">
        <v>443</v>
      </c>
      <c r="B76" s="2" t="s">
        <v>306</v>
      </c>
      <c r="C76" s="7">
        <v>313403</v>
      </c>
      <c r="D76" s="7">
        <v>821</v>
      </c>
    </row>
    <row r="77" spans="1:4">
      <c r="A77" s="2" t="s">
        <v>443</v>
      </c>
      <c r="B77" s="2" t="s">
        <v>308</v>
      </c>
      <c r="C77" s="7">
        <v>198656</v>
      </c>
      <c r="D77" s="7">
        <v>674</v>
      </c>
    </row>
    <row r="78" spans="1:4">
      <c r="A78" s="2" t="s">
        <v>443</v>
      </c>
      <c r="B78" s="2" t="s">
        <v>310</v>
      </c>
      <c r="C78" s="7">
        <v>35827</v>
      </c>
      <c r="D78" s="7">
        <v>141</v>
      </c>
    </row>
    <row r="79" spans="1:4">
      <c r="A79" s="2" t="s">
        <v>443</v>
      </c>
      <c r="B79" s="2" t="s">
        <v>312</v>
      </c>
      <c r="C79" s="7">
        <v>262691</v>
      </c>
      <c r="D79" s="7">
        <v>1200</v>
      </c>
    </row>
    <row r="80" spans="1:4">
      <c r="A80" s="2" t="s">
        <v>443</v>
      </c>
      <c r="B80" s="2" t="s">
        <v>314</v>
      </c>
      <c r="C80" s="7">
        <v>265184</v>
      </c>
      <c r="D80" s="7">
        <v>779</v>
      </c>
    </row>
    <row r="81" spans="1:4">
      <c r="A81" s="2" t="s">
        <v>443</v>
      </c>
      <c r="B81" s="2" t="s">
        <v>316</v>
      </c>
      <c r="C81" s="7">
        <v>206727</v>
      </c>
      <c r="D81" s="7">
        <v>767</v>
      </c>
    </row>
    <row r="82" spans="1:4">
      <c r="A82" s="4" t="s">
        <v>0</v>
      </c>
      <c r="B82" s="4" t="s">
        <v>0</v>
      </c>
      <c r="C82" s="8">
        <v>217314536</v>
      </c>
      <c r="D82" s="8">
        <v>1998147</v>
      </c>
    </row>
    <row r="83" spans="1:4">
      <c r="A83" s="1" t="s">
        <v>0</v>
      </c>
      <c r="B83" s="3" t="s">
        <v>0</v>
      </c>
      <c r="C83" s="7" t="s">
        <v>0</v>
      </c>
      <c r="D83" s="7" t="s">
        <v>0</v>
      </c>
    </row>
    <row r="84" spans="1:4">
      <c r="A84" s="1" t="s">
        <v>442</v>
      </c>
      <c r="B84" s="3" t="s">
        <v>441</v>
      </c>
      <c r="C84" s="7" t="s">
        <v>0</v>
      </c>
      <c r="D84" s="7" t="s">
        <v>0</v>
      </c>
    </row>
    <row r="85" spans="1:4">
      <c r="A85" s="1" t="s">
        <v>440</v>
      </c>
      <c r="B85" s="3" t="s">
        <v>439</v>
      </c>
      <c r="C85" s="7" t="s">
        <v>0</v>
      </c>
      <c r="D85" s="7" t="s">
        <v>0</v>
      </c>
    </row>
    <row r="86" spans="1:4">
      <c r="A86" s="1" t="s">
        <v>438</v>
      </c>
      <c r="B86" s="3" t="s">
        <v>3</v>
      </c>
      <c r="C86" s="7" t="s">
        <v>0</v>
      </c>
      <c r="D86" s="7" t="s">
        <v>0</v>
      </c>
    </row>
    <row r="87" spans="1:4">
      <c r="A87" s="1" t="s">
        <v>438</v>
      </c>
      <c r="B87" s="3" t="s">
        <v>5</v>
      </c>
      <c r="C87" s="7" t="s">
        <v>0</v>
      </c>
      <c r="D87" s="7" t="s">
        <v>0</v>
      </c>
    </row>
    <row r="88" spans="1:4" ht="105">
      <c r="A88" s="1" t="s">
        <v>1</v>
      </c>
      <c r="B88" s="3" t="s">
        <v>437</v>
      </c>
      <c r="C88" s="10" t="s">
        <v>2</v>
      </c>
      <c r="D88" s="7" t="s">
        <v>0</v>
      </c>
    </row>
    <row r="89" spans="1:4">
      <c r="A89" s="13" t="s">
        <v>436</v>
      </c>
      <c r="B89" s="13" t="s">
        <v>0</v>
      </c>
      <c r="C89" s="13" t="s">
        <v>0</v>
      </c>
      <c r="D89" s="13" t="s">
        <v>0</v>
      </c>
    </row>
    <row r="90" spans="1:4">
      <c r="A90" s="1" t="s">
        <v>435</v>
      </c>
      <c r="B90" s="13" t="s">
        <v>434</v>
      </c>
      <c r="C90" s="13" t="s">
        <v>0</v>
      </c>
      <c r="D90" s="13" t="s">
        <v>0</v>
      </c>
    </row>
  </sheetData>
  <autoFilter ref="A1:D1" xr:uid="{433DF704-56F8-4DD3-B467-D7F6BE84CD43}"/>
  <mergeCells count="2">
    <mergeCell ref="A89:D89"/>
    <mergeCell ref="B90:D9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BE3B-8C61-4049-9B15-BF296A8BE77D}">
  <dimension ref="B3:G16"/>
  <sheetViews>
    <sheetView showGridLines="0" workbookViewId="0">
      <selection activeCell="A3" sqref="A3"/>
    </sheetView>
  </sheetViews>
  <sheetFormatPr defaultRowHeight="15"/>
  <cols>
    <col min="1" max="1" width="20" bestFit="1" customWidth="1"/>
    <col min="2" max="2" width="11.140625" style="9" bestFit="1" customWidth="1"/>
  </cols>
  <sheetData>
    <row r="3" spans="2:7">
      <c r="B3"/>
    </row>
    <row r="4" spans="2:7">
      <c r="C4" s="9"/>
      <c r="D4" s="9"/>
      <c r="E4" s="9"/>
      <c r="F4" s="9"/>
      <c r="G4" s="9"/>
    </row>
    <row r="5" spans="2:7">
      <c r="C5" s="9"/>
      <c r="D5" s="9"/>
      <c r="E5" s="9"/>
      <c r="F5" s="9"/>
      <c r="G5" s="9"/>
    </row>
    <row r="6" spans="2:7">
      <c r="C6" s="9"/>
      <c r="D6" s="9"/>
      <c r="E6" s="9"/>
      <c r="F6" s="9"/>
      <c r="G6" s="9"/>
    </row>
    <row r="7" spans="2:7">
      <c r="C7" s="9"/>
      <c r="D7" s="9"/>
      <c r="E7" s="9"/>
      <c r="F7" s="9"/>
      <c r="G7" s="9"/>
    </row>
    <row r="8" spans="2:7">
      <c r="C8" s="9"/>
      <c r="D8" s="9"/>
      <c r="E8" s="9"/>
      <c r="F8" s="9"/>
      <c r="G8" s="9"/>
    </row>
    <row r="9" spans="2:7">
      <c r="C9" s="9"/>
      <c r="D9" s="9"/>
      <c r="E9" s="9"/>
      <c r="F9" s="9"/>
      <c r="G9" s="9"/>
    </row>
    <row r="10" spans="2:7">
      <c r="C10" s="9"/>
      <c r="D10" s="9"/>
      <c r="E10" s="9"/>
      <c r="F10" s="9"/>
      <c r="G10" s="9"/>
    </row>
    <row r="11" spans="2:7">
      <c r="C11" s="9"/>
      <c r="D11" s="9"/>
      <c r="E11" s="9"/>
      <c r="F11" s="9"/>
      <c r="G11" s="9"/>
    </row>
    <row r="12" spans="2:7">
      <c r="C12" s="9"/>
      <c r="D12" s="9"/>
      <c r="E12" s="9"/>
      <c r="F12" s="9"/>
      <c r="G12" s="9"/>
    </row>
    <row r="13" spans="2:7">
      <c r="C13" s="9"/>
      <c r="D13" s="9"/>
      <c r="E13" s="9"/>
      <c r="F13" s="9"/>
      <c r="G13" s="9"/>
    </row>
    <row r="14" spans="2:7">
      <c r="C14" s="9"/>
      <c r="D14" s="9"/>
      <c r="E14" s="9"/>
      <c r="F14" s="9"/>
      <c r="G14" s="9"/>
    </row>
    <row r="15" spans="2:7">
      <c r="C15" s="9"/>
      <c r="D15" s="9"/>
      <c r="E15" s="9"/>
      <c r="F15" s="9"/>
      <c r="G15" s="9"/>
    </row>
    <row r="16" spans="2:7">
      <c r="C16" s="9"/>
      <c r="D16" s="9"/>
      <c r="E16" s="9"/>
      <c r="F16" s="9"/>
      <c r="G16" s="9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0715-9D53-4DBC-9D89-0D7E4001C3D0}">
  <dimension ref="A1:E364"/>
  <sheetViews>
    <sheetView showGridLines="0" workbookViewId="0"/>
  </sheetViews>
  <sheetFormatPr defaultColWidth="12" defaultRowHeight="15"/>
  <cols>
    <col min="1" max="1" width="13" bestFit="1" customWidth="1"/>
    <col min="2" max="2" width="58.28515625" bestFit="1" customWidth="1"/>
    <col min="3" max="3" width="184" bestFit="1" customWidth="1"/>
    <col min="4" max="4" width="14" bestFit="1" customWidth="1"/>
    <col min="5" max="5" width="9.140625" bestFit="1" customWidth="1"/>
  </cols>
  <sheetData>
    <row r="1" spans="1:5">
      <c r="A1" s="11" t="s">
        <v>448</v>
      </c>
      <c r="B1" s="1" t="s">
        <v>3</v>
      </c>
      <c r="C1" s="1" t="s">
        <v>5</v>
      </c>
      <c r="D1" s="6" t="s">
        <v>7</v>
      </c>
      <c r="E1" s="6" t="s">
        <v>8</v>
      </c>
    </row>
    <row r="2" spans="1:5">
      <c r="A2" s="2" t="s">
        <v>449</v>
      </c>
      <c r="B2" s="2" t="s">
        <v>447</v>
      </c>
      <c r="C2" s="2" t="s">
        <v>285</v>
      </c>
      <c r="D2" s="7">
        <v>25984</v>
      </c>
      <c r="E2" s="7">
        <v>75</v>
      </c>
    </row>
    <row r="3" spans="1:5">
      <c r="A3" s="2" t="s">
        <v>449</v>
      </c>
      <c r="B3" s="2" t="s">
        <v>447</v>
      </c>
      <c r="C3" s="2" t="s">
        <v>287</v>
      </c>
      <c r="D3" s="7">
        <v>84236</v>
      </c>
      <c r="E3" s="7">
        <v>17</v>
      </c>
    </row>
    <row r="4" spans="1:5">
      <c r="A4" s="2" t="s">
        <v>449</v>
      </c>
      <c r="B4" s="2" t="s">
        <v>447</v>
      </c>
      <c r="C4" s="2" t="s">
        <v>288</v>
      </c>
      <c r="D4" s="7">
        <v>98439</v>
      </c>
      <c r="E4" s="7">
        <v>122</v>
      </c>
    </row>
    <row r="5" spans="1:5">
      <c r="A5" s="2" t="s">
        <v>449</v>
      </c>
      <c r="B5" s="2" t="s">
        <v>447</v>
      </c>
      <c r="C5" s="2" t="s">
        <v>289</v>
      </c>
      <c r="D5" s="7">
        <v>47343</v>
      </c>
      <c r="E5" s="7">
        <v>1478</v>
      </c>
    </row>
    <row r="6" spans="1:5">
      <c r="A6" s="2" t="s">
        <v>449</v>
      </c>
      <c r="B6" s="2" t="s">
        <v>446</v>
      </c>
      <c r="C6" s="2" t="s">
        <v>417</v>
      </c>
      <c r="D6" s="7">
        <v>420487</v>
      </c>
      <c r="E6" s="7">
        <v>177</v>
      </c>
    </row>
    <row r="7" spans="1:5">
      <c r="A7" s="2" t="s">
        <v>449</v>
      </c>
      <c r="B7" s="2" t="s">
        <v>446</v>
      </c>
      <c r="C7" s="2" t="s">
        <v>419</v>
      </c>
      <c r="D7" s="7">
        <v>37982</v>
      </c>
      <c r="E7" s="7">
        <v>3</v>
      </c>
    </row>
    <row r="8" spans="1:5">
      <c r="A8" s="2" t="s">
        <v>449</v>
      </c>
      <c r="B8" s="2" t="s">
        <v>446</v>
      </c>
      <c r="C8" s="2" t="s">
        <v>421</v>
      </c>
      <c r="D8" s="7">
        <v>8</v>
      </c>
      <c r="E8" s="7">
        <v>0</v>
      </c>
    </row>
    <row r="9" spans="1:5">
      <c r="A9" s="2" t="s">
        <v>449</v>
      </c>
      <c r="B9" s="2" t="s">
        <v>446</v>
      </c>
      <c r="C9" s="2" t="s">
        <v>423</v>
      </c>
      <c r="D9" s="7">
        <v>9541173</v>
      </c>
      <c r="E9" s="7">
        <v>18722</v>
      </c>
    </row>
    <row r="10" spans="1:5">
      <c r="A10" s="2" t="s">
        <v>449</v>
      </c>
      <c r="B10" s="2" t="s">
        <v>446</v>
      </c>
      <c r="C10" s="2" t="s">
        <v>22</v>
      </c>
      <c r="D10" s="7">
        <v>1428579</v>
      </c>
      <c r="E10" s="7">
        <v>3508</v>
      </c>
    </row>
    <row r="11" spans="1:5">
      <c r="A11" s="2" t="s">
        <v>449</v>
      </c>
      <c r="B11" s="2" t="s">
        <v>445</v>
      </c>
      <c r="C11" s="2" t="s">
        <v>11</v>
      </c>
      <c r="D11" s="7">
        <v>4079694</v>
      </c>
      <c r="E11" s="7">
        <v>154929</v>
      </c>
    </row>
    <row r="12" spans="1:5">
      <c r="A12" s="2" t="s">
        <v>449</v>
      </c>
      <c r="B12" s="2" t="s">
        <v>445</v>
      </c>
      <c r="C12" s="2" t="s">
        <v>14</v>
      </c>
      <c r="D12" s="7">
        <v>220049</v>
      </c>
      <c r="E12" s="7">
        <v>96</v>
      </c>
    </row>
    <row r="13" spans="1:5">
      <c r="A13" s="2" t="s">
        <v>449</v>
      </c>
      <c r="B13" s="2" t="s">
        <v>445</v>
      </c>
      <c r="C13" s="2" t="s">
        <v>16</v>
      </c>
      <c r="D13" s="7">
        <v>632937</v>
      </c>
      <c r="E13" s="7">
        <v>45377</v>
      </c>
    </row>
    <row r="14" spans="1:5">
      <c r="A14" s="2" t="s">
        <v>449</v>
      </c>
      <c r="B14" s="2" t="s">
        <v>445</v>
      </c>
      <c r="C14" s="2" t="s">
        <v>18</v>
      </c>
      <c r="D14" s="7">
        <v>1035921</v>
      </c>
      <c r="E14" s="7">
        <v>29925</v>
      </c>
    </row>
    <row r="15" spans="1:5">
      <c r="A15" s="2" t="s">
        <v>449</v>
      </c>
      <c r="B15" s="2" t="s">
        <v>445</v>
      </c>
      <c r="C15" s="2" t="s">
        <v>20</v>
      </c>
      <c r="D15" s="7">
        <v>87642</v>
      </c>
      <c r="E15" s="7">
        <v>66</v>
      </c>
    </row>
    <row r="16" spans="1:5">
      <c r="A16" s="2" t="s">
        <v>449</v>
      </c>
      <c r="B16" s="2" t="s">
        <v>445</v>
      </c>
      <c r="C16" s="2" t="s">
        <v>67</v>
      </c>
      <c r="D16" s="7">
        <v>3552582</v>
      </c>
      <c r="E16" s="7">
        <v>6550</v>
      </c>
    </row>
    <row r="17" spans="1:5">
      <c r="A17" s="2" t="s">
        <v>449</v>
      </c>
      <c r="B17" s="2" t="s">
        <v>445</v>
      </c>
      <c r="C17" s="2" t="s">
        <v>70</v>
      </c>
      <c r="D17" s="7">
        <v>34271</v>
      </c>
      <c r="E17" s="7">
        <v>135</v>
      </c>
    </row>
    <row r="18" spans="1:5">
      <c r="A18" s="2" t="s">
        <v>449</v>
      </c>
      <c r="B18" s="2" t="s">
        <v>445</v>
      </c>
      <c r="C18" s="2" t="s">
        <v>72</v>
      </c>
      <c r="D18" s="7">
        <v>44485</v>
      </c>
      <c r="E18" s="7">
        <v>38</v>
      </c>
    </row>
    <row r="19" spans="1:5">
      <c r="A19" s="2" t="s">
        <v>449</v>
      </c>
      <c r="B19" s="2" t="s">
        <v>445</v>
      </c>
      <c r="C19" s="2" t="s">
        <v>74</v>
      </c>
      <c r="D19" s="7">
        <v>115663</v>
      </c>
      <c r="E19" s="7">
        <v>23</v>
      </c>
    </row>
    <row r="20" spans="1:5">
      <c r="A20" s="2" t="s">
        <v>449</v>
      </c>
      <c r="B20" s="2" t="s">
        <v>445</v>
      </c>
      <c r="C20" s="2" t="s">
        <v>76</v>
      </c>
      <c r="D20" s="7">
        <v>12569</v>
      </c>
      <c r="E20" s="7">
        <v>98</v>
      </c>
    </row>
    <row r="21" spans="1:5">
      <c r="A21" s="2" t="s">
        <v>449</v>
      </c>
      <c r="B21" s="2" t="s">
        <v>445</v>
      </c>
      <c r="C21" s="2" t="s">
        <v>78</v>
      </c>
      <c r="D21" s="7">
        <v>7497</v>
      </c>
      <c r="E21" s="7">
        <v>16</v>
      </c>
    </row>
    <row r="22" spans="1:5">
      <c r="A22" s="2" t="s">
        <v>449</v>
      </c>
      <c r="B22" s="2" t="s">
        <v>445</v>
      </c>
      <c r="C22" s="2" t="s">
        <v>79</v>
      </c>
      <c r="D22" s="7">
        <v>5664043</v>
      </c>
      <c r="E22" s="7">
        <v>334124</v>
      </c>
    </row>
    <row r="23" spans="1:5">
      <c r="A23" s="2" t="s">
        <v>449</v>
      </c>
      <c r="B23" s="2" t="s">
        <v>445</v>
      </c>
      <c r="C23" s="2" t="s">
        <v>82</v>
      </c>
      <c r="D23" s="7">
        <v>1104057</v>
      </c>
      <c r="E23" s="7">
        <v>54782</v>
      </c>
    </row>
    <row r="24" spans="1:5">
      <c r="A24" s="2" t="s">
        <v>449</v>
      </c>
      <c r="B24" s="2" t="s">
        <v>445</v>
      </c>
      <c r="C24" s="2" t="s">
        <v>84</v>
      </c>
      <c r="D24" s="7">
        <v>72614</v>
      </c>
      <c r="E24" s="7">
        <v>1450</v>
      </c>
    </row>
    <row r="25" spans="1:5">
      <c r="A25" s="2" t="s">
        <v>449</v>
      </c>
      <c r="B25" s="2" t="s">
        <v>445</v>
      </c>
      <c r="C25" s="2" t="s">
        <v>86</v>
      </c>
      <c r="D25" s="7">
        <v>5407564</v>
      </c>
      <c r="E25" s="7">
        <v>365699</v>
      </c>
    </row>
    <row r="26" spans="1:5">
      <c r="A26" s="2" t="s">
        <v>449</v>
      </c>
      <c r="B26" s="2" t="s">
        <v>445</v>
      </c>
      <c r="C26" s="2" t="s">
        <v>88</v>
      </c>
      <c r="D26" s="7">
        <v>589903</v>
      </c>
      <c r="E26" s="7">
        <v>25302</v>
      </c>
    </row>
    <row r="27" spans="1:5">
      <c r="A27" s="2" t="s">
        <v>449</v>
      </c>
      <c r="B27" s="2" t="s">
        <v>445</v>
      </c>
      <c r="C27" s="2" t="s">
        <v>90</v>
      </c>
      <c r="D27" s="7">
        <v>235960</v>
      </c>
      <c r="E27" s="7">
        <v>8435</v>
      </c>
    </row>
    <row r="28" spans="1:5">
      <c r="A28" s="2" t="s">
        <v>449</v>
      </c>
      <c r="B28" s="2" t="s">
        <v>445</v>
      </c>
      <c r="C28" s="2" t="s">
        <v>91</v>
      </c>
      <c r="D28" s="7">
        <v>5324195</v>
      </c>
      <c r="E28" s="7">
        <v>28200</v>
      </c>
    </row>
    <row r="29" spans="1:5">
      <c r="A29" s="2" t="s">
        <v>449</v>
      </c>
      <c r="B29" s="2" t="s">
        <v>445</v>
      </c>
      <c r="C29" s="2" t="s">
        <v>94</v>
      </c>
      <c r="D29" s="7">
        <v>776722</v>
      </c>
      <c r="E29" s="7">
        <v>5150</v>
      </c>
    </row>
    <row r="30" spans="1:5">
      <c r="A30" s="2" t="s">
        <v>449</v>
      </c>
      <c r="B30" s="2" t="s">
        <v>445</v>
      </c>
      <c r="C30" s="2" t="s">
        <v>96</v>
      </c>
      <c r="D30" s="7">
        <v>41288</v>
      </c>
      <c r="E30" s="7">
        <v>107</v>
      </c>
    </row>
    <row r="31" spans="1:5">
      <c r="A31" s="2" t="s">
        <v>449</v>
      </c>
      <c r="B31" s="2" t="s">
        <v>445</v>
      </c>
      <c r="C31" s="2" t="s">
        <v>98</v>
      </c>
      <c r="D31" s="7">
        <v>2805560</v>
      </c>
      <c r="E31" s="7">
        <v>18596</v>
      </c>
    </row>
    <row r="32" spans="1:5">
      <c r="A32" s="2" t="s">
        <v>449</v>
      </c>
      <c r="B32" s="2" t="s">
        <v>445</v>
      </c>
      <c r="C32" s="2" t="s">
        <v>100</v>
      </c>
      <c r="D32" s="7">
        <v>223076</v>
      </c>
      <c r="E32" s="7">
        <v>383</v>
      </c>
    </row>
    <row r="33" spans="1:5">
      <c r="A33" s="2" t="s">
        <v>449</v>
      </c>
      <c r="B33" s="2" t="s">
        <v>445</v>
      </c>
      <c r="C33" s="2" t="s">
        <v>102</v>
      </c>
      <c r="D33" s="7">
        <v>414676</v>
      </c>
      <c r="E33" s="7">
        <v>856</v>
      </c>
    </row>
    <row r="34" spans="1:5">
      <c r="A34" s="2" t="s">
        <v>449</v>
      </c>
      <c r="B34" s="2" t="s">
        <v>445</v>
      </c>
      <c r="C34" s="2" t="s">
        <v>103</v>
      </c>
      <c r="D34" s="7">
        <v>6245202</v>
      </c>
      <c r="E34" s="7">
        <v>242478</v>
      </c>
    </row>
    <row r="35" spans="1:5">
      <c r="A35" s="2" t="s">
        <v>449</v>
      </c>
      <c r="B35" s="2" t="s">
        <v>445</v>
      </c>
      <c r="C35" s="2" t="s">
        <v>105</v>
      </c>
      <c r="D35" s="7">
        <v>303626</v>
      </c>
      <c r="E35" s="7">
        <v>16644</v>
      </c>
    </row>
    <row r="36" spans="1:5">
      <c r="A36" s="2" t="s">
        <v>449</v>
      </c>
      <c r="B36" s="2" t="s">
        <v>445</v>
      </c>
      <c r="C36" s="2" t="s">
        <v>107</v>
      </c>
      <c r="D36" s="7">
        <v>809443</v>
      </c>
      <c r="E36" s="7">
        <v>14400</v>
      </c>
    </row>
    <row r="37" spans="1:5">
      <c r="A37" s="2" t="s">
        <v>449</v>
      </c>
      <c r="B37" s="2" t="s">
        <v>445</v>
      </c>
      <c r="C37" s="2" t="s">
        <v>109</v>
      </c>
      <c r="D37" s="7">
        <v>1135205</v>
      </c>
      <c r="E37" s="7">
        <v>27481</v>
      </c>
    </row>
    <row r="38" spans="1:5">
      <c r="A38" s="2" t="s">
        <v>449</v>
      </c>
      <c r="B38" s="2" t="s">
        <v>445</v>
      </c>
      <c r="C38" s="2" t="s">
        <v>111</v>
      </c>
      <c r="D38" s="7">
        <v>5783656</v>
      </c>
      <c r="E38" s="7">
        <v>7535</v>
      </c>
    </row>
    <row r="39" spans="1:5">
      <c r="A39" s="2" t="s">
        <v>449</v>
      </c>
      <c r="B39" s="2" t="s">
        <v>445</v>
      </c>
      <c r="C39" s="2" t="s">
        <v>114</v>
      </c>
      <c r="D39" s="7">
        <v>323784</v>
      </c>
      <c r="E39" s="7">
        <v>778</v>
      </c>
    </row>
    <row r="40" spans="1:5">
      <c r="A40" s="2" t="s">
        <v>449</v>
      </c>
      <c r="B40" s="2" t="s">
        <v>445</v>
      </c>
      <c r="C40" s="2" t="s">
        <v>116</v>
      </c>
      <c r="D40" s="7">
        <v>148665</v>
      </c>
      <c r="E40" s="7">
        <v>565</v>
      </c>
    </row>
    <row r="41" spans="1:5">
      <c r="A41" s="2" t="s">
        <v>449</v>
      </c>
      <c r="B41" s="2" t="s">
        <v>445</v>
      </c>
      <c r="C41" s="2" t="s">
        <v>118</v>
      </c>
      <c r="D41" s="7">
        <v>2532804</v>
      </c>
      <c r="E41" s="7">
        <v>6910</v>
      </c>
    </row>
    <row r="42" spans="1:5">
      <c r="A42" s="2" t="s">
        <v>449</v>
      </c>
      <c r="B42" s="2" t="s">
        <v>445</v>
      </c>
      <c r="C42" s="2" t="s">
        <v>120</v>
      </c>
      <c r="D42" s="7">
        <v>143306</v>
      </c>
      <c r="E42" s="7">
        <v>563</v>
      </c>
    </row>
    <row r="43" spans="1:5">
      <c r="A43" s="2" t="s">
        <v>449</v>
      </c>
      <c r="B43" s="2" t="s">
        <v>445</v>
      </c>
      <c r="C43" s="2" t="s">
        <v>122</v>
      </c>
      <c r="D43" s="7">
        <v>264703</v>
      </c>
      <c r="E43" s="7">
        <v>1056</v>
      </c>
    </row>
    <row r="44" spans="1:5">
      <c r="A44" s="2" t="s">
        <v>449</v>
      </c>
      <c r="B44" s="2" t="s">
        <v>445</v>
      </c>
      <c r="C44" s="2" t="s">
        <v>123</v>
      </c>
      <c r="D44" s="7">
        <v>13498207</v>
      </c>
      <c r="E44" s="7">
        <v>44709</v>
      </c>
    </row>
    <row r="45" spans="1:5">
      <c r="A45" s="2" t="s">
        <v>449</v>
      </c>
      <c r="B45" s="2" t="s">
        <v>445</v>
      </c>
      <c r="C45" s="2" t="s">
        <v>126</v>
      </c>
      <c r="D45" s="7">
        <v>1196218</v>
      </c>
      <c r="E45" s="7">
        <v>5866</v>
      </c>
    </row>
    <row r="46" spans="1:5">
      <c r="A46" s="2" t="s">
        <v>449</v>
      </c>
      <c r="B46" s="2" t="s">
        <v>445</v>
      </c>
      <c r="C46" s="2" t="s">
        <v>128</v>
      </c>
      <c r="D46" s="7">
        <v>164163</v>
      </c>
      <c r="E46" s="7">
        <v>297</v>
      </c>
    </row>
    <row r="47" spans="1:5">
      <c r="A47" s="2" t="s">
        <v>449</v>
      </c>
      <c r="B47" s="2" t="s">
        <v>445</v>
      </c>
      <c r="C47" s="2" t="s">
        <v>130</v>
      </c>
      <c r="D47" s="7">
        <v>5548684</v>
      </c>
      <c r="E47" s="7">
        <v>32391</v>
      </c>
    </row>
    <row r="48" spans="1:5">
      <c r="A48" s="2" t="s">
        <v>449</v>
      </c>
      <c r="B48" s="2" t="s">
        <v>445</v>
      </c>
      <c r="C48" s="2" t="s">
        <v>132</v>
      </c>
      <c r="D48" s="7">
        <v>995934</v>
      </c>
      <c r="E48" s="7">
        <v>3615</v>
      </c>
    </row>
    <row r="49" spans="1:5">
      <c r="A49" s="2" t="s">
        <v>449</v>
      </c>
      <c r="B49" s="2" t="s">
        <v>445</v>
      </c>
      <c r="C49" s="2" t="s">
        <v>134</v>
      </c>
      <c r="D49" s="7">
        <v>1860009</v>
      </c>
      <c r="E49" s="7">
        <v>16440</v>
      </c>
    </row>
    <row r="50" spans="1:5">
      <c r="A50" s="2" t="s">
        <v>449</v>
      </c>
      <c r="B50" s="2" t="s">
        <v>445</v>
      </c>
      <c r="C50" s="2" t="s">
        <v>135</v>
      </c>
      <c r="D50" s="7">
        <v>30450397</v>
      </c>
      <c r="E50" s="7">
        <v>175777</v>
      </c>
    </row>
    <row r="51" spans="1:5">
      <c r="A51" s="2" t="s">
        <v>449</v>
      </c>
      <c r="B51" s="2" t="s">
        <v>445</v>
      </c>
      <c r="C51" s="2" t="s">
        <v>138</v>
      </c>
      <c r="D51" s="7">
        <v>6777044</v>
      </c>
      <c r="E51" s="7">
        <v>59671</v>
      </c>
    </row>
    <row r="52" spans="1:5">
      <c r="A52" s="2" t="s">
        <v>449</v>
      </c>
      <c r="B52" s="2" t="s">
        <v>445</v>
      </c>
      <c r="C52" s="2" t="s">
        <v>140</v>
      </c>
      <c r="D52" s="7">
        <v>388600</v>
      </c>
      <c r="E52" s="7">
        <v>2883</v>
      </c>
    </row>
    <row r="53" spans="1:5">
      <c r="A53" s="2" t="s">
        <v>449</v>
      </c>
      <c r="B53" s="2" t="s">
        <v>445</v>
      </c>
      <c r="C53" s="2" t="s">
        <v>142</v>
      </c>
      <c r="D53" s="7">
        <v>13740777</v>
      </c>
      <c r="E53" s="7">
        <v>109098</v>
      </c>
    </row>
    <row r="54" spans="1:5">
      <c r="A54" s="2" t="s">
        <v>449</v>
      </c>
      <c r="B54" s="2" t="s">
        <v>445</v>
      </c>
      <c r="C54" s="2" t="s">
        <v>144</v>
      </c>
      <c r="D54" s="7">
        <v>3296901</v>
      </c>
      <c r="E54" s="7">
        <v>12957</v>
      </c>
    </row>
    <row r="55" spans="1:5">
      <c r="A55" s="2" t="s">
        <v>449</v>
      </c>
      <c r="B55" s="2" t="s">
        <v>445</v>
      </c>
      <c r="C55" s="2" t="s">
        <v>146</v>
      </c>
      <c r="D55" s="7">
        <v>3282079</v>
      </c>
      <c r="E55" s="7">
        <v>11736</v>
      </c>
    </row>
    <row r="56" spans="1:5">
      <c r="A56" s="2" t="s">
        <v>449</v>
      </c>
      <c r="B56" s="2" t="s">
        <v>445</v>
      </c>
      <c r="C56" s="2" t="s">
        <v>147</v>
      </c>
      <c r="D56" s="7">
        <v>1841736</v>
      </c>
      <c r="E56" s="7">
        <v>860</v>
      </c>
    </row>
    <row r="57" spans="1:5">
      <c r="A57" s="2" t="s">
        <v>449</v>
      </c>
      <c r="B57" s="2" t="s">
        <v>445</v>
      </c>
      <c r="C57" s="2" t="s">
        <v>149</v>
      </c>
      <c r="D57" s="7">
        <v>53351</v>
      </c>
      <c r="E57" s="7">
        <v>32</v>
      </c>
    </row>
    <row r="58" spans="1:5">
      <c r="A58" s="2" t="s">
        <v>449</v>
      </c>
      <c r="B58" s="2" t="s">
        <v>445</v>
      </c>
      <c r="C58" s="2" t="s">
        <v>151</v>
      </c>
      <c r="D58" s="7">
        <v>33158</v>
      </c>
      <c r="E58" s="7">
        <v>9</v>
      </c>
    </row>
    <row r="59" spans="1:5">
      <c r="A59" s="2" t="s">
        <v>449</v>
      </c>
      <c r="B59" s="2" t="s">
        <v>445</v>
      </c>
      <c r="C59" s="2" t="s">
        <v>153</v>
      </c>
      <c r="D59" s="7">
        <v>2123394</v>
      </c>
      <c r="E59" s="7">
        <v>916</v>
      </c>
    </row>
    <row r="60" spans="1:5">
      <c r="A60" s="2" t="s">
        <v>449</v>
      </c>
      <c r="B60" s="2" t="s">
        <v>445</v>
      </c>
      <c r="C60" s="2" t="s">
        <v>155</v>
      </c>
      <c r="D60" s="7">
        <v>56572</v>
      </c>
      <c r="E60" s="7">
        <v>41</v>
      </c>
    </row>
    <row r="61" spans="1:5">
      <c r="A61" s="2" t="s">
        <v>449</v>
      </c>
      <c r="B61" s="2" t="s">
        <v>445</v>
      </c>
      <c r="C61" s="2" t="s">
        <v>157</v>
      </c>
      <c r="D61" s="7">
        <v>43647</v>
      </c>
      <c r="E61" s="7">
        <v>33</v>
      </c>
    </row>
    <row r="62" spans="1:5">
      <c r="A62" s="2" t="s">
        <v>449</v>
      </c>
      <c r="B62" s="2" t="s">
        <v>445</v>
      </c>
      <c r="C62" s="2" t="s">
        <v>158</v>
      </c>
      <c r="D62" s="7">
        <v>60926</v>
      </c>
      <c r="E62" s="7">
        <v>584</v>
      </c>
    </row>
    <row r="63" spans="1:5">
      <c r="A63" s="2" t="s">
        <v>449</v>
      </c>
      <c r="B63" s="2" t="s">
        <v>445</v>
      </c>
      <c r="C63" s="2" t="s">
        <v>160</v>
      </c>
      <c r="D63" s="7">
        <v>49807</v>
      </c>
      <c r="E63" s="7">
        <v>93</v>
      </c>
    </row>
    <row r="64" spans="1:5">
      <c r="A64" s="2" t="s">
        <v>449</v>
      </c>
      <c r="B64" s="2" t="s">
        <v>445</v>
      </c>
      <c r="C64" s="2" t="s">
        <v>162</v>
      </c>
      <c r="D64" s="7">
        <v>8762</v>
      </c>
      <c r="E64" s="7">
        <v>6</v>
      </c>
    </row>
    <row r="65" spans="1:5">
      <c r="A65" s="2" t="s">
        <v>449</v>
      </c>
      <c r="B65" s="2" t="s">
        <v>445</v>
      </c>
      <c r="C65" s="2" t="s">
        <v>164</v>
      </c>
      <c r="D65" s="7">
        <v>72513</v>
      </c>
      <c r="E65" s="7">
        <v>654</v>
      </c>
    </row>
    <row r="66" spans="1:5">
      <c r="A66" s="2" t="s">
        <v>449</v>
      </c>
      <c r="B66" s="2" t="s">
        <v>445</v>
      </c>
      <c r="C66" s="2" t="s">
        <v>166</v>
      </c>
      <c r="D66" s="7">
        <v>12107</v>
      </c>
      <c r="E66" s="7">
        <v>12</v>
      </c>
    </row>
    <row r="67" spans="1:5">
      <c r="A67" s="2" t="s">
        <v>449</v>
      </c>
      <c r="B67" s="2" t="s">
        <v>445</v>
      </c>
      <c r="C67" s="2" t="s">
        <v>168</v>
      </c>
      <c r="D67" s="7">
        <v>5531</v>
      </c>
      <c r="E67" s="7">
        <v>2</v>
      </c>
    </row>
    <row r="68" spans="1:5">
      <c r="A68" s="2" t="s">
        <v>449</v>
      </c>
      <c r="B68" s="2" t="s">
        <v>445</v>
      </c>
      <c r="C68" s="2" t="s">
        <v>172</v>
      </c>
      <c r="D68" s="7">
        <v>1</v>
      </c>
      <c r="E68" s="7">
        <v>0</v>
      </c>
    </row>
    <row r="69" spans="1:5">
      <c r="A69" s="2" t="s">
        <v>449</v>
      </c>
      <c r="B69" s="2" t="s">
        <v>444</v>
      </c>
      <c r="C69" s="2" t="s">
        <v>24</v>
      </c>
      <c r="D69" s="7">
        <v>67567268</v>
      </c>
      <c r="E69" s="7">
        <v>83576</v>
      </c>
    </row>
    <row r="70" spans="1:5">
      <c r="A70" s="2" t="s">
        <v>449</v>
      </c>
      <c r="B70" s="2" t="s">
        <v>444</v>
      </c>
      <c r="C70" s="2" t="s">
        <v>27</v>
      </c>
      <c r="D70" s="7">
        <v>155185</v>
      </c>
      <c r="E70" s="7">
        <v>500</v>
      </c>
    </row>
    <row r="71" spans="1:5">
      <c r="A71" s="2" t="s">
        <v>449</v>
      </c>
      <c r="B71" s="2" t="s">
        <v>444</v>
      </c>
      <c r="C71" s="2" t="s">
        <v>28</v>
      </c>
      <c r="D71" s="7">
        <v>195041</v>
      </c>
      <c r="E71" s="7">
        <v>22</v>
      </c>
    </row>
    <row r="72" spans="1:5">
      <c r="A72" s="2" t="s">
        <v>449</v>
      </c>
      <c r="B72" s="2" t="s">
        <v>444</v>
      </c>
      <c r="C72" s="2" t="s">
        <v>29</v>
      </c>
      <c r="D72" s="7">
        <v>118734</v>
      </c>
      <c r="E72" s="7">
        <v>258</v>
      </c>
    </row>
    <row r="73" spans="1:5">
      <c r="A73" s="2" t="s">
        <v>449</v>
      </c>
      <c r="B73" s="2" t="s">
        <v>444</v>
      </c>
      <c r="C73" s="2" t="s">
        <v>30</v>
      </c>
      <c r="D73" s="7">
        <v>312519</v>
      </c>
      <c r="E73" s="7">
        <v>5341</v>
      </c>
    </row>
    <row r="74" spans="1:5">
      <c r="A74" s="2" t="s">
        <v>449</v>
      </c>
      <c r="B74" s="2" t="s">
        <v>443</v>
      </c>
      <c r="C74" s="2" t="s">
        <v>302</v>
      </c>
      <c r="D74" s="7">
        <v>74267</v>
      </c>
      <c r="E74" s="7">
        <v>1517</v>
      </c>
    </row>
    <row r="75" spans="1:5">
      <c r="A75" s="2" t="s">
        <v>449</v>
      </c>
      <c r="B75" s="2" t="s">
        <v>443</v>
      </c>
      <c r="C75" s="2" t="s">
        <v>304</v>
      </c>
      <c r="D75" s="7">
        <v>190923</v>
      </c>
      <c r="E75" s="7">
        <v>1020</v>
      </c>
    </row>
    <row r="76" spans="1:5">
      <c r="A76" s="2" t="s">
        <v>449</v>
      </c>
      <c r="B76" s="2" t="s">
        <v>443</v>
      </c>
      <c r="C76" s="2" t="s">
        <v>306</v>
      </c>
      <c r="D76" s="7">
        <v>313403</v>
      </c>
      <c r="E76" s="7">
        <v>821</v>
      </c>
    </row>
    <row r="77" spans="1:5">
      <c r="A77" s="2" t="s">
        <v>449</v>
      </c>
      <c r="B77" s="2" t="s">
        <v>443</v>
      </c>
      <c r="C77" s="2" t="s">
        <v>308</v>
      </c>
      <c r="D77" s="7">
        <v>198656</v>
      </c>
      <c r="E77" s="7">
        <v>674</v>
      </c>
    </row>
    <row r="78" spans="1:5">
      <c r="A78" s="2" t="s">
        <v>449</v>
      </c>
      <c r="B78" s="2" t="s">
        <v>443</v>
      </c>
      <c r="C78" s="2" t="s">
        <v>310</v>
      </c>
      <c r="D78" s="7">
        <v>35827</v>
      </c>
      <c r="E78" s="7">
        <v>141</v>
      </c>
    </row>
    <row r="79" spans="1:5">
      <c r="A79" s="2" t="s">
        <v>449</v>
      </c>
      <c r="B79" s="2" t="s">
        <v>443</v>
      </c>
      <c r="C79" s="2" t="s">
        <v>312</v>
      </c>
      <c r="D79" s="7">
        <v>262691</v>
      </c>
      <c r="E79" s="7">
        <v>1200</v>
      </c>
    </row>
    <row r="80" spans="1:5">
      <c r="A80" s="2" t="s">
        <v>449</v>
      </c>
      <c r="B80" s="2" t="s">
        <v>443</v>
      </c>
      <c r="C80" s="2" t="s">
        <v>314</v>
      </c>
      <c r="D80" s="7">
        <v>265184</v>
      </c>
      <c r="E80" s="7">
        <v>779</v>
      </c>
    </row>
    <row r="81" spans="1:5">
      <c r="A81" s="2" t="s">
        <v>449</v>
      </c>
      <c r="B81" s="2" t="s">
        <v>443</v>
      </c>
      <c r="C81" s="2" t="s">
        <v>316</v>
      </c>
      <c r="D81" s="7">
        <v>206727</v>
      </c>
      <c r="E81" s="7">
        <v>767</v>
      </c>
    </row>
    <row r="82" spans="1:5">
      <c r="A82" s="12" t="s">
        <v>450</v>
      </c>
      <c r="B82" s="2" t="s">
        <v>9</v>
      </c>
      <c r="C82" s="2" t="s">
        <v>11</v>
      </c>
      <c r="D82" s="7">
        <v>4079699</v>
      </c>
      <c r="E82" s="7">
        <v>154933</v>
      </c>
    </row>
    <row r="83" spans="1:5">
      <c r="A83" s="12" t="s">
        <v>450</v>
      </c>
      <c r="B83" s="2" t="s">
        <v>9</v>
      </c>
      <c r="C83" s="2" t="s">
        <v>14</v>
      </c>
      <c r="D83" s="7">
        <v>220049</v>
      </c>
      <c r="E83" s="7">
        <v>96</v>
      </c>
    </row>
    <row r="84" spans="1:5">
      <c r="A84" s="12" t="s">
        <v>450</v>
      </c>
      <c r="B84" s="2" t="s">
        <v>9</v>
      </c>
      <c r="C84" s="2" t="s">
        <v>16</v>
      </c>
      <c r="D84" s="7">
        <v>632939</v>
      </c>
      <c r="E84" s="7">
        <v>45378</v>
      </c>
    </row>
    <row r="85" spans="1:5">
      <c r="A85" s="12" t="s">
        <v>450</v>
      </c>
      <c r="B85" s="2" t="s">
        <v>9</v>
      </c>
      <c r="C85" s="2" t="s">
        <v>18</v>
      </c>
      <c r="D85" s="7">
        <v>1035925</v>
      </c>
      <c r="E85" s="7">
        <v>29929</v>
      </c>
    </row>
    <row r="86" spans="1:5">
      <c r="A86" s="12" t="s">
        <v>450</v>
      </c>
      <c r="B86" s="2" t="s">
        <v>9</v>
      </c>
      <c r="C86" s="2" t="s">
        <v>20</v>
      </c>
      <c r="D86" s="7">
        <v>87642</v>
      </c>
      <c r="E86" s="7">
        <v>66</v>
      </c>
    </row>
    <row r="87" spans="1:5">
      <c r="A87" s="12" t="s">
        <v>450</v>
      </c>
      <c r="B87" s="2" t="s">
        <v>9</v>
      </c>
      <c r="C87" s="2" t="s">
        <v>22</v>
      </c>
      <c r="D87" s="7">
        <v>1428580</v>
      </c>
      <c r="E87" s="7">
        <v>3509</v>
      </c>
    </row>
    <row r="88" spans="1:5">
      <c r="A88" s="12" t="s">
        <v>450</v>
      </c>
      <c r="B88" s="2" t="s">
        <v>23</v>
      </c>
      <c r="C88" s="2" t="s">
        <v>25</v>
      </c>
      <c r="D88" s="7">
        <v>67567270</v>
      </c>
      <c r="E88" s="7">
        <v>83576</v>
      </c>
    </row>
    <row r="89" spans="1:5">
      <c r="A89" s="12" t="s">
        <v>450</v>
      </c>
      <c r="B89" s="2" t="s">
        <v>23</v>
      </c>
      <c r="C89" s="2" t="s">
        <v>25</v>
      </c>
      <c r="D89" s="7">
        <v>155185</v>
      </c>
      <c r="E89" s="7">
        <v>500</v>
      </c>
    </row>
    <row r="90" spans="1:5">
      <c r="A90" s="12" t="s">
        <v>450</v>
      </c>
      <c r="B90" s="2" t="s">
        <v>23</v>
      </c>
      <c r="C90" s="2" t="s">
        <v>25</v>
      </c>
      <c r="D90" s="7">
        <v>195041</v>
      </c>
      <c r="E90" s="7">
        <v>22</v>
      </c>
    </row>
    <row r="91" spans="1:5">
      <c r="A91" s="12" t="s">
        <v>450</v>
      </c>
      <c r="B91" s="2" t="s">
        <v>23</v>
      </c>
      <c r="C91" s="2" t="s">
        <v>25</v>
      </c>
      <c r="D91" s="7">
        <v>118734</v>
      </c>
      <c r="E91" s="7">
        <v>258</v>
      </c>
    </row>
    <row r="92" spans="1:5">
      <c r="A92" s="12" t="s">
        <v>450</v>
      </c>
      <c r="B92" s="2" t="s">
        <v>23</v>
      </c>
      <c r="C92" s="2" t="s">
        <v>25</v>
      </c>
      <c r="D92" s="7">
        <v>312519</v>
      </c>
      <c r="E92" s="7">
        <v>5341</v>
      </c>
    </row>
    <row r="93" spans="1:5">
      <c r="A93" s="12" t="s">
        <v>450</v>
      </c>
      <c r="B93" s="2" t="s">
        <v>23</v>
      </c>
      <c r="C93" s="2" t="s">
        <v>25</v>
      </c>
      <c r="D93" s="7">
        <v>244451</v>
      </c>
      <c r="E93" s="7">
        <v>297</v>
      </c>
    </row>
    <row r="94" spans="1:5">
      <c r="A94" s="12" t="s">
        <v>450</v>
      </c>
      <c r="B94" s="2" t="s">
        <v>23</v>
      </c>
      <c r="C94" s="2" t="s">
        <v>34</v>
      </c>
      <c r="D94" s="7">
        <v>3</v>
      </c>
      <c r="E94" s="7">
        <v>1</v>
      </c>
    </row>
    <row r="95" spans="1:5">
      <c r="A95" s="12" t="s">
        <v>450</v>
      </c>
      <c r="B95" s="2" t="s">
        <v>23</v>
      </c>
      <c r="C95" s="2" t="s">
        <v>37</v>
      </c>
      <c r="D95" s="7">
        <v>6</v>
      </c>
      <c r="E95" s="7">
        <v>1</v>
      </c>
    </row>
    <row r="96" spans="1:5">
      <c r="A96" s="12" t="s">
        <v>450</v>
      </c>
      <c r="B96" s="2" t="s">
        <v>23</v>
      </c>
      <c r="C96" s="2" t="s">
        <v>37</v>
      </c>
      <c r="D96" s="7">
        <v>348</v>
      </c>
      <c r="E96" s="7">
        <v>4</v>
      </c>
    </row>
    <row r="97" spans="1:5">
      <c r="A97" s="12" t="s">
        <v>450</v>
      </c>
      <c r="B97" s="2" t="s">
        <v>23</v>
      </c>
      <c r="C97" s="2" t="s">
        <v>40</v>
      </c>
      <c r="D97" s="7">
        <v>8</v>
      </c>
      <c r="E97" s="7">
        <v>3</v>
      </c>
    </row>
    <row r="98" spans="1:5">
      <c r="A98" s="12" t="s">
        <v>450</v>
      </c>
      <c r="B98" s="2" t="s">
        <v>23</v>
      </c>
      <c r="C98" s="2" t="s">
        <v>42</v>
      </c>
      <c r="D98" s="7">
        <v>1</v>
      </c>
      <c r="E98" s="7">
        <v>0</v>
      </c>
    </row>
    <row r="99" spans="1:5">
      <c r="A99" s="12" t="s">
        <v>450</v>
      </c>
      <c r="B99" s="2" t="s">
        <v>23</v>
      </c>
      <c r="C99" s="2" t="s">
        <v>44</v>
      </c>
      <c r="D99" s="7">
        <v>829949</v>
      </c>
      <c r="E99" s="7">
        <v>88</v>
      </c>
    </row>
    <row r="100" spans="1:5">
      <c r="A100" s="12" t="s">
        <v>450</v>
      </c>
      <c r="B100" s="2" t="s">
        <v>23</v>
      </c>
      <c r="C100" s="2" t="s">
        <v>46</v>
      </c>
      <c r="D100" s="7">
        <v>42</v>
      </c>
      <c r="E100" s="7">
        <v>0</v>
      </c>
    </row>
    <row r="101" spans="1:5">
      <c r="A101" s="12" t="s">
        <v>450</v>
      </c>
      <c r="B101" s="2" t="s">
        <v>23</v>
      </c>
      <c r="C101" s="2" t="s">
        <v>48</v>
      </c>
      <c r="D101" s="7">
        <v>31778</v>
      </c>
      <c r="E101" s="7">
        <v>8</v>
      </c>
    </row>
    <row r="102" spans="1:5">
      <c r="A102" s="12" t="s">
        <v>450</v>
      </c>
      <c r="B102" s="2" t="s">
        <v>23</v>
      </c>
      <c r="C102" s="2" t="s">
        <v>50</v>
      </c>
      <c r="D102" s="7">
        <v>793940</v>
      </c>
      <c r="E102" s="7">
        <v>46</v>
      </c>
    </row>
    <row r="103" spans="1:5">
      <c r="A103" s="12" t="s">
        <v>450</v>
      </c>
      <c r="B103" s="2" t="s">
        <v>23</v>
      </c>
      <c r="C103" s="2" t="s">
        <v>52</v>
      </c>
      <c r="D103" s="7">
        <v>2</v>
      </c>
      <c r="E103" s="7">
        <v>0</v>
      </c>
    </row>
    <row r="104" spans="1:5">
      <c r="A104" s="12" t="s">
        <v>450</v>
      </c>
      <c r="B104" s="2" t="s">
        <v>23</v>
      </c>
      <c r="C104" s="2" t="s">
        <v>54</v>
      </c>
      <c r="D104" s="7">
        <v>159459</v>
      </c>
      <c r="E104" s="7">
        <v>30</v>
      </c>
    </row>
    <row r="105" spans="1:5">
      <c r="A105" s="12" t="s">
        <v>450</v>
      </c>
      <c r="B105" s="2" t="s">
        <v>23</v>
      </c>
      <c r="C105" s="2" t="s">
        <v>56</v>
      </c>
      <c r="D105" s="7">
        <v>0</v>
      </c>
      <c r="E105" s="7">
        <v>2</v>
      </c>
    </row>
    <row r="106" spans="1:5">
      <c r="A106" s="12" t="s">
        <v>450</v>
      </c>
      <c r="B106" s="2" t="s">
        <v>23</v>
      </c>
      <c r="C106" s="2" t="s">
        <v>56</v>
      </c>
      <c r="D106" s="7">
        <v>0</v>
      </c>
      <c r="E106" s="7">
        <v>3</v>
      </c>
    </row>
    <row r="107" spans="1:5">
      <c r="A107" s="12" t="s">
        <v>450</v>
      </c>
      <c r="B107" s="2" t="s">
        <v>23</v>
      </c>
      <c r="C107" s="2" t="s">
        <v>56</v>
      </c>
      <c r="D107" s="7">
        <v>3426</v>
      </c>
      <c r="E107" s="7">
        <v>9</v>
      </c>
    </row>
    <row r="108" spans="1:5">
      <c r="A108" s="12" t="s">
        <v>450</v>
      </c>
      <c r="B108" s="2" t="s">
        <v>23</v>
      </c>
      <c r="C108" s="2" t="s">
        <v>56</v>
      </c>
      <c r="D108" s="7">
        <v>1</v>
      </c>
      <c r="E108" s="7">
        <v>8</v>
      </c>
    </row>
    <row r="109" spans="1:5">
      <c r="A109" s="12" t="s">
        <v>450</v>
      </c>
      <c r="B109" s="2" t="s">
        <v>23</v>
      </c>
      <c r="C109" s="2" t="s">
        <v>56</v>
      </c>
      <c r="D109" s="7">
        <v>0</v>
      </c>
      <c r="E109" s="7">
        <v>3</v>
      </c>
    </row>
    <row r="110" spans="1:5">
      <c r="A110" s="12" t="s">
        <v>450</v>
      </c>
      <c r="B110" s="2" t="s">
        <v>23</v>
      </c>
      <c r="C110" s="2" t="s">
        <v>56</v>
      </c>
      <c r="D110" s="7">
        <v>0</v>
      </c>
      <c r="E110" s="7">
        <v>3</v>
      </c>
    </row>
    <row r="111" spans="1:5">
      <c r="A111" s="12" t="s">
        <v>450</v>
      </c>
      <c r="B111" s="2" t="s">
        <v>23</v>
      </c>
      <c r="C111" s="2" t="s">
        <v>56</v>
      </c>
      <c r="D111" s="7">
        <v>3469</v>
      </c>
      <c r="E111" s="7">
        <v>7</v>
      </c>
    </row>
    <row r="112" spans="1:5">
      <c r="A112" s="12" t="s">
        <v>450</v>
      </c>
      <c r="B112" s="2" t="s">
        <v>23</v>
      </c>
      <c r="C112" s="2" t="s">
        <v>56</v>
      </c>
      <c r="D112" s="7">
        <v>0</v>
      </c>
      <c r="E112" s="7">
        <v>4</v>
      </c>
    </row>
    <row r="113" spans="1:5">
      <c r="A113" s="12" t="s">
        <v>450</v>
      </c>
      <c r="B113" s="2" t="s">
        <v>23</v>
      </c>
      <c r="C113" s="2" t="s">
        <v>25</v>
      </c>
      <c r="D113" s="7">
        <v>601780</v>
      </c>
      <c r="E113" s="7">
        <v>5577</v>
      </c>
    </row>
    <row r="114" spans="1:5">
      <c r="A114" s="12" t="s">
        <v>450</v>
      </c>
      <c r="B114" s="2" t="s">
        <v>66</v>
      </c>
      <c r="C114" s="2" t="s">
        <v>68</v>
      </c>
      <c r="D114" s="7">
        <v>2</v>
      </c>
      <c r="E114" s="7">
        <v>0</v>
      </c>
    </row>
    <row r="115" spans="1:5">
      <c r="A115" s="12" t="s">
        <v>450</v>
      </c>
      <c r="B115" s="2" t="s">
        <v>66</v>
      </c>
      <c r="C115" s="2" t="s">
        <v>69</v>
      </c>
      <c r="D115" s="7">
        <v>3552581</v>
      </c>
      <c r="E115" s="7">
        <v>6551</v>
      </c>
    </row>
    <row r="116" spans="1:5">
      <c r="A116" s="12" t="s">
        <v>450</v>
      </c>
      <c r="B116" s="2" t="s">
        <v>66</v>
      </c>
      <c r="C116" s="2" t="s">
        <v>71</v>
      </c>
      <c r="D116" s="7">
        <v>34271</v>
      </c>
      <c r="E116" s="7">
        <v>135</v>
      </c>
    </row>
    <row r="117" spans="1:5">
      <c r="A117" s="12" t="s">
        <v>450</v>
      </c>
      <c r="B117" s="2" t="s">
        <v>66</v>
      </c>
      <c r="C117" s="2" t="s">
        <v>73</v>
      </c>
      <c r="D117" s="7">
        <v>44485</v>
      </c>
      <c r="E117" s="7">
        <v>38</v>
      </c>
    </row>
    <row r="118" spans="1:5">
      <c r="A118" s="12" t="s">
        <v>450</v>
      </c>
      <c r="B118" s="2" t="s">
        <v>66</v>
      </c>
      <c r="C118" s="2" t="s">
        <v>75</v>
      </c>
      <c r="D118" s="7">
        <v>115664</v>
      </c>
      <c r="E118" s="7">
        <v>24</v>
      </c>
    </row>
    <row r="119" spans="1:5">
      <c r="A119" s="12" t="s">
        <v>450</v>
      </c>
      <c r="B119" s="2" t="s">
        <v>66</v>
      </c>
      <c r="C119" s="2" t="s">
        <v>77</v>
      </c>
      <c r="D119" s="7">
        <v>12570</v>
      </c>
      <c r="E119" s="7">
        <v>98</v>
      </c>
    </row>
    <row r="120" spans="1:5">
      <c r="A120" s="12" t="s">
        <v>450</v>
      </c>
      <c r="B120" s="2" t="s">
        <v>66</v>
      </c>
      <c r="C120" s="2" t="s">
        <v>77</v>
      </c>
      <c r="D120" s="7">
        <v>7498</v>
      </c>
      <c r="E120" s="7">
        <v>16</v>
      </c>
    </row>
    <row r="121" spans="1:5">
      <c r="A121" s="12" t="s">
        <v>450</v>
      </c>
      <c r="B121" s="2" t="s">
        <v>66</v>
      </c>
      <c r="C121" s="2" t="s">
        <v>80</v>
      </c>
      <c r="D121" s="7">
        <v>2</v>
      </c>
      <c r="E121" s="7">
        <v>0</v>
      </c>
    </row>
    <row r="122" spans="1:5">
      <c r="A122" s="12" t="s">
        <v>450</v>
      </c>
      <c r="B122" s="2" t="s">
        <v>66</v>
      </c>
      <c r="C122" s="2" t="s">
        <v>81</v>
      </c>
      <c r="D122" s="7">
        <v>5664044</v>
      </c>
      <c r="E122" s="7">
        <v>334127</v>
      </c>
    </row>
    <row r="123" spans="1:5">
      <c r="A123" s="12" t="s">
        <v>450</v>
      </c>
      <c r="B123" s="2" t="s">
        <v>66</v>
      </c>
      <c r="C123" s="2" t="s">
        <v>83</v>
      </c>
      <c r="D123" s="7">
        <v>1104057</v>
      </c>
      <c r="E123" s="7">
        <v>54782</v>
      </c>
    </row>
    <row r="124" spans="1:5">
      <c r="A124" s="12" t="s">
        <v>450</v>
      </c>
      <c r="B124" s="2" t="s">
        <v>66</v>
      </c>
      <c r="C124" s="2" t="s">
        <v>85</v>
      </c>
      <c r="D124" s="7">
        <v>72614</v>
      </c>
      <c r="E124" s="7">
        <v>1450</v>
      </c>
    </row>
    <row r="125" spans="1:5">
      <c r="A125" s="12" t="s">
        <v>450</v>
      </c>
      <c r="B125" s="2" t="s">
        <v>66</v>
      </c>
      <c r="C125" s="2" t="s">
        <v>80</v>
      </c>
      <c r="D125" s="7">
        <v>1</v>
      </c>
      <c r="E125" s="7">
        <v>0</v>
      </c>
    </row>
    <row r="126" spans="1:5">
      <c r="A126" s="12" t="s">
        <v>450</v>
      </c>
      <c r="B126" s="2" t="s">
        <v>66</v>
      </c>
      <c r="C126" s="2" t="s">
        <v>87</v>
      </c>
      <c r="D126" s="7">
        <v>5407563</v>
      </c>
      <c r="E126" s="7">
        <v>365699</v>
      </c>
    </row>
    <row r="127" spans="1:5">
      <c r="A127" s="12" t="s">
        <v>450</v>
      </c>
      <c r="B127" s="2" t="s">
        <v>66</v>
      </c>
      <c r="C127" s="2" t="s">
        <v>89</v>
      </c>
      <c r="D127" s="7">
        <v>589904</v>
      </c>
      <c r="E127" s="7">
        <v>25302</v>
      </c>
    </row>
    <row r="128" spans="1:5">
      <c r="A128" s="12" t="s">
        <v>450</v>
      </c>
      <c r="B128" s="2" t="s">
        <v>66</v>
      </c>
      <c r="C128" s="2" t="s">
        <v>89</v>
      </c>
      <c r="D128" s="7">
        <v>235961</v>
      </c>
      <c r="E128" s="7">
        <v>8435</v>
      </c>
    </row>
    <row r="129" spans="1:5">
      <c r="A129" s="12" t="s">
        <v>450</v>
      </c>
      <c r="B129" s="2" t="s">
        <v>66</v>
      </c>
      <c r="C129" s="2" t="s">
        <v>92</v>
      </c>
      <c r="D129" s="7">
        <v>1</v>
      </c>
      <c r="E129" s="7">
        <v>0</v>
      </c>
    </row>
    <row r="130" spans="1:5">
      <c r="A130" s="12" t="s">
        <v>450</v>
      </c>
      <c r="B130" s="2" t="s">
        <v>66</v>
      </c>
      <c r="C130" s="2" t="s">
        <v>93</v>
      </c>
      <c r="D130" s="7">
        <v>5324195</v>
      </c>
      <c r="E130" s="7">
        <v>28201</v>
      </c>
    </row>
    <row r="131" spans="1:5">
      <c r="A131" s="12" t="s">
        <v>450</v>
      </c>
      <c r="B131" s="2" t="s">
        <v>66</v>
      </c>
      <c r="C131" s="2" t="s">
        <v>95</v>
      </c>
      <c r="D131" s="7">
        <v>776722</v>
      </c>
      <c r="E131" s="7">
        <v>5150</v>
      </c>
    </row>
    <row r="132" spans="1:5">
      <c r="A132" s="12" t="s">
        <v>450</v>
      </c>
      <c r="B132" s="2" t="s">
        <v>66</v>
      </c>
      <c r="C132" s="2" t="s">
        <v>97</v>
      </c>
      <c r="D132" s="7">
        <v>41288</v>
      </c>
      <c r="E132" s="7">
        <v>107</v>
      </c>
    </row>
    <row r="133" spans="1:5">
      <c r="A133" s="12" t="s">
        <v>450</v>
      </c>
      <c r="B133" s="2" t="s">
        <v>66</v>
      </c>
      <c r="C133" s="2" t="s">
        <v>99</v>
      </c>
      <c r="D133" s="7">
        <v>2805560</v>
      </c>
      <c r="E133" s="7">
        <v>18596</v>
      </c>
    </row>
    <row r="134" spans="1:5">
      <c r="A134" s="12" t="s">
        <v>450</v>
      </c>
      <c r="B134" s="2" t="s">
        <v>66</v>
      </c>
      <c r="C134" s="2" t="s">
        <v>101</v>
      </c>
      <c r="D134" s="7">
        <v>223077</v>
      </c>
      <c r="E134" s="7">
        <v>383</v>
      </c>
    </row>
    <row r="135" spans="1:5">
      <c r="A135" s="12" t="s">
        <v>450</v>
      </c>
      <c r="B135" s="2" t="s">
        <v>66</v>
      </c>
      <c r="C135" s="2" t="s">
        <v>101</v>
      </c>
      <c r="D135" s="7">
        <v>414677</v>
      </c>
      <c r="E135" s="7">
        <v>856</v>
      </c>
    </row>
    <row r="136" spans="1:5">
      <c r="A136" s="12" t="s">
        <v>450</v>
      </c>
      <c r="B136" s="2" t="s">
        <v>66</v>
      </c>
      <c r="C136" s="2" t="s">
        <v>104</v>
      </c>
      <c r="D136" s="7">
        <v>6245203</v>
      </c>
      <c r="E136" s="7">
        <v>242479</v>
      </c>
    </row>
    <row r="137" spans="1:5">
      <c r="A137" s="12" t="s">
        <v>450</v>
      </c>
      <c r="B137" s="2" t="s">
        <v>66</v>
      </c>
      <c r="C137" s="2" t="s">
        <v>106</v>
      </c>
      <c r="D137" s="7">
        <v>303627</v>
      </c>
      <c r="E137" s="7">
        <v>16645</v>
      </c>
    </row>
    <row r="138" spans="1:5">
      <c r="A138" s="12" t="s">
        <v>450</v>
      </c>
      <c r="B138" s="2" t="s">
        <v>66</v>
      </c>
      <c r="C138" s="2" t="s">
        <v>108</v>
      </c>
      <c r="D138" s="7">
        <v>809443</v>
      </c>
      <c r="E138" s="7">
        <v>14400</v>
      </c>
    </row>
    <row r="139" spans="1:5">
      <c r="A139" s="12" t="s">
        <v>450</v>
      </c>
      <c r="B139" s="2" t="s">
        <v>66</v>
      </c>
      <c r="C139" s="2" t="s">
        <v>110</v>
      </c>
      <c r="D139" s="7">
        <v>1135205</v>
      </c>
      <c r="E139" s="7">
        <v>27481</v>
      </c>
    </row>
    <row r="140" spans="1:5">
      <c r="A140" s="12" t="s">
        <v>450</v>
      </c>
      <c r="B140" s="2" t="s">
        <v>66</v>
      </c>
      <c r="C140" s="2" t="s">
        <v>112</v>
      </c>
      <c r="D140" s="7">
        <v>3</v>
      </c>
      <c r="E140" s="7">
        <v>0</v>
      </c>
    </row>
    <row r="141" spans="1:5">
      <c r="A141" s="12" t="s">
        <v>450</v>
      </c>
      <c r="B141" s="2" t="s">
        <v>66</v>
      </c>
      <c r="C141" s="2" t="s">
        <v>113</v>
      </c>
      <c r="D141" s="7">
        <v>5783654</v>
      </c>
      <c r="E141" s="7">
        <v>7536</v>
      </c>
    </row>
    <row r="142" spans="1:5">
      <c r="A142" s="12" t="s">
        <v>450</v>
      </c>
      <c r="B142" s="2" t="s">
        <v>66</v>
      </c>
      <c r="C142" s="2" t="s">
        <v>115</v>
      </c>
      <c r="D142" s="7">
        <v>323784</v>
      </c>
      <c r="E142" s="7">
        <v>778</v>
      </c>
    </row>
    <row r="143" spans="1:5">
      <c r="A143" s="12" t="s">
        <v>450</v>
      </c>
      <c r="B143" s="2" t="s">
        <v>66</v>
      </c>
      <c r="C143" s="2" t="s">
        <v>117</v>
      </c>
      <c r="D143" s="7">
        <v>148665</v>
      </c>
      <c r="E143" s="7">
        <v>565</v>
      </c>
    </row>
    <row r="144" spans="1:5">
      <c r="A144" s="12" t="s">
        <v>450</v>
      </c>
      <c r="B144" s="2" t="s">
        <v>66</v>
      </c>
      <c r="C144" s="2" t="s">
        <v>119</v>
      </c>
      <c r="D144" s="7">
        <v>2532804</v>
      </c>
      <c r="E144" s="7">
        <v>6910</v>
      </c>
    </row>
    <row r="145" spans="1:5">
      <c r="A145" s="12" t="s">
        <v>450</v>
      </c>
      <c r="B145" s="2" t="s">
        <v>66</v>
      </c>
      <c r="C145" s="2" t="s">
        <v>121</v>
      </c>
      <c r="D145" s="7">
        <v>143307</v>
      </c>
      <c r="E145" s="7">
        <v>563</v>
      </c>
    </row>
    <row r="146" spans="1:5">
      <c r="A146" s="12" t="s">
        <v>450</v>
      </c>
      <c r="B146" s="2" t="s">
        <v>66</v>
      </c>
      <c r="C146" s="2" t="s">
        <v>121</v>
      </c>
      <c r="D146" s="7">
        <v>264704</v>
      </c>
      <c r="E146" s="7">
        <v>1056</v>
      </c>
    </row>
    <row r="147" spans="1:5">
      <c r="A147" s="12" t="s">
        <v>450</v>
      </c>
      <c r="B147" s="2" t="s">
        <v>66</v>
      </c>
      <c r="C147" s="2" t="s">
        <v>124</v>
      </c>
      <c r="D147" s="7">
        <v>2</v>
      </c>
      <c r="E147" s="7">
        <v>0</v>
      </c>
    </row>
    <row r="148" spans="1:5">
      <c r="A148" s="12" t="s">
        <v>450</v>
      </c>
      <c r="B148" s="2" t="s">
        <v>66</v>
      </c>
      <c r="C148" s="2" t="s">
        <v>125</v>
      </c>
      <c r="D148" s="7">
        <v>13498206</v>
      </c>
      <c r="E148" s="7">
        <v>44710</v>
      </c>
    </row>
    <row r="149" spans="1:5">
      <c r="A149" s="12" t="s">
        <v>450</v>
      </c>
      <c r="B149" s="2" t="s">
        <v>66</v>
      </c>
      <c r="C149" s="2" t="s">
        <v>127</v>
      </c>
      <c r="D149" s="7">
        <v>1196218</v>
      </c>
      <c r="E149" s="7">
        <v>5866</v>
      </c>
    </row>
    <row r="150" spans="1:5">
      <c r="A150" s="12" t="s">
        <v>450</v>
      </c>
      <c r="B150" s="2" t="s">
        <v>66</v>
      </c>
      <c r="C150" s="2" t="s">
        <v>129</v>
      </c>
      <c r="D150" s="7">
        <v>164163</v>
      </c>
      <c r="E150" s="7">
        <v>297</v>
      </c>
    </row>
    <row r="151" spans="1:5">
      <c r="A151" s="12" t="s">
        <v>450</v>
      </c>
      <c r="B151" s="2" t="s">
        <v>66</v>
      </c>
      <c r="C151" s="2" t="s">
        <v>124</v>
      </c>
      <c r="D151" s="7">
        <v>1</v>
      </c>
      <c r="E151" s="7">
        <v>0</v>
      </c>
    </row>
    <row r="152" spans="1:5">
      <c r="A152" s="12" t="s">
        <v>450</v>
      </c>
      <c r="B152" s="2" t="s">
        <v>66</v>
      </c>
      <c r="C152" s="2" t="s">
        <v>131</v>
      </c>
      <c r="D152" s="7">
        <v>5548683</v>
      </c>
      <c r="E152" s="7">
        <v>32391</v>
      </c>
    </row>
    <row r="153" spans="1:5">
      <c r="A153" s="12" t="s">
        <v>450</v>
      </c>
      <c r="B153" s="2" t="s">
        <v>66</v>
      </c>
      <c r="C153" s="2" t="s">
        <v>124</v>
      </c>
      <c r="D153" s="7">
        <v>1</v>
      </c>
      <c r="E153" s="7">
        <v>0</v>
      </c>
    </row>
    <row r="154" spans="1:5">
      <c r="A154" s="12" t="s">
        <v>450</v>
      </c>
      <c r="B154" s="2" t="s">
        <v>66</v>
      </c>
      <c r="C154" s="2" t="s">
        <v>133</v>
      </c>
      <c r="D154" s="7">
        <v>995934</v>
      </c>
      <c r="E154" s="7">
        <v>3615</v>
      </c>
    </row>
    <row r="155" spans="1:5">
      <c r="A155" s="12" t="s">
        <v>450</v>
      </c>
      <c r="B155" s="2" t="s">
        <v>66</v>
      </c>
      <c r="C155" s="2" t="s">
        <v>133</v>
      </c>
      <c r="D155" s="7">
        <v>1860010</v>
      </c>
      <c r="E155" s="7">
        <v>16440</v>
      </c>
    </row>
    <row r="156" spans="1:5">
      <c r="A156" s="12" t="s">
        <v>450</v>
      </c>
      <c r="B156" s="2" t="s">
        <v>66</v>
      </c>
      <c r="C156" s="2" t="s">
        <v>136</v>
      </c>
      <c r="D156" s="7">
        <v>3</v>
      </c>
      <c r="E156" s="7">
        <v>0</v>
      </c>
    </row>
    <row r="157" spans="1:5">
      <c r="A157" s="12" t="s">
        <v>450</v>
      </c>
      <c r="B157" s="2" t="s">
        <v>66</v>
      </c>
      <c r="C157" s="2" t="s">
        <v>137</v>
      </c>
      <c r="D157" s="7">
        <v>30450395</v>
      </c>
      <c r="E157" s="7">
        <v>175778</v>
      </c>
    </row>
    <row r="158" spans="1:5">
      <c r="A158" s="12" t="s">
        <v>450</v>
      </c>
      <c r="B158" s="2" t="s">
        <v>66</v>
      </c>
      <c r="C158" s="2" t="s">
        <v>139</v>
      </c>
      <c r="D158" s="7">
        <v>6777044</v>
      </c>
      <c r="E158" s="7">
        <v>59671</v>
      </c>
    </row>
    <row r="159" spans="1:5">
      <c r="A159" s="12" t="s">
        <v>450</v>
      </c>
      <c r="B159" s="2" t="s">
        <v>66</v>
      </c>
      <c r="C159" s="2" t="s">
        <v>141</v>
      </c>
      <c r="D159" s="7">
        <v>388600</v>
      </c>
      <c r="E159" s="7">
        <v>2883</v>
      </c>
    </row>
    <row r="160" spans="1:5">
      <c r="A160" s="12" t="s">
        <v>450</v>
      </c>
      <c r="B160" s="2" t="s">
        <v>66</v>
      </c>
      <c r="C160" s="2" t="s">
        <v>136</v>
      </c>
      <c r="D160" s="7">
        <v>1</v>
      </c>
      <c r="E160" s="7">
        <v>0</v>
      </c>
    </row>
    <row r="161" spans="1:5">
      <c r="A161" s="12" t="s">
        <v>450</v>
      </c>
      <c r="B161" s="2" t="s">
        <v>66</v>
      </c>
      <c r="C161" s="2" t="s">
        <v>143</v>
      </c>
      <c r="D161" s="7">
        <v>13740776</v>
      </c>
      <c r="E161" s="7">
        <v>109098</v>
      </c>
    </row>
    <row r="162" spans="1:5">
      <c r="A162" s="12" t="s">
        <v>450</v>
      </c>
      <c r="B162" s="2" t="s">
        <v>66</v>
      </c>
      <c r="C162" s="2" t="s">
        <v>136</v>
      </c>
      <c r="D162" s="7">
        <v>1</v>
      </c>
      <c r="E162" s="7">
        <v>0</v>
      </c>
    </row>
    <row r="163" spans="1:5">
      <c r="A163" s="12" t="s">
        <v>450</v>
      </c>
      <c r="B163" s="2" t="s">
        <v>66</v>
      </c>
      <c r="C163" s="2" t="s">
        <v>145</v>
      </c>
      <c r="D163" s="7">
        <v>3296901</v>
      </c>
      <c r="E163" s="7">
        <v>12957</v>
      </c>
    </row>
    <row r="164" spans="1:5">
      <c r="A164" s="12" t="s">
        <v>450</v>
      </c>
      <c r="B164" s="2" t="s">
        <v>66</v>
      </c>
      <c r="C164" s="2" t="s">
        <v>145</v>
      </c>
      <c r="D164" s="7">
        <v>3282080</v>
      </c>
      <c r="E164" s="7">
        <v>11736</v>
      </c>
    </row>
    <row r="165" spans="1:5">
      <c r="A165" s="12" t="s">
        <v>450</v>
      </c>
      <c r="B165" s="2" t="s">
        <v>66</v>
      </c>
      <c r="C165" s="2" t="s">
        <v>148</v>
      </c>
      <c r="D165" s="7">
        <v>1841737</v>
      </c>
      <c r="E165" s="7">
        <v>861</v>
      </c>
    </row>
    <row r="166" spans="1:5">
      <c r="A166" s="12" t="s">
        <v>450</v>
      </c>
      <c r="B166" s="2" t="s">
        <v>66</v>
      </c>
      <c r="C166" s="2" t="s">
        <v>150</v>
      </c>
      <c r="D166" s="7">
        <v>53351</v>
      </c>
      <c r="E166" s="7">
        <v>32</v>
      </c>
    </row>
    <row r="167" spans="1:5">
      <c r="A167" s="12" t="s">
        <v>450</v>
      </c>
      <c r="B167" s="2" t="s">
        <v>66</v>
      </c>
      <c r="C167" s="2" t="s">
        <v>152</v>
      </c>
      <c r="D167" s="7">
        <v>33158</v>
      </c>
      <c r="E167" s="7">
        <v>9</v>
      </c>
    </row>
    <row r="168" spans="1:5">
      <c r="A168" s="12" t="s">
        <v>450</v>
      </c>
      <c r="B168" s="2" t="s">
        <v>66</v>
      </c>
      <c r="C168" s="2" t="s">
        <v>154</v>
      </c>
      <c r="D168" s="7">
        <v>2123394</v>
      </c>
      <c r="E168" s="7">
        <v>916</v>
      </c>
    </row>
    <row r="169" spans="1:5">
      <c r="A169" s="12" t="s">
        <v>450</v>
      </c>
      <c r="B169" s="2" t="s">
        <v>66</v>
      </c>
      <c r="C169" s="2" t="s">
        <v>156</v>
      </c>
      <c r="D169" s="7">
        <v>56573</v>
      </c>
      <c r="E169" s="7">
        <v>41</v>
      </c>
    </row>
    <row r="170" spans="1:5">
      <c r="A170" s="12" t="s">
        <v>450</v>
      </c>
      <c r="B170" s="2" t="s">
        <v>66</v>
      </c>
      <c r="C170" s="2" t="s">
        <v>156</v>
      </c>
      <c r="D170" s="7">
        <v>43648</v>
      </c>
      <c r="E170" s="7">
        <v>33</v>
      </c>
    </row>
    <row r="171" spans="1:5">
      <c r="A171" s="12" t="s">
        <v>450</v>
      </c>
      <c r="B171" s="2" t="s">
        <v>66</v>
      </c>
      <c r="C171" s="2" t="s">
        <v>159</v>
      </c>
      <c r="D171" s="7">
        <v>60927</v>
      </c>
      <c r="E171" s="7">
        <v>585</v>
      </c>
    </row>
    <row r="172" spans="1:5">
      <c r="A172" s="12" t="s">
        <v>450</v>
      </c>
      <c r="B172" s="2" t="s">
        <v>66</v>
      </c>
      <c r="C172" s="2" t="s">
        <v>161</v>
      </c>
      <c r="D172" s="7">
        <v>49807</v>
      </c>
      <c r="E172" s="7">
        <v>93</v>
      </c>
    </row>
    <row r="173" spans="1:5">
      <c r="A173" s="12" t="s">
        <v>450</v>
      </c>
      <c r="B173" s="2" t="s">
        <v>66</v>
      </c>
      <c r="C173" s="2" t="s">
        <v>163</v>
      </c>
      <c r="D173" s="7">
        <v>8764</v>
      </c>
      <c r="E173" s="7">
        <v>7</v>
      </c>
    </row>
    <row r="174" spans="1:5">
      <c r="A174" s="12" t="s">
        <v>450</v>
      </c>
      <c r="B174" s="2" t="s">
        <v>66</v>
      </c>
      <c r="C174" s="2" t="s">
        <v>165</v>
      </c>
      <c r="D174" s="7">
        <v>72514</v>
      </c>
      <c r="E174" s="7">
        <v>655</v>
      </c>
    </row>
    <row r="175" spans="1:5">
      <c r="A175" s="12" t="s">
        <v>450</v>
      </c>
      <c r="B175" s="2" t="s">
        <v>66</v>
      </c>
      <c r="C175" s="2" t="s">
        <v>167</v>
      </c>
      <c r="D175" s="7">
        <v>12108</v>
      </c>
      <c r="E175" s="7">
        <v>12</v>
      </c>
    </row>
    <row r="176" spans="1:5">
      <c r="A176" s="12" t="s">
        <v>450</v>
      </c>
      <c r="B176" s="2" t="s">
        <v>66</v>
      </c>
      <c r="C176" s="2" t="s">
        <v>167</v>
      </c>
      <c r="D176" s="7">
        <v>5532</v>
      </c>
      <c r="E176" s="7">
        <v>2</v>
      </c>
    </row>
    <row r="177" spans="1:5">
      <c r="A177" s="12" t="s">
        <v>450</v>
      </c>
      <c r="B177" s="2" t="s">
        <v>66</v>
      </c>
      <c r="C177" s="2" t="s">
        <v>56</v>
      </c>
      <c r="D177" s="7">
        <v>0</v>
      </c>
      <c r="E177" s="7">
        <v>1</v>
      </c>
    </row>
    <row r="178" spans="1:5">
      <c r="A178" s="12" t="s">
        <v>450</v>
      </c>
      <c r="B178" s="2" t="s">
        <v>66</v>
      </c>
      <c r="C178" s="2" t="s">
        <v>56</v>
      </c>
      <c r="D178" s="7">
        <v>0</v>
      </c>
      <c r="E178" s="7">
        <v>1</v>
      </c>
    </row>
    <row r="179" spans="1:5">
      <c r="A179" s="12" t="s">
        <v>450</v>
      </c>
      <c r="B179" s="2" t="s">
        <v>66</v>
      </c>
      <c r="C179" s="2" t="s">
        <v>56</v>
      </c>
      <c r="D179" s="7">
        <v>0</v>
      </c>
      <c r="E179" s="7">
        <v>2</v>
      </c>
    </row>
    <row r="180" spans="1:5">
      <c r="A180" s="12" t="s">
        <v>450</v>
      </c>
      <c r="B180" s="2" t="s">
        <v>66</v>
      </c>
      <c r="C180" s="2" t="s">
        <v>173</v>
      </c>
      <c r="D180" s="7">
        <v>2</v>
      </c>
      <c r="E180" s="7">
        <v>1</v>
      </c>
    </row>
    <row r="181" spans="1:5">
      <c r="A181" s="12" t="s">
        <v>450</v>
      </c>
      <c r="B181" s="2" t="s">
        <v>66</v>
      </c>
      <c r="C181" s="2" t="s">
        <v>56</v>
      </c>
      <c r="D181" s="7">
        <v>0</v>
      </c>
      <c r="E181" s="7">
        <v>1</v>
      </c>
    </row>
    <row r="182" spans="1:5">
      <c r="A182" s="12" t="s">
        <v>450</v>
      </c>
      <c r="B182" s="2" t="s">
        <v>66</v>
      </c>
      <c r="C182" s="2" t="s">
        <v>56</v>
      </c>
      <c r="D182" s="7">
        <v>0</v>
      </c>
      <c r="E182" s="7">
        <v>2</v>
      </c>
    </row>
    <row r="183" spans="1:5">
      <c r="A183" s="12" t="s">
        <v>450</v>
      </c>
      <c r="B183" s="2" t="s">
        <v>66</v>
      </c>
      <c r="C183" s="2" t="s">
        <v>56</v>
      </c>
      <c r="D183" s="7">
        <v>0</v>
      </c>
      <c r="E183" s="7">
        <v>1</v>
      </c>
    </row>
    <row r="184" spans="1:5">
      <c r="A184" s="12" t="s">
        <v>450</v>
      </c>
      <c r="B184" s="2" t="s">
        <v>66</v>
      </c>
      <c r="C184" s="2" t="s">
        <v>56</v>
      </c>
      <c r="D184" s="7">
        <v>0</v>
      </c>
      <c r="E184" s="7">
        <v>5</v>
      </c>
    </row>
    <row r="185" spans="1:5">
      <c r="A185" s="12" t="s">
        <v>450</v>
      </c>
      <c r="B185" s="2" t="s">
        <v>66</v>
      </c>
      <c r="C185" s="2" t="s">
        <v>179</v>
      </c>
      <c r="D185" s="7">
        <v>1915630</v>
      </c>
      <c r="E185" s="7">
        <v>1942</v>
      </c>
    </row>
    <row r="186" spans="1:5">
      <c r="A186" s="12" t="s">
        <v>450</v>
      </c>
      <c r="B186" s="2" t="s">
        <v>66</v>
      </c>
      <c r="C186" s="2" t="s">
        <v>182</v>
      </c>
      <c r="D186" s="7">
        <v>687434</v>
      </c>
      <c r="E186" s="7">
        <v>593</v>
      </c>
    </row>
    <row r="187" spans="1:5">
      <c r="A187" s="12" t="s">
        <v>450</v>
      </c>
      <c r="B187" s="2" t="s">
        <v>66</v>
      </c>
      <c r="C187" s="2" t="s">
        <v>124</v>
      </c>
      <c r="D187" s="7">
        <v>1</v>
      </c>
      <c r="E187" s="7">
        <v>0</v>
      </c>
    </row>
    <row r="188" spans="1:5">
      <c r="A188" s="12" t="s">
        <v>450</v>
      </c>
      <c r="B188" s="2" t="s">
        <v>66</v>
      </c>
      <c r="C188" s="2" t="s">
        <v>184</v>
      </c>
      <c r="D188" s="7">
        <v>1018986</v>
      </c>
      <c r="E188" s="7">
        <v>802</v>
      </c>
    </row>
    <row r="189" spans="1:5">
      <c r="A189" s="12" t="s">
        <v>450</v>
      </c>
      <c r="B189" s="2" t="s">
        <v>66</v>
      </c>
      <c r="C189" s="2" t="s">
        <v>186</v>
      </c>
      <c r="D189" s="7">
        <v>983817</v>
      </c>
      <c r="E189" s="7">
        <v>766</v>
      </c>
    </row>
    <row r="190" spans="1:5">
      <c r="A190" s="12" t="s">
        <v>450</v>
      </c>
      <c r="B190" s="2" t="s">
        <v>66</v>
      </c>
      <c r="C190" s="2" t="s">
        <v>188</v>
      </c>
      <c r="D190" s="7">
        <v>964759</v>
      </c>
      <c r="E190" s="7">
        <v>803</v>
      </c>
    </row>
    <row r="191" spans="1:5">
      <c r="A191" s="12" t="s">
        <v>450</v>
      </c>
      <c r="B191" s="2" t="s">
        <v>66</v>
      </c>
      <c r="C191" s="2" t="s">
        <v>85</v>
      </c>
      <c r="D191" s="7">
        <v>42303</v>
      </c>
      <c r="E191" s="7">
        <v>10</v>
      </c>
    </row>
    <row r="192" spans="1:5">
      <c r="A192" s="12" t="s">
        <v>450</v>
      </c>
      <c r="B192" s="2" t="s">
        <v>66</v>
      </c>
      <c r="C192" s="2" t="s">
        <v>191</v>
      </c>
      <c r="D192" s="7">
        <v>28871</v>
      </c>
      <c r="E192" s="7">
        <v>3</v>
      </c>
    </row>
    <row r="193" spans="1:5">
      <c r="A193" s="12" t="s">
        <v>450</v>
      </c>
      <c r="B193" s="2" t="s">
        <v>66</v>
      </c>
      <c r="C193" s="2" t="s">
        <v>193</v>
      </c>
      <c r="D193" s="7">
        <v>2</v>
      </c>
      <c r="E193" s="7">
        <v>0</v>
      </c>
    </row>
    <row r="194" spans="1:5">
      <c r="A194" s="12" t="s">
        <v>450</v>
      </c>
      <c r="B194" s="2" t="s">
        <v>66</v>
      </c>
      <c r="C194" s="2" t="s">
        <v>195</v>
      </c>
      <c r="D194" s="7">
        <v>2</v>
      </c>
      <c r="E194" s="7">
        <v>1</v>
      </c>
    </row>
    <row r="195" spans="1:5">
      <c r="A195" s="12" t="s">
        <v>450</v>
      </c>
      <c r="B195" s="2" t="s">
        <v>66</v>
      </c>
      <c r="C195" s="2" t="s">
        <v>197</v>
      </c>
      <c r="D195" s="7">
        <v>570730</v>
      </c>
      <c r="E195" s="7">
        <v>75</v>
      </c>
    </row>
    <row r="196" spans="1:5">
      <c r="A196" s="12" t="s">
        <v>450</v>
      </c>
      <c r="B196" s="2" t="s">
        <v>66</v>
      </c>
      <c r="C196" s="2" t="s">
        <v>199</v>
      </c>
      <c r="D196" s="7">
        <v>500371</v>
      </c>
      <c r="E196" s="7">
        <v>56</v>
      </c>
    </row>
    <row r="197" spans="1:5">
      <c r="A197" s="12" t="s">
        <v>450</v>
      </c>
      <c r="B197" s="2" t="s">
        <v>66</v>
      </c>
      <c r="C197" s="2" t="s">
        <v>201</v>
      </c>
      <c r="D197" s="7">
        <v>164433</v>
      </c>
      <c r="E197" s="7">
        <v>20</v>
      </c>
    </row>
    <row r="198" spans="1:5">
      <c r="A198" s="12" t="s">
        <v>450</v>
      </c>
      <c r="B198" s="2" t="s">
        <v>66</v>
      </c>
      <c r="C198" s="2" t="s">
        <v>203</v>
      </c>
      <c r="D198" s="7">
        <v>188057</v>
      </c>
      <c r="E198" s="7">
        <v>23</v>
      </c>
    </row>
    <row r="199" spans="1:5">
      <c r="A199" s="12" t="s">
        <v>450</v>
      </c>
      <c r="B199" s="2" t="s">
        <v>66</v>
      </c>
      <c r="C199" s="2" t="s">
        <v>56</v>
      </c>
      <c r="D199" s="7">
        <v>0</v>
      </c>
      <c r="E199" s="7">
        <v>1</v>
      </c>
    </row>
    <row r="200" spans="1:5">
      <c r="A200" s="12" t="s">
        <v>450</v>
      </c>
      <c r="B200" s="2" t="s">
        <v>66</v>
      </c>
      <c r="C200" s="2" t="s">
        <v>56</v>
      </c>
      <c r="D200" s="7">
        <v>0</v>
      </c>
      <c r="E200" s="7">
        <v>1</v>
      </c>
    </row>
    <row r="201" spans="1:5">
      <c r="A201" s="12" t="s">
        <v>450</v>
      </c>
      <c r="B201" s="2" t="s">
        <v>66</v>
      </c>
      <c r="C201" s="2" t="s">
        <v>56</v>
      </c>
      <c r="D201" s="7">
        <v>0</v>
      </c>
      <c r="E201" s="7">
        <v>1</v>
      </c>
    </row>
    <row r="202" spans="1:5">
      <c r="A202" s="12" t="s">
        <v>450</v>
      </c>
      <c r="B202" s="2" t="s">
        <v>66</v>
      </c>
      <c r="C202" s="2" t="s">
        <v>56</v>
      </c>
      <c r="D202" s="7">
        <v>0</v>
      </c>
      <c r="E202" s="7">
        <v>1</v>
      </c>
    </row>
    <row r="203" spans="1:5">
      <c r="A203" s="12" t="s">
        <v>450</v>
      </c>
      <c r="B203" s="2" t="s">
        <v>66</v>
      </c>
      <c r="C203" s="2" t="s">
        <v>69</v>
      </c>
      <c r="D203" s="7">
        <v>405922</v>
      </c>
      <c r="E203" s="7">
        <v>313</v>
      </c>
    </row>
    <row r="204" spans="1:5">
      <c r="A204" s="12" t="s">
        <v>450</v>
      </c>
      <c r="B204" s="2" t="s">
        <v>66</v>
      </c>
      <c r="C204" s="2" t="s">
        <v>75</v>
      </c>
      <c r="D204" s="7">
        <v>109385</v>
      </c>
      <c r="E204" s="7">
        <v>97</v>
      </c>
    </row>
    <row r="205" spans="1:5">
      <c r="A205" s="12" t="s">
        <v>450</v>
      </c>
      <c r="B205" s="2" t="s">
        <v>66</v>
      </c>
      <c r="C205" s="2" t="s">
        <v>77</v>
      </c>
      <c r="D205" s="7">
        <v>101691</v>
      </c>
      <c r="E205" s="7">
        <v>100</v>
      </c>
    </row>
    <row r="206" spans="1:5">
      <c r="A206" s="12" t="s">
        <v>450</v>
      </c>
      <c r="B206" s="2" t="s">
        <v>66</v>
      </c>
      <c r="C206" s="2" t="s">
        <v>77</v>
      </c>
      <c r="D206" s="7">
        <v>82195</v>
      </c>
      <c r="E206" s="7">
        <v>75</v>
      </c>
    </row>
    <row r="207" spans="1:5">
      <c r="A207" s="12" t="s">
        <v>450</v>
      </c>
      <c r="B207" s="2" t="s">
        <v>66</v>
      </c>
      <c r="C207" s="2" t="s">
        <v>81</v>
      </c>
      <c r="D207" s="7">
        <v>1925794</v>
      </c>
      <c r="E207" s="7">
        <v>974</v>
      </c>
    </row>
    <row r="208" spans="1:5">
      <c r="A208" s="12" t="s">
        <v>450</v>
      </c>
      <c r="B208" s="2" t="s">
        <v>66</v>
      </c>
      <c r="C208" s="2" t="s">
        <v>87</v>
      </c>
      <c r="D208" s="7">
        <v>505190</v>
      </c>
      <c r="E208" s="7">
        <v>317</v>
      </c>
    </row>
    <row r="209" spans="1:5">
      <c r="A209" s="12" t="s">
        <v>450</v>
      </c>
      <c r="B209" s="2" t="s">
        <v>66</v>
      </c>
      <c r="C209" s="2" t="s">
        <v>89</v>
      </c>
      <c r="D209" s="7">
        <v>471748</v>
      </c>
      <c r="E209" s="7">
        <v>429</v>
      </c>
    </row>
    <row r="210" spans="1:5">
      <c r="A210" s="12" t="s">
        <v>450</v>
      </c>
      <c r="B210" s="2" t="s">
        <v>66</v>
      </c>
      <c r="C210" s="2" t="s">
        <v>89</v>
      </c>
      <c r="D210" s="7">
        <v>305967</v>
      </c>
      <c r="E210" s="7">
        <v>715</v>
      </c>
    </row>
    <row r="211" spans="1:5">
      <c r="A211" s="12" t="s">
        <v>450</v>
      </c>
      <c r="B211" s="2" t="s">
        <v>66</v>
      </c>
      <c r="C211" s="2" t="s">
        <v>113</v>
      </c>
      <c r="D211" s="7">
        <v>1891464</v>
      </c>
      <c r="E211" s="7">
        <v>7116</v>
      </c>
    </row>
    <row r="212" spans="1:5">
      <c r="A212" s="12" t="s">
        <v>450</v>
      </c>
      <c r="B212" s="2" t="s">
        <v>66</v>
      </c>
      <c r="C212" s="2" t="s">
        <v>119</v>
      </c>
      <c r="D212" s="7">
        <v>1868022</v>
      </c>
      <c r="E212" s="7">
        <v>5668</v>
      </c>
    </row>
    <row r="213" spans="1:5">
      <c r="A213" s="12" t="s">
        <v>450</v>
      </c>
      <c r="B213" s="2" t="s">
        <v>66</v>
      </c>
      <c r="C213" s="2" t="s">
        <v>121</v>
      </c>
      <c r="D213" s="7">
        <v>1063713</v>
      </c>
      <c r="E213" s="7">
        <v>4161</v>
      </c>
    </row>
    <row r="214" spans="1:5">
      <c r="A214" s="12" t="s">
        <v>450</v>
      </c>
      <c r="B214" s="2" t="s">
        <v>66</v>
      </c>
      <c r="C214" s="2" t="s">
        <v>121</v>
      </c>
      <c r="D214" s="7">
        <v>1456433</v>
      </c>
      <c r="E214" s="7">
        <v>6110</v>
      </c>
    </row>
    <row r="215" spans="1:5">
      <c r="A215" s="12" t="s">
        <v>450</v>
      </c>
      <c r="B215" s="2" t="s">
        <v>66</v>
      </c>
      <c r="C215" s="2" t="s">
        <v>125</v>
      </c>
      <c r="D215" s="7">
        <v>920427</v>
      </c>
      <c r="E215" s="7">
        <v>2223</v>
      </c>
    </row>
    <row r="216" spans="1:5">
      <c r="A216" s="12" t="s">
        <v>450</v>
      </c>
      <c r="B216" s="2" t="s">
        <v>66</v>
      </c>
      <c r="C216" s="2" t="s">
        <v>131</v>
      </c>
      <c r="D216" s="7">
        <v>799455</v>
      </c>
      <c r="E216" s="7">
        <v>1225</v>
      </c>
    </row>
    <row r="217" spans="1:5">
      <c r="A217" s="12" t="s">
        <v>450</v>
      </c>
      <c r="B217" s="2" t="s">
        <v>66</v>
      </c>
      <c r="C217" s="2" t="s">
        <v>133</v>
      </c>
      <c r="D217" s="7">
        <v>575668</v>
      </c>
      <c r="E217" s="7">
        <v>2427</v>
      </c>
    </row>
    <row r="218" spans="1:5">
      <c r="A218" s="12" t="s">
        <v>450</v>
      </c>
      <c r="B218" s="2" t="s">
        <v>66</v>
      </c>
      <c r="C218" s="2" t="s">
        <v>133</v>
      </c>
      <c r="D218" s="7">
        <v>758370</v>
      </c>
      <c r="E218" s="7">
        <v>5184</v>
      </c>
    </row>
    <row r="219" spans="1:5">
      <c r="A219" s="12" t="s">
        <v>450</v>
      </c>
      <c r="B219" s="2" t="s">
        <v>66</v>
      </c>
      <c r="C219" s="2" t="s">
        <v>136</v>
      </c>
      <c r="D219" s="7">
        <v>1</v>
      </c>
      <c r="E219" s="7">
        <v>0</v>
      </c>
    </row>
    <row r="220" spans="1:5">
      <c r="A220" s="12" t="s">
        <v>450</v>
      </c>
      <c r="B220" s="2" t="s">
        <v>66</v>
      </c>
      <c r="C220" s="2" t="s">
        <v>137</v>
      </c>
      <c r="D220" s="7">
        <v>5323071</v>
      </c>
      <c r="E220" s="7">
        <v>20240</v>
      </c>
    </row>
    <row r="221" spans="1:5">
      <c r="A221" s="12" t="s">
        <v>450</v>
      </c>
      <c r="B221" s="2" t="s">
        <v>66</v>
      </c>
      <c r="C221" s="2" t="s">
        <v>136</v>
      </c>
      <c r="D221" s="7">
        <v>1</v>
      </c>
      <c r="E221" s="7">
        <v>0</v>
      </c>
    </row>
    <row r="222" spans="1:5">
      <c r="A222" s="12" t="s">
        <v>450</v>
      </c>
      <c r="B222" s="2" t="s">
        <v>66</v>
      </c>
      <c r="C222" s="2" t="s">
        <v>143</v>
      </c>
      <c r="D222" s="7">
        <v>4993934</v>
      </c>
      <c r="E222" s="7">
        <v>15853</v>
      </c>
    </row>
    <row r="223" spans="1:5">
      <c r="A223" s="12" t="s">
        <v>450</v>
      </c>
      <c r="B223" s="2" t="s">
        <v>66</v>
      </c>
      <c r="C223" s="2" t="s">
        <v>145</v>
      </c>
      <c r="D223" s="7">
        <v>2603438</v>
      </c>
      <c r="E223" s="7">
        <v>10133</v>
      </c>
    </row>
    <row r="224" spans="1:5">
      <c r="A224" s="12" t="s">
        <v>450</v>
      </c>
      <c r="B224" s="2" t="s">
        <v>66</v>
      </c>
      <c r="C224" s="2" t="s">
        <v>145</v>
      </c>
      <c r="D224" s="7">
        <v>3300428</v>
      </c>
      <c r="E224" s="7">
        <v>15285</v>
      </c>
    </row>
    <row r="225" spans="1:5">
      <c r="A225" s="12" t="s">
        <v>450</v>
      </c>
      <c r="B225" s="2" t="s">
        <v>66</v>
      </c>
      <c r="C225" s="2" t="s">
        <v>148</v>
      </c>
      <c r="D225" s="7">
        <v>2349374</v>
      </c>
      <c r="E225" s="7">
        <v>2287</v>
      </c>
    </row>
    <row r="226" spans="1:5">
      <c r="A226" s="12" t="s">
        <v>450</v>
      </c>
      <c r="B226" s="2" t="s">
        <v>66</v>
      </c>
      <c r="C226" s="2" t="s">
        <v>150</v>
      </c>
      <c r="D226" s="7">
        <v>1</v>
      </c>
      <c r="E226" s="7">
        <v>0</v>
      </c>
    </row>
    <row r="227" spans="1:5">
      <c r="A227" s="12" t="s">
        <v>450</v>
      </c>
      <c r="B227" s="2" t="s">
        <v>66</v>
      </c>
      <c r="C227" s="2" t="s">
        <v>152</v>
      </c>
      <c r="D227" s="7">
        <v>1</v>
      </c>
      <c r="E227" s="7">
        <v>1</v>
      </c>
    </row>
    <row r="228" spans="1:5">
      <c r="A228" s="12" t="s">
        <v>450</v>
      </c>
      <c r="B228" s="2" t="s">
        <v>66</v>
      </c>
      <c r="C228" s="2" t="s">
        <v>154</v>
      </c>
      <c r="D228" s="7">
        <v>1646725</v>
      </c>
      <c r="E228" s="7">
        <v>1623</v>
      </c>
    </row>
    <row r="229" spans="1:5">
      <c r="A229" s="12" t="s">
        <v>450</v>
      </c>
      <c r="B229" s="2" t="s">
        <v>66</v>
      </c>
      <c r="C229" s="2" t="s">
        <v>156</v>
      </c>
      <c r="D229" s="7">
        <v>1037628</v>
      </c>
      <c r="E229" s="7">
        <v>946</v>
      </c>
    </row>
    <row r="230" spans="1:5">
      <c r="A230" s="12" t="s">
        <v>450</v>
      </c>
      <c r="B230" s="2" t="s">
        <v>66</v>
      </c>
      <c r="C230" s="2" t="s">
        <v>156</v>
      </c>
      <c r="D230" s="7">
        <v>1095569</v>
      </c>
      <c r="E230" s="7">
        <v>912</v>
      </c>
    </row>
    <row r="231" spans="1:5">
      <c r="A231" s="12" t="s">
        <v>450</v>
      </c>
      <c r="B231" s="2" t="s">
        <v>66</v>
      </c>
      <c r="C231" s="2" t="s">
        <v>56</v>
      </c>
      <c r="D231" s="7">
        <v>3244427</v>
      </c>
      <c r="E231" s="7">
        <v>15543</v>
      </c>
    </row>
    <row r="232" spans="1:5">
      <c r="A232" s="12" t="s">
        <v>450</v>
      </c>
      <c r="B232" s="2" t="s">
        <v>66</v>
      </c>
      <c r="C232" s="2" t="s">
        <v>56</v>
      </c>
      <c r="D232" s="7">
        <v>1556333</v>
      </c>
      <c r="E232" s="7">
        <v>12832</v>
      </c>
    </row>
    <row r="233" spans="1:5">
      <c r="A233" s="12" t="s">
        <v>450</v>
      </c>
      <c r="B233" s="2" t="s">
        <v>66</v>
      </c>
      <c r="C233" s="2" t="s">
        <v>56</v>
      </c>
      <c r="D233" s="7">
        <v>452952</v>
      </c>
      <c r="E233" s="7">
        <v>1351</v>
      </c>
    </row>
    <row r="234" spans="1:5">
      <c r="A234" s="12" t="s">
        <v>450</v>
      </c>
      <c r="B234" s="2" t="s">
        <v>66</v>
      </c>
      <c r="C234" s="2" t="s">
        <v>56</v>
      </c>
      <c r="D234" s="7">
        <v>0</v>
      </c>
      <c r="E234" s="7">
        <v>2</v>
      </c>
    </row>
    <row r="235" spans="1:5">
      <c r="A235" s="12" t="s">
        <v>450</v>
      </c>
      <c r="B235" s="2" t="s">
        <v>66</v>
      </c>
      <c r="C235" s="2" t="s">
        <v>56</v>
      </c>
      <c r="D235" s="7">
        <v>0</v>
      </c>
      <c r="E235" s="7">
        <v>3</v>
      </c>
    </row>
    <row r="236" spans="1:5">
      <c r="A236" s="12" t="s">
        <v>450</v>
      </c>
      <c r="B236" s="2" t="s">
        <v>66</v>
      </c>
      <c r="C236" s="2" t="s">
        <v>56</v>
      </c>
      <c r="D236" s="7">
        <v>859102</v>
      </c>
      <c r="E236" s="7">
        <v>6239</v>
      </c>
    </row>
    <row r="237" spans="1:5">
      <c r="A237" s="12" t="s">
        <v>450</v>
      </c>
      <c r="B237" s="2" t="s">
        <v>66</v>
      </c>
      <c r="C237" s="2" t="s">
        <v>56</v>
      </c>
      <c r="D237" s="7">
        <v>0</v>
      </c>
      <c r="E237" s="7">
        <v>896487</v>
      </c>
    </row>
    <row r="238" spans="1:5">
      <c r="A238" s="12" t="s">
        <v>450</v>
      </c>
      <c r="B238" s="2" t="s">
        <v>66</v>
      </c>
      <c r="C238" s="2" t="s">
        <v>56</v>
      </c>
      <c r="D238" s="7">
        <v>10801537</v>
      </c>
      <c r="E238" s="7">
        <v>65937</v>
      </c>
    </row>
    <row r="239" spans="1:5">
      <c r="A239" s="12" t="s">
        <v>450</v>
      </c>
      <c r="B239" s="2" t="s">
        <v>66</v>
      </c>
      <c r="C239" s="2" t="s">
        <v>56</v>
      </c>
      <c r="D239" s="7">
        <v>0</v>
      </c>
      <c r="E239" s="7">
        <v>1</v>
      </c>
    </row>
    <row r="240" spans="1:5">
      <c r="A240" s="12" t="s">
        <v>450</v>
      </c>
      <c r="B240" s="2" t="s">
        <v>66</v>
      </c>
      <c r="C240" s="2" t="s">
        <v>56</v>
      </c>
      <c r="D240" s="7">
        <v>0</v>
      </c>
      <c r="E240" s="7">
        <v>1</v>
      </c>
    </row>
    <row r="241" spans="1:5">
      <c r="A241" s="12" t="s">
        <v>450</v>
      </c>
      <c r="B241" s="2" t="s">
        <v>66</v>
      </c>
      <c r="C241" s="2" t="s">
        <v>56</v>
      </c>
      <c r="D241" s="7">
        <v>0</v>
      </c>
      <c r="E241" s="7">
        <v>1</v>
      </c>
    </row>
    <row r="242" spans="1:5">
      <c r="A242" s="12" t="s">
        <v>450</v>
      </c>
      <c r="B242" s="2" t="s">
        <v>244</v>
      </c>
      <c r="C242" s="2" t="s">
        <v>246</v>
      </c>
      <c r="D242" s="7">
        <v>167590</v>
      </c>
      <c r="E242" s="7">
        <v>68</v>
      </c>
    </row>
    <row r="243" spans="1:5">
      <c r="A243" s="12" t="s">
        <v>450</v>
      </c>
      <c r="B243" s="2" t="s">
        <v>244</v>
      </c>
      <c r="C243" s="2" t="s">
        <v>249</v>
      </c>
      <c r="D243" s="7">
        <v>310</v>
      </c>
      <c r="E243" s="7">
        <v>0</v>
      </c>
    </row>
    <row r="244" spans="1:5">
      <c r="A244" s="12" t="s">
        <v>450</v>
      </c>
      <c r="B244" s="2" t="s">
        <v>244</v>
      </c>
      <c r="C244" s="2" t="s">
        <v>249</v>
      </c>
      <c r="D244" s="7">
        <v>185</v>
      </c>
      <c r="E244" s="7">
        <v>5</v>
      </c>
    </row>
    <row r="245" spans="1:5">
      <c r="A245" s="12" t="s">
        <v>450</v>
      </c>
      <c r="B245" s="2" t="s">
        <v>244</v>
      </c>
      <c r="C245" s="2" t="s">
        <v>251</v>
      </c>
      <c r="D245" s="7">
        <v>338129</v>
      </c>
      <c r="E245" s="7">
        <v>136</v>
      </c>
    </row>
    <row r="246" spans="1:5">
      <c r="A246" s="12" t="s">
        <v>450</v>
      </c>
      <c r="B246" s="2" t="s">
        <v>244</v>
      </c>
      <c r="C246" s="2" t="s">
        <v>253</v>
      </c>
      <c r="D246" s="7">
        <v>3900</v>
      </c>
      <c r="E246" s="7">
        <v>5</v>
      </c>
    </row>
    <row r="247" spans="1:5">
      <c r="A247" s="12" t="s">
        <v>450</v>
      </c>
      <c r="B247" s="2" t="s">
        <v>244</v>
      </c>
      <c r="C247" s="2" t="s">
        <v>255</v>
      </c>
      <c r="D247" s="7">
        <v>19790</v>
      </c>
      <c r="E247" s="7">
        <v>25</v>
      </c>
    </row>
    <row r="248" spans="1:5">
      <c r="A248" s="12" t="s">
        <v>450</v>
      </c>
      <c r="B248" s="2" t="s">
        <v>244</v>
      </c>
      <c r="C248" s="2" t="s">
        <v>257</v>
      </c>
      <c r="D248" s="7">
        <v>203</v>
      </c>
      <c r="E248" s="7">
        <v>5</v>
      </c>
    </row>
    <row r="249" spans="1:5">
      <c r="A249" s="12" t="s">
        <v>450</v>
      </c>
      <c r="B249" s="2" t="s">
        <v>244</v>
      </c>
      <c r="C249" s="2" t="s">
        <v>257</v>
      </c>
      <c r="D249" s="7">
        <v>233</v>
      </c>
      <c r="E249" s="7">
        <v>1</v>
      </c>
    </row>
    <row r="250" spans="1:5">
      <c r="A250" s="12" t="s">
        <v>450</v>
      </c>
      <c r="B250" s="2" t="s">
        <v>244</v>
      </c>
      <c r="C250" s="2" t="s">
        <v>259</v>
      </c>
      <c r="D250" s="7">
        <v>80741</v>
      </c>
      <c r="E250" s="7">
        <v>72</v>
      </c>
    </row>
    <row r="251" spans="1:5">
      <c r="A251" s="12" t="s">
        <v>450</v>
      </c>
      <c r="B251" s="2" t="s">
        <v>244</v>
      </c>
      <c r="C251" s="2" t="s">
        <v>261</v>
      </c>
      <c r="D251" s="7">
        <v>4647</v>
      </c>
      <c r="E251" s="7">
        <v>7</v>
      </c>
    </row>
    <row r="252" spans="1:5">
      <c r="A252" s="12" t="s">
        <v>450</v>
      </c>
      <c r="B252" s="2" t="s">
        <v>244</v>
      </c>
      <c r="C252" s="2" t="s">
        <v>263</v>
      </c>
      <c r="D252" s="7">
        <v>27636</v>
      </c>
      <c r="E252" s="7">
        <v>24</v>
      </c>
    </row>
    <row r="253" spans="1:5">
      <c r="A253" s="12" t="s">
        <v>450</v>
      </c>
      <c r="B253" s="2" t="s">
        <v>244</v>
      </c>
      <c r="C253" s="2" t="s">
        <v>265</v>
      </c>
      <c r="D253" s="7">
        <v>3331</v>
      </c>
      <c r="E253" s="7">
        <v>4</v>
      </c>
    </row>
    <row r="254" spans="1:5">
      <c r="A254" s="12" t="s">
        <v>450</v>
      </c>
      <c r="B254" s="2" t="s">
        <v>244</v>
      </c>
      <c r="C254" s="2" t="s">
        <v>265</v>
      </c>
      <c r="D254" s="7">
        <v>2276</v>
      </c>
      <c r="E254" s="7">
        <v>3</v>
      </c>
    </row>
    <row r="255" spans="1:5">
      <c r="A255" s="12" t="s">
        <v>450</v>
      </c>
      <c r="B255" s="2" t="s">
        <v>244</v>
      </c>
      <c r="C255" s="2" t="s">
        <v>267</v>
      </c>
      <c r="D255" s="7">
        <v>1745</v>
      </c>
      <c r="E255" s="7">
        <v>1</v>
      </c>
    </row>
    <row r="256" spans="1:5">
      <c r="A256" s="12" t="s">
        <v>450</v>
      </c>
      <c r="B256" s="2" t="s">
        <v>244</v>
      </c>
      <c r="C256" s="2" t="s">
        <v>269</v>
      </c>
      <c r="D256" s="7">
        <v>12108</v>
      </c>
      <c r="E256" s="7">
        <v>3</v>
      </c>
    </row>
    <row r="257" spans="1:5">
      <c r="A257" s="12" t="s">
        <v>450</v>
      </c>
      <c r="B257" s="2" t="s">
        <v>244</v>
      </c>
      <c r="C257" s="2" t="s">
        <v>271</v>
      </c>
      <c r="D257" s="7">
        <v>215</v>
      </c>
      <c r="E257" s="7">
        <v>2</v>
      </c>
    </row>
    <row r="258" spans="1:5">
      <c r="A258" s="12" t="s">
        <v>450</v>
      </c>
      <c r="B258" s="2" t="s">
        <v>244</v>
      </c>
      <c r="C258" s="2" t="s">
        <v>271</v>
      </c>
      <c r="D258" s="7">
        <v>187</v>
      </c>
      <c r="E258" s="7">
        <v>0</v>
      </c>
    </row>
    <row r="259" spans="1:5">
      <c r="A259" s="12" t="s">
        <v>450</v>
      </c>
      <c r="B259" s="2" t="s">
        <v>244</v>
      </c>
      <c r="C259" s="2" t="s">
        <v>273</v>
      </c>
      <c r="D259" s="7">
        <v>53338</v>
      </c>
      <c r="E259" s="7">
        <v>20</v>
      </c>
    </row>
    <row r="260" spans="1:5">
      <c r="A260" s="12" t="s">
        <v>450</v>
      </c>
      <c r="B260" s="2" t="s">
        <v>244</v>
      </c>
      <c r="C260" s="2" t="s">
        <v>275</v>
      </c>
      <c r="D260" s="7">
        <v>67373</v>
      </c>
      <c r="E260" s="7">
        <v>240</v>
      </c>
    </row>
    <row r="261" spans="1:5">
      <c r="A261" s="12" t="s">
        <v>450</v>
      </c>
      <c r="B261" s="2" t="s">
        <v>244</v>
      </c>
      <c r="C261" s="2" t="s">
        <v>277</v>
      </c>
      <c r="D261" s="7">
        <v>347972</v>
      </c>
      <c r="E261" s="7">
        <v>1230</v>
      </c>
    </row>
    <row r="262" spans="1:5">
      <c r="A262" s="12" t="s">
        <v>450</v>
      </c>
      <c r="B262" s="2" t="s">
        <v>244</v>
      </c>
      <c r="C262" s="2" t="s">
        <v>279</v>
      </c>
      <c r="D262" s="7">
        <v>12382</v>
      </c>
      <c r="E262" s="7">
        <v>44</v>
      </c>
    </row>
    <row r="263" spans="1:5">
      <c r="A263" s="12" t="s">
        <v>450</v>
      </c>
      <c r="B263" s="2" t="s">
        <v>244</v>
      </c>
      <c r="C263" s="2" t="s">
        <v>279</v>
      </c>
      <c r="D263" s="7">
        <v>11725</v>
      </c>
      <c r="E263" s="7">
        <v>40</v>
      </c>
    </row>
    <row r="264" spans="1:5">
      <c r="A264" s="12" t="s">
        <v>450</v>
      </c>
      <c r="B264" s="2" t="s">
        <v>244</v>
      </c>
      <c r="C264" s="2" t="s">
        <v>281</v>
      </c>
      <c r="D264" s="7">
        <v>244309</v>
      </c>
      <c r="E264" s="7">
        <v>417</v>
      </c>
    </row>
    <row r="265" spans="1:5">
      <c r="A265" s="12" t="s">
        <v>450</v>
      </c>
      <c r="B265" s="2" t="s">
        <v>244</v>
      </c>
      <c r="C265" s="2" t="s">
        <v>283</v>
      </c>
      <c r="D265" s="7">
        <v>38902</v>
      </c>
      <c r="E265" s="7">
        <v>18</v>
      </c>
    </row>
    <row r="266" spans="1:5">
      <c r="A266" s="12" t="s">
        <v>450</v>
      </c>
      <c r="B266" s="2" t="s">
        <v>284</v>
      </c>
      <c r="C266" s="2" t="s">
        <v>286</v>
      </c>
      <c r="D266" s="7">
        <v>25985</v>
      </c>
      <c r="E266" s="7">
        <v>75</v>
      </c>
    </row>
    <row r="267" spans="1:5">
      <c r="A267" s="12" t="s">
        <v>450</v>
      </c>
      <c r="B267" s="2" t="s">
        <v>284</v>
      </c>
      <c r="C267" s="2" t="s">
        <v>286</v>
      </c>
      <c r="D267" s="7">
        <v>84173</v>
      </c>
      <c r="E267" s="7">
        <v>17</v>
      </c>
    </row>
    <row r="268" spans="1:5">
      <c r="A268" s="12" t="s">
        <v>450</v>
      </c>
      <c r="B268" s="2" t="s">
        <v>284</v>
      </c>
      <c r="C268" s="2" t="s">
        <v>286</v>
      </c>
      <c r="D268" s="7">
        <v>98376</v>
      </c>
      <c r="E268" s="7">
        <v>122</v>
      </c>
    </row>
    <row r="269" spans="1:5">
      <c r="A269" s="12" t="s">
        <v>450</v>
      </c>
      <c r="B269" s="2" t="s">
        <v>284</v>
      </c>
      <c r="C269" s="2" t="s">
        <v>286</v>
      </c>
      <c r="D269" s="7">
        <v>47320</v>
      </c>
      <c r="E269" s="7">
        <v>1478</v>
      </c>
    </row>
    <row r="270" spans="1:5">
      <c r="A270" s="12" t="s">
        <v>450</v>
      </c>
      <c r="B270" s="2" t="s">
        <v>290</v>
      </c>
      <c r="C270" s="2" t="s">
        <v>56</v>
      </c>
      <c r="D270" s="7">
        <v>2</v>
      </c>
      <c r="E270" s="7">
        <v>1</v>
      </c>
    </row>
    <row r="271" spans="1:5">
      <c r="A271" s="12" t="s">
        <v>450</v>
      </c>
      <c r="B271" s="2" t="s">
        <v>290</v>
      </c>
      <c r="C271" s="2" t="s">
        <v>293</v>
      </c>
      <c r="D271" s="7">
        <v>8</v>
      </c>
      <c r="E271" s="7">
        <v>1</v>
      </c>
    </row>
    <row r="272" spans="1:5">
      <c r="A272" s="12" t="s">
        <v>450</v>
      </c>
      <c r="B272" s="2" t="s">
        <v>290</v>
      </c>
      <c r="C272" s="2" t="s">
        <v>295</v>
      </c>
      <c r="D272" s="7">
        <v>15</v>
      </c>
      <c r="E272" s="7">
        <v>3</v>
      </c>
    </row>
    <row r="273" spans="1:5">
      <c r="A273" s="12" t="s">
        <v>450</v>
      </c>
      <c r="B273" s="2" t="s">
        <v>290</v>
      </c>
      <c r="C273" s="2" t="s">
        <v>297</v>
      </c>
      <c r="D273" s="7">
        <v>12</v>
      </c>
      <c r="E273" s="7">
        <v>1</v>
      </c>
    </row>
    <row r="274" spans="1:5">
      <c r="A274" s="12" t="s">
        <v>450</v>
      </c>
      <c r="B274" s="2" t="s">
        <v>290</v>
      </c>
      <c r="C274" s="2" t="s">
        <v>299</v>
      </c>
      <c r="D274" s="7">
        <v>8</v>
      </c>
      <c r="E274" s="7">
        <v>2</v>
      </c>
    </row>
    <row r="275" spans="1:5">
      <c r="A275" s="12" t="s">
        <v>450</v>
      </c>
      <c r="B275" s="2" t="s">
        <v>290</v>
      </c>
      <c r="C275" s="2" t="s">
        <v>56</v>
      </c>
      <c r="D275" s="7">
        <v>1635</v>
      </c>
      <c r="E275" s="7">
        <v>45</v>
      </c>
    </row>
    <row r="276" spans="1:5">
      <c r="A276" s="12" t="s">
        <v>450</v>
      </c>
      <c r="B276" s="2" t="s">
        <v>301</v>
      </c>
      <c r="C276" s="2" t="s">
        <v>303</v>
      </c>
      <c r="D276" s="7">
        <v>74265</v>
      </c>
      <c r="E276" s="7">
        <v>1517</v>
      </c>
    </row>
    <row r="277" spans="1:5">
      <c r="A277" s="12" t="s">
        <v>450</v>
      </c>
      <c r="B277" s="2" t="s">
        <v>301</v>
      </c>
      <c r="C277" s="2" t="s">
        <v>305</v>
      </c>
      <c r="D277" s="7">
        <v>190904</v>
      </c>
      <c r="E277" s="7">
        <v>1020</v>
      </c>
    </row>
    <row r="278" spans="1:5">
      <c r="A278" s="12" t="s">
        <v>450</v>
      </c>
      <c r="B278" s="2" t="s">
        <v>301</v>
      </c>
      <c r="C278" s="2" t="s">
        <v>307</v>
      </c>
      <c r="D278" s="7">
        <v>313292</v>
      </c>
      <c r="E278" s="7">
        <v>821</v>
      </c>
    </row>
    <row r="279" spans="1:5">
      <c r="A279" s="12" t="s">
        <v>450</v>
      </c>
      <c r="B279" s="2" t="s">
        <v>301</v>
      </c>
      <c r="C279" s="2" t="s">
        <v>309</v>
      </c>
      <c r="D279" s="7">
        <v>198618</v>
      </c>
      <c r="E279" s="7">
        <v>674</v>
      </c>
    </row>
    <row r="280" spans="1:5">
      <c r="A280" s="12" t="s">
        <v>450</v>
      </c>
      <c r="B280" s="2" t="s">
        <v>301</v>
      </c>
      <c r="C280" s="2" t="s">
        <v>311</v>
      </c>
      <c r="D280" s="7">
        <v>35817</v>
      </c>
      <c r="E280" s="7">
        <v>141</v>
      </c>
    </row>
    <row r="281" spans="1:5">
      <c r="A281" s="12" t="s">
        <v>450</v>
      </c>
      <c r="B281" s="2" t="s">
        <v>301</v>
      </c>
      <c r="C281" s="2" t="s">
        <v>313</v>
      </c>
      <c r="D281" s="7">
        <v>262613</v>
      </c>
      <c r="E281" s="7">
        <v>1200</v>
      </c>
    </row>
    <row r="282" spans="1:5">
      <c r="A282" s="12" t="s">
        <v>450</v>
      </c>
      <c r="B282" s="2" t="s">
        <v>301</v>
      </c>
      <c r="C282" s="2" t="s">
        <v>315</v>
      </c>
      <c r="D282" s="7">
        <v>265083</v>
      </c>
      <c r="E282" s="7">
        <v>779</v>
      </c>
    </row>
    <row r="283" spans="1:5">
      <c r="A283" s="12" t="s">
        <v>450</v>
      </c>
      <c r="B283" s="2" t="s">
        <v>301</v>
      </c>
      <c r="C283" s="2" t="s">
        <v>317</v>
      </c>
      <c r="D283" s="7">
        <v>206708</v>
      </c>
      <c r="E283" s="7">
        <v>767</v>
      </c>
    </row>
    <row r="284" spans="1:5">
      <c r="A284" s="12" t="s">
        <v>450</v>
      </c>
      <c r="B284" s="2" t="s">
        <v>301</v>
      </c>
      <c r="C284" s="2" t="s">
        <v>303</v>
      </c>
      <c r="D284" s="7">
        <v>1</v>
      </c>
      <c r="E284" s="7">
        <v>0</v>
      </c>
    </row>
    <row r="285" spans="1:5">
      <c r="A285" s="12" t="s">
        <v>450</v>
      </c>
      <c r="B285" s="2" t="s">
        <v>301</v>
      </c>
      <c r="C285" s="2" t="s">
        <v>303</v>
      </c>
      <c r="D285" s="7">
        <v>262170</v>
      </c>
      <c r="E285" s="7">
        <v>82</v>
      </c>
    </row>
    <row r="286" spans="1:5">
      <c r="A286" s="12" t="s">
        <v>450</v>
      </c>
      <c r="B286" s="2" t="s">
        <v>301</v>
      </c>
      <c r="C286" s="2" t="s">
        <v>321</v>
      </c>
      <c r="D286" s="7">
        <v>190918</v>
      </c>
      <c r="E286" s="7">
        <v>118</v>
      </c>
    </row>
    <row r="287" spans="1:5">
      <c r="A287" s="12" t="s">
        <v>450</v>
      </c>
      <c r="B287" s="2" t="s">
        <v>301</v>
      </c>
      <c r="C287" s="2" t="s">
        <v>307</v>
      </c>
      <c r="D287" s="7">
        <v>1</v>
      </c>
      <c r="E287" s="7">
        <v>0</v>
      </c>
    </row>
    <row r="288" spans="1:5">
      <c r="A288" s="12" t="s">
        <v>450</v>
      </c>
      <c r="B288" s="2" t="s">
        <v>301</v>
      </c>
      <c r="C288" s="2" t="s">
        <v>307</v>
      </c>
      <c r="D288" s="7">
        <v>163093</v>
      </c>
      <c r="E288" s="7">
        <v>65</v>
      </c>
    </row>
    <row r="289" spans="1:5">
      <c r="A289" s="12" t="s">
        <v>450</v>
      </c>
      <c r="B289" s="2" t="s">
        <v>301</v>
      </c>
      <c r="C289" s="2" t="s">
        <v>309</v>
      </c>
      <c r="D289" s="7">
        <v>1</v>
      </c>
      <c r="E289" s="7">
        <v>0</v>
      </c>
    </row>
    <row r="290" spans="1:5">
      <c r="A290" s="12" t="s">
        <v>450</v>
      </c>
      <c r="B290" s="2" t="s">
        <v>301</v>
      </c>
      <c r="C290" s="2" t="s">
        <v>309</v>
      </c>
      <c r="D290" s="7">
        <v>172970</v>
      </c>
      <c r="E290" s="7">
        <v>327</v>
      </c>
    </row>
    <row r="291" spans="1:5">
      <c r="A291" s="12" t="s">
        <v>450</v>
      </c>
      <c r="B291" s="2" t="s">
        <v>301</v>
      </c>
      <c r="C291" s="2" t="s">
        <v>327</v>
      </c>
      <c r="D291" s="7">
        <v>4</v>
      </c>
      <c r="E291" s="7">
        <v>0</v>
      </c>
    </row>
    <row r="292" spans="1:5">
      <c r="A292" s="12" t="s">
        <v>450</v>
      </c>
      <c r="B292" s="2" t="s">
        <v>301</v>
      </c>
      <c r="C292" s="2" t="s">
        <v>327</v>
      </c>
      <c r="D292" s="7">
        <v>551184</v>
      </c>
      <c r="E292" s="7">
        <v>334</v>
      </c>
    </row>
    <row r="293" spans="1:5">
      <c r="A293" s="12" t="s">
        <v>450</v>
      </c>
      <c r="B293" s="2" t="s">
        <v>301</v>
      </c>
      <c r="C293" s="2" t="s">
        <v>56</v>
      </c>
      <c r="D293" s="7">
        <v>407375</v>
      </c>
      <c r="E293" s="7">
        <v>5323</v>
      </c>
    </row>
    <row r="294" spans="1:5">
      <c r="A294" s="12" t="s">
        <v>450</v>
      </c>
      <c r="B294" s="2" t="s">
        <v>301</v>
      </c>
      <c r="C294" s="2" t="s">
        <v>311</v>
      </c>
      <c r="D294" s="7">
        <v>1</v>
      </c>
      <c r="E294" s="7">
        <v>0</v>
      </c>
    </row>
    <row r="295" spans="1:5">
      <c r="A295" s="12" t="s">
        <v>450</v>
      </c>
      <c r="B295" s="2" t="s">
        <v>301</v>
      </c>
      <c r="C295" s="2" t="s">
        <v>311</v>
      </c>
      <c r="D295" s="7">
        <v>266510</v>
      </c>
      <c r="E295" s="7">
        <v>91</v>
      </c>
    </row>
    <row r="296" spans="1:5">
      <c r="A296" s="12" t="s">
        <v>450</v>
      </c>
      <c r="B296" s="2" t="s">
        <v>301</v>
      </c>
      <c r="C296" s="2" t="s">
        <v>333</v>
      </c>
      <c r="D296" s="7">
        <v>2</v>
      </c>
      <c r="E296" s="7">
        <v>0</v>
      </c>
    </row>
    <row r="297" spans="1:5">
      <c r="A297" s="12" t="s">
        <v>450</v>
      </c>
      <c r="B297" s="2" t="s">
        <v>301</v>
      </c>
      <c r="C297" s="2" t="s">
        <v>333</v>
      </c>
      <c r="D297" s="7">
        <v>192847</v>
      </c>
      <c r="E297" s="7">
        <v>102</v>
      </c>
    </row>
    <row r="298" spans="1:5">
      <c r="A298" s="12" t="s">
        <v>450</v>
      </c>
      <c r="B298" s="2" t="s">
        <v>301</v>
      </c>
      <c r="C298" s="2" t="s">
        <v>315</v>
      </c>
      <c r="D298" s="7">
        <v>10</v>
      </c>
      <c r="E298" s="7">
        <v>0</v>
      </c>
    </row>
    <row r="299" spans="1:5">
      <c r="A299" s="12" t="s">
        <v>450</v>
      </c>
      <c r="B299" s="2" t="s">
        <v>301</v>
      </c>
      <c r="C299" s="2" t="s">
        <v>315</v>
      </c>
      <c r="D299" s="7">
        <v>161926</v>
      </c>
      <c r="E299" s="7">
        <v>62</v>
      </c>
    </row>
    <row r="300" spans="1:5">
      <c r="A300" s="12" t="s">
        <v>450</v>
      </c>
      <c r="B300" s="2" t="s">
        <v>301</v>
      </c>
      <c r="C300" s="2" t="s">
        <v>317</v>
      </c>
      <c r="D300" s="7">
        <v>6</v>
      </c>
      <c r="E300" s="7">
        <v>0</v>
      </c>
    </row>
    <row r="301" spans="1:5">
      <c r="A301" s="12" t="s">
        <v>450</v>
      </c>
      <c r="B301" s="2" t="s">
        <v>301</v>
      </c>
      <c r="C301" s="2" t="s">
        <v>317</v>
      </c>
      <c r="D301" s="7">
        <v>165982</v>
      </c>
      <c r="E301" s="7">
        <v>330</v>
      </c>
    </row>
    <row r="302" spans="1:5">
      <c r="A302" s="12" t="s">
        <v>450</v>
      </c>
      <c r="B302" s="2" t="s">
        <v>301</v>
      </c>
      <c r="C302" s="2" t="s">
        <v>340</v>
      </c>
      <c r="D302" s="7">
        <v>1</v>
      </c>
      <c r="E302" s="7">
        <v>0</v>
      </c>
    </row>
    <row r="303" spans="1:5">
      <c r="A303" s="12" t="s">
        <v>450</v>
      </c>
      <c r="B303" s="2" t="s">
        <v>301</v>
      </c>
      <c r="C303" s="2" t="s">
        <v>340</v>
      </c>
      <c r="D303" s="7">
        <v>572592</v>
      </c>
      <c r="E303" s="7">
        <v>387</v>
      </c>
    </row>
    <row r="304" spans="1:5">
      <c r="A304" s="12" t="s">
        <v>450</v>
      </c>
      <c r="B304" s="2" t="s">
        <v>301</v>
      </c>
      <c r="C304" s="2" t="s">
        <v>56</v>
      </c>
      <c r="D304" s="7">
        <v>1350587</v>
      </c>
      <c r="E304" s="7">
        <v>4054</v>
      </c>
    </row>
    <row r="305" spans="1:5">
      <c r="A305" s="12" t="s">
        <v>450</v>
      </c>
      <c r="B305" s="2" t="s">
        <v>301</v>
      </c>
      <c r="C305" s="2" t="s">
        <v>56</v>
      </c>
      <c r="D305" s="7">
        <v>70523</v>
      </c>
      <c r="E305" s="7">
        <v>994</v>
      </c>
    </row>
    <row r="306" spans="1:5">
      <c r="A306" s="12" t="s">
        <v>450</v>
      </c>
      <c r="B306" s="2" t="s">
        <v>301</v>
      </c>
      <c r="C306" s="2" t="s">
        <v>56</v>
      </c>
      <c r="D306" s="7">
        <v>994782</v>
      </c>
      <c r="E306" s="7">
        <v>4</v>
      </c>
    </row>
    <row r="307" spans="1:5">
      <c r="A307" s="12" t="s">
        <v>450</v>
      </c>
      <c r="B307" s="2" t="s">
        <v>301</v>
      </c>
      <c r="C307" s="2" t="s">
        <v>346</v>
      </c>
      <c r="D307" s="7">
        <v>1</v>
      </c>
      <c r="E307" s="7">
        <v>0</v>
      </c>
    </row>
    <row r="308" spans="1:5">
      <c r="A308" s="12" t="s">
        <v>450</v>
      </c>
      <c r="B308" s="2" t="s">
        <v>347</v>
      </c>
      <c r="C308" s="2" t="s">
        <v>56</v>
      </c>
      <c r="D308" s="7">
        <v>4603</v>
      </c>
      <c r="E308" s="7">
        <v>2</v>
      </c>
    </row>
    <row r="309" spans="1:5">
      <c r="A309" s="12" t="s">
        <v>450</v>
      </c>
      <c r="B309" s="2" t="s">
        <v>347</v>
      </c>
      <c r="C309" s="2" t="s">
        <v>56</v>
      </c>
      <c r="D309" s="7">
        <v>0</v>
      </c>
      <c r="E309" s="7">
        <v>3</v>
      </c>
    </row>
    <row r="310" spans="1:5">
      <c r="A310" s="12" t="s">
        <v>450</v>
      </c>
      <c r="B310" s="2" t="s">
        <v>347</v>
      </c>
      <c r="C310" s="2" t="s">
        <v>56</v>
      </c>
      <c r="D310" s="7">
        <v>438809</v>
      </c>
      <c r="E310" s="7">
        <v>103</v>
      </c>
    </row>
    <row r="311" spans="1:5">
      <c r="A311" s="12" t="s">
        <v>450</v>
      </c>
      <c r="B311" s="2" t="s">
        <v>347</v>
      </c>
      <c r="C311" s="2" t="s">
        <v>353</v>
      </c>
      <c r="D311" s="7">
        <v>259469</v>
      </c>
      <c r="E311" s="7">
        <v>63</v>
      </c>
    </row>
    <row r="312" spans="1:5">
      <c r="A312" s="12" t="s">
        <v>450</v>
      </c>
      <c r="B312" s="2" t="s">
        <v>347</v>
      </c>
      <c r="C312" s="2" t="s">
        <v>355</v>
      </c>
      <c r="D312" s="7">
        <v>877609</v>
      </c>
      <c r="E312" s="7">
        <v>145</v>
      </c>
    </row>
    <row r="313" spans="1:5">
      <c r="A313" s="12" t="s">
        <v>450</v>
      </c>
      <c r="B313" s="2" t="s">
        <v>347</v>
      </c>
      <c r="C313" s="2" t="s">
        <v>56</v>
      </c>
      <c r="D313" s="7">
        <v>34818</v>
      </c>
      <c r="E313" s="7">
        <v>196</v>
      </c>
    </row>
    <row r="314" spans="1:5">
      <c r="A314" s="12" t="s">
        <v>450</v>
      </c>
      <c r="B314" s="2" t="s">
        <v>347</v>
      </c>
      <c r="C314" s="2" t="s">
        <v>358</v>
      </c>
      <c r="D314" s="7">
        <v>427984</v>
      </c>
      <c r="E314" s="7">
        <v>822</v>
      </c>
    </row>
    <row r="315" spans="1:5">
      <c r="A315" s="12" t="s">
        <v>450</v>
      </c>
      <c r="B315" s="2" t="s">
        <v>347</v>
      </c>
      <c r="C315" s="2" t="s">
        <v>360</v>
      </c>
      <c r="D315" s="7">
        <v>641457</v>
      </c>
      <c r="E315" s="7">
        <v>1266</v>
      </c>
    </row>
    <row r="316" spans="1:5">
      <c r="A316" s="12" t="s">
        <v>450</v>
      </c>
      <c r="B316" s="2" t="s">
        <v>347</v>
      </c>
      <c r="C316" s="2" t="s">
        <v>362</v>
      </c>
      <c r="D316" s="7">
        <v>2</v>
      </c>
      <c r="E316" s="7">
        <v>2</v>
      </c>
    </row>
    <row r="317" spans="1:5">
      <c r="A317" s="12" t="s">
        <v>450</v>
      </c>
      <c r="B317" s="2" t="s">
        <v>347</v>
      </c>
      <c r="C317" s="2" t="s">
        <v>56</v>
      </c>
      <c r="D317" s="7">
        <v>2199</v>
      </c>
      <c r="E317" s="7">
        <v>22</v>
      </c>
    </row>
    <row r="318" spans="1:5">
      <c r="A318" s="12" t="s">
        <v>450</v>
      </c>
      <c r="B318" s="2" t="s">
        <v>347</v>
      </c>
      <c r="C318" s="2" t="s">
        <v>365</v>
      </c>
      <c r="D318" s="7">
        <v>11697</v>
      </c>
      <c r="E318" s="7">
        <v>24</v>
      </c>
    </row>
    <row r="319" spans="1:5">
      <c r="A319" s="12" t="s">
        <v>450</v>
      </c>
      <c r="B319" s="2" t="s">
        <v>347</v>
      </c>
      <c r="C319" s="2" t="s">
        <v>367</v>
      </c>
      <c r="D319" s="7">
        <v>5256</v>
      </c>
      <c r="E319" s="7">
        <v>60</v>
      </c>
    </row>
    <row r="320" spans="1:5">
      <c r="A320" s="12" t="s">
        <v>450</v>
      </c>
      <c r="B320" s="2" t="s">
        <v>347</v>
      </c>
      <c r="C320" s="2" t="s">
        <v>369</v>
      </c>
      <c r="D320" s="7">
        <v>2</v>
      </c>
      <c r="E320" s="7">
        <v>2</v>
      </c>
    </row>
    <row r="321" spans="1:5">
      <c r="A321" s="12" t="s">
        <v>450</v>
      </c>
      <c r="B321" s="2" t="s">
        <v>347</v>
      </c>
      <c r="C321" s="2" t="s">
        <v>56</v>
      </c>
      <c r="D321" s="7">
        <v>13418</v>
      </c>
      <c r="E321" s="7">
        <v>23</v>
      </c>
    </row>
    <row r="322" spans="1:5">
      <c r="A322" s="12" t="s">
        <v>450</v>
      </c>
      <c r="B322" s="2" t="s">
        <v>347</v>
      </c>
      <c r="C322" s="2" t="s">
        <v>56</v>
      </c>
      <c r="D322" s="7">
        <v>129101</v>
      </c>
      <c r="E322" s="7">
        <v>2959</v>
      </c>
    </row>
    <row r="323" spans="1:5">
      <c r="A323" s="12" t="s">
        <v>450</v>
      </c>
      <c r="B323" s="2" t="s">
        <v>347</v>
      </c>
      <c r="C323" s="2" t="s">
        <v>373</v>
      </c>
      <c r="D323" s="7">
        <v>35050</v>
      </c>
      <c r="E323" s="7">
        <v>688</v>
      </c>
    </row>
    <row r="324" spans="1:5">
      <c r="A324" s="12" t="s">
        <v>450</v>
      </c>
      <c r="B324" s="2" t="s">
        <v>347</v>
      </c>
      <c r="C324" s="2" t="s">
        <v>56</v>
      </c>
      <c r="D324" s="7">
        <v>25</v>
      </c>
      <c r="E324" s="7">
        <v>2</v>
      </c>
    </row>
    <row r="325" spans="1:5">
      <c r="A325" s="12" t="s">
        <v>450</v>
      </c>
      <c r="B325" s="2" t="s">
        <v>347</v>
      </c>
      <c r="C325" s="2" t="s">
        <v>56</v>
      </c>
      <c r="D325" s="7">
        <v>14790</v>
      </c>
      <c r="E325" s="7">
        <v>42</v>
      </c>
    </row>
    <row r="326" spans="1:5">
      <c r="A326" s="12" t="s">
        <v>450</v>
      </c>
      <c r="B326" s="2" t="s">
        <v>376</v>
      </c>
      <c r="C326" s="2" t="s">
        <v>56</v>
      </c>
      <c r="D326" s="7">
        <v>7</v>
      </c>
      <c r="E326" s="7">
        <v>0</v>
      </c>
    </row>
    <row r="327" spans="1:5">
      <c r="A327" s="12" t="s">
        <v>450</v>
      </c>
      <c r="B327" s="2" t="s">
        <v>376</v>
      </c>
      <c r="C327" s="2" t="s">
        <v>56</v>
      </c>
      <c r="D327" s="7">
        <v>1</v>
      </c>
      <c r="E327" s="7">
        <v>0</v>
      </c>
    </row>
    <row r="328" spans="1:5">
      <c r="A328" s="12" t="s">
        <v>450</v>
      </c>
      <c r="B328" s="2" t="s">
        <v>376</v>
      </c>
      <c r="C328" s="2" t="s">
        <v>56</v>
      </c>
      <c r="D328" s="7">
        <v>3</v>
      </c>
      <c r="E328" s="7">
        <v>0</v>
      </c>
    </row>
    <row r="329" spans="1:5">
      <c r="A329" s="12" t="s">
        <v>450</v>
      </c>
      <c r="B329" s="2" t="s">
        <v>376</v>
      </c>
      <c r="C329" s="2" t="s">
        <v>56</v>
      </c>
      <c r="D329" s="7">
        <v>4</v>
      </c>
      <c r="E329" s="7">
        <v>0</v>
      </c>
    </row>
    <row r="330" spans="1:5">
      <c r="A330" s="12" t="s">
        <v>450</v>
      </c>
      <c r="B330" s="2" t="s">
        <v>376</v>
      </c>
      <c r="C330" s="2" t="s">
        <v>56</v>
      </c>
      <c r="D330" s="7">
        <v>1</v>
      </c>
      <c r="E330" s="7">
        <v>0</v>
      </c>
    </row>
    <row r="331" spans="1:5">
      <c r="A331" s="12" t="s">
        <v>450</v>
      </c>
      <c r="B331" s="2" t="s">
        <v>376</v>
      </c>
      <c r="C331" s="2" t="s">
        <v>56</v>
      </c>
      <c r="D331" s="7">
        <v>1</v>
      </c>
      <c r="E331" s="7">
        <v>0</v>
      </c>
    </row>
    <row r="332" spans="1:5">
      <c r="A332" s="12" t="s">
        <v>450</v>
      </c>
      <c r="B332" s="2" t="s">
        <v>376</v>
      </c>
      <c r="C332" s="2" t="s">
        <v>56</v>
      </c>
      <c r="D332" s="7">
        <v>20</v>
      </c>
      <c r="E332" s="7">
        <v>0</v>
      </c>
    </row>
    <row r="333" spans="1:5">
      <c r="A333" s="12" t="s">
        <v>450</v>
      </c>
      <c r="B333" s="2" t="s">
        <v>376</v>
      </c>
      <c r="C333" s="2" t="s">
        <v>56</v>
      </c>
      <c r="D333" s="7">
        <v>14</v>
      </c>
      <c r="E333" s="7">
        <v>0</v>
      </c>
    </row>
    <row r="334" spans="1:5">
      <c r="A334" s="12" t="s">
        <v>450</v>
      </c>
      <c r="B334" s="2" t="s">
        <v>376</v>
      </c>
      <c r="C334" s="2" t="s">
        <v>56</v>
      </c>
      <c r="D334" s="7">
        <v>7</v>
      </c>
      <c r="E334" s="7">
        <v>0</v>
      </c>
    </row>
    <row r="335" spans="1:5">
      <c r="A335" s="12" t="s">
        <v>450</v>
      </c>
      <c r="B335" s="2" t="s">
        <v>376</v>
      </c>
      <c r="C335" s="2" t="s">
        <v>56</v>
      </c>
      <c r="D335" s="7">
        <v>1</v>
      </c>
      <c r="E335" s="7">
        <v>0</v>
      </c>
    </row>
    <row r="336" spans="1:5">
      <c r="A336" s="12" t="s">
        <v>450</v>
      </c>
      <c r="B336" s="2" t="s">
        <v>376</v>
      </c>
      <c r="C336" s="2" t="s">
        <v>56</v>
      </c>
      <c r="D336" s="7">
        <v>5</v>
      </c>
      <c r="E336" s="7">
        <v>0</v>
      </c>
    </row>
    <row r="337" spans="1:5">
      <c r="A337" s="12" t="s">
        <v>450</v>
      </c>
      <c r="B337" s="2" t="s">
        <v>376</v>
      </c>
      <c r="C337" s="2" t="s">
        <v>56</v>
      </c>
      <c r="D337" s="7">
        <v>7</v>
      </c>
      <c r="E337" s="7">
        <v>0</v>
      </c>
    </row>
    <row r="338" spans="1:5">
      <c r="A338" s="12" t="s">
        <v>450</v>
      </c>
      <c r="B338" s="2" t="s">
        <v>376</v>
      </c>
      <c r="C338" s="2" t="s">
        <v>56</v>
      </c>
      <c r="D338" s="7">
        <v>0</v>
      </c>
      <c r="E338" s="7">
        <v>1</v>
      </c>
    </row>
    <row r="339" spans="1:5">
      <c r="A339" s="12" t="s">
        <v>450</v>
      </c>
      <c r="B339" s="2" t="s">
        <v>376</v>
      </c>
      <c r="C339" s="2" t="s">
        <v>56</v>
      </c>
      <c r="D339" s="7">
        <v>0</v>
      </c>
      <c r="E339" s="7">
        <v>7</v>
      </c>
    </row>
    <row r="340" spans="1:5">
      <c r="A340" s="12" t="s">
        <v>450</v>
      </c>
      <c r="B340" s="2" t="s">
        <v>376</v>
      </c>
      <c r="C340" s="2" t="s">
        <v>393</v>
      </c>
      <c r="D340" s="7">
        <v>1</v>
      </c>
      <c r="E340" s="7">
        <v>0</v>
      </c>
    </row>
    <row r="341" spans="1:5">
      <c r="A341" s="12" t="s">
        <v>450</v>
      </c>
      <c r="B341" s="2" t="s">
        <v>376</v>
      </c>
      <c r="C341" s="2" t="s">
        <v>395</v>
      </c>
      <c r="D341" s="7">
        <v>1</v>
      </c>
      <c r="E341" s="7">
        <v>0</v>
      </c>
    </row>
    <row r="342" spans="1:5">
      <c r="A342" s="12" t="s">
        <v>450</v>
      </c>
      <c r="B342" s="2" t="s">
        <v>376</v>
      </c>
      <c r="C342" s="2" t="s">
        <v>397</v>
      </c>
      <c r="D342" s="7">
        <v>17</v>
      </c>
      <c r="E342" s="7">
        <v>0</v>
      </c>
    </row>
    <row r="343" spans="1:5">
      <c r="A343" s="12" t="s">
        <v>450</v>
      </c>
      <c r="B343" s="2" t="s">
        <v>376</v>
      </c>
      <c r="C343" s="2" t="s">
        <v>399</v>
      </c>
      <c r="D343" s="7">
        <v>1</v>
      </c>
      <c r="E343" s="7">
        <v>0</v>
      </c>
    </row>
    <row r="344" spans="1:5">
      <c r="A344" s="12" t="s">
        <v>450</v>
      </c>
      <c r="B344" s="2" t="s">
        <v>376</v>
      </c>
      <c r="C344" s="2" t="s">
        <v>401</v>
      </c>
      <c r="D344" s="7">
        <v>1</v>
      </c>
      <c r="E344" s="7">
        <v>0</v>
      </c>
    </row>
    <row r="345" spans="1:5">
      <c r="A345" s="12" t="s">
        <v>450</v>
      </c>
      <c r="B345" s="2" t="s">
        <v>376</v>
      </c>
      <c r="C345" s="2" t="s">
        <v>56</v>
      </c>
      <c r="D345" s="7">
        <v>23</v>
      </c>
      <c r="E345" s="7">
        <v>0</v>
      </c>
    </row>
    <row r="346" spans="1:5">
      <c r="A346" s="12" t="s">
        <v>450</v>
      </c>
      <c r="B346" s="2" t="s">
        <v>403</v>
      </c>
      <c r="C346" s="2" t="s">
        <v>80</v>
      </c>
      <c r="D346" s="7">
        <v>2</v>
      </c>
      <c r="E346" s="7">
        <v>0</v>
      </c>
    </row>
    <row r="347" spans="1:5">
      <c r="A347" s="12" t="s">
        <v>450</v>
      </c>
      <c r="B347" s="2" t="s">
        <v>403</v>
      </c>
      <c r="C347" s="2" t="s">
        <v>405</v>
      </c>
      <c r="D347" s="7">
        <v>750593</v>
      </c>
      <c r="E347" s="7">
        <v>169</v>
      </c>
    </row>
    <row r="348" spans="1:5">
      <c r="A348" s="12" t="s">
        <v>450</v>
      </c>
      <c r="B348" s="2" t="s">
        <v>403</v>
      </c>
      <c r="C348" s="2" t="s">
        <v>407</v>
      </c>
      <c r="D348" s="7">
        <v>4589428</v>
      </c>
      <c r="E348" s="7">
        <v>7213</v>
      </c>
    </row>
    <row r="349" spans="1:5">
      <c r="A349" s="12" t="s">
        <v>450</v>
      </c>
      <c r="B349" s="2" t="s">
        <v>403</v>
      </c>
      <c r="C349" s="2" t="s">
        <v>409</v>
      </c>
      <c r="D349" s="7">
        <v>1854201</v>
      </c>
      <c r="E349" s="7">
        <v>816</v>
      </c>
    </row>
    <row r="350" spans="1:5">
      <c r="A350" s="12" t="s">
        <v>450</v>
      </c>
      <c r="B350" s="2" t="s">
        <v>403</v>
      </c>
      <c r="C350" s="2" t="s">
        <v>411</v>
      </c>
      <c r="D350" s="7">
        <v>1</v>
      </c>
      <c r="E350" s="7">
        <v>0</v>
      </c>
    </row>
    <row r="351" spans="1:5">
      <c r="A351" s="12" t="s">
        <v>450</v>
      </c>
      <c r="B351" s="2" t="s">
        <v>403</v>
      </c>
      <c r="C351" s="2" t="s">
        <v>412</v>
      </c>
      <c r="D351" s="7">
        <v>3078551</v>
      </c>
      <c r="E351" s="7">
        <v>1447</v>
      </c>
    </row>
    <row r="352" spans="1:5">
      <c r="A352" s="12" t="s">
        <v>450</v>
      </c>
      <c r="B352" s="2" t="s">
        <v>403</v>
      </c>
      <c r="C352" s="2" t="s">
        <v>56</v>
      </c>
      <c r="D352" s="7">
        <v>4585273</v>
      </c>
      <c r="E352" s="7">
        <v>25387</v>
      </c>
    </row>
    <row r="353" spans="1:5">
      <c r="A353" s="12" t="s">
        <v>450</v>
      </c>
      <c r="B353" s="2" t="s">
        <v>414</v>
      </c>
      <c r="C353" s="2" t="s">
        <v>56</v>
      </c>
      <c r="D353" s="7">
        <v>0</v>
      </c>
      <c r="E353" s="7">
        <v>1</v>
      </c>
    </row>
    <row r="354" spans="1:5">
      <c r="A354" s="12" t="s">
        <v>450</v>
      </c>
      <c r="B354" s="2" t="s">
        <v>414</v>
      </c>
      <c r="C354" s="2" t="s">
        <v>56</v>
      </c>
      <c r="D354" s="7">
        <v>0</v>
      </c>
      <c r="E354" s="7">
        <v>3395</v>
      </c>
    </row>
    <row r="355" spans="1:5">
      <c r="A355" s="12" t="s">
        <v>450</v>
      </c>
      <c r="B355" s="2" t="s">
        <v>414</v>
      </c>
      <c r="C355" s="2" t="s">
        <v>418</v>
      </c>
      <c r="D355" s="7">
        <v>420489</v>
      </c>
      <c r="E355" s="7">
        <v>178</v>
      </c>
    </row>
    <row r="356" spans="1:5">
      <c r="A356" s="12" t="s">
        <v>450</v>
      </c>
      <c r="B356" s="2" t="s">
        <v>414</v>
      </c>
      <c r="C356" s="2" t="s">
        <v>420</v>
      </c>
      <c r="D356" s="7">
        <v>37987</v>
      </c>
      <c r="E356" s="7">
        <v>8</v>
      </c>
    </row>
    <row r="357" spans="1:5">
      <c r="A357" s="12" t="s">
        <v>450</v>
      </c>
      <c r="B357" s="2" t="s">
        <v>414</v>
      </c>
      <c r="C357" s="2" t="s">
        <v>422</v>
      </c>
      <c r="D357" s="7">
        <v>10</v>
      </c>
      <c r="E357" s="7">
        <v>1</v>
      </c>
    </row>
    <row r="358" spans="1:5">
      <c r="A358" s="12" t="s">
        <v>450</v>
      </c>
      <c r="B358" s="2" t="s">
        <v>414</v>
      </c>
      <c r="C358" s="2" t="s">
        <v>124</v>
      </c>
      <c r="D358" s="7">
        <v>1</v>
      </c>
      <c r="E358" s="7">
        <v>0</v>
      </c>
    </row>
    <row r="359" spans="1:5">
      <c r="A359" s="12" t="s">
        <v>450</v>
      </c>
      <c r="B359" s="2" t="s">
        <v>414</v>
      </c>
      <c r="C359" s="2" t="s">
        <v>424</v>
      </c>
      <c r="D359" s="7">
        <v>9541174</v>
      </c>
      <c r="E359" s="7">
        <v>18723</v>
      </c>
    </row>
    <row r="360" spans="1:5">
      <c r="A360" s="12" t="s">
        <v>450</v>
      </c>
      <c r="B360" s="2" t="s">
        <v>414</v>
      </c>
      <c r="C360" s="2" t="s">
        <v>426</v>
      </c>
      <c r="D360" s="7">
        <v>2</v>
      </c>
      <c r="E360" s="7">
        <v>1</v>
      </c>
    </row>
    <row r="361" spans="1:5">
      <c r="A361" s="12" t="s">
        <v>450</v>
      </c>
      <c r="B361" s="2" t="s">
        <v>427</v>
      </c>
      <c r="C361" s="2" t="s">
        <v>56</v>
      </c>
      <c r="D361" s="7">
        <v>1</v>
      </c>
      <c r="E361" s="7">
        <v>1</v>
      </c>
    </row>
    <row r="362" spans="1:5">
      <c r="A362" s="12" t="s">
        <v>450</v>
      </c>
      <c r="B362" s="2" t="s">
        <v>427</v>
      </c>
      <c r="C362" s="2" t="s">
        <v>430</v>
      </c>
      <c r="D362" s="7">
        <v>1</v>
      </c>
      <c r="E362" s="7">
        <v>0</v>
      </c>
    </row>
    <row r="363" spans="1:5">
      <c r="A363" s="12" t="s">
        <v>450</v>
      </c>
      <c r="B363" s="2" t="s">
        <v>427</v>
      </c>
      <c r="C363" s="2" t="s">
        <v>56</v>
      </c>
      <c r="D363" s="7">
        <v>49</v>
      </c>
      <c r="E363" s="7">
        <v>8</v>
      </c>
    </row>
    <row r="364" spans="1:5">
      <c r="A364" s="4" t="s">
        <v>432</v>
      </c>
      <c r="B364" s="4" t="s">
        <v>433</v>
      </c>
      <c r="C364" s="4" t="s">
        <v>433</v>
      </c>
      <c r="D364" s="8">
        <f>SUM(D2:D363)</f>
        <v>521587529</v>
      </c>
      <c r="E364" s="8">
        <f>SUM(E2:E363)</f>
        <v>5169910</v>
      </c>
    </row>
  </sheetData>
  <autoFilter ref="A1:E1" xr:uid="{3FF491F0-C90E-4E69-9A78-745E3572FF1B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3070E-994E-4BF7-B322-633FD7403C23}">
  <dimension ref="A1"/>
  <sheetViews>
    <sheetView showGridLines="0" workbookViewId="0"/>
  </sheetViews>
  <sheetFormatPr defaultRowHeight="15"/>
  <cols>
    <col min="1" max="1" width="20.85546875" bestFit="1" customWidth="1"/>
    <col min="2" max="3" width="5.42578125" bestFit="1" customWidth="1"/>
  </cols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AD4FE-CFE3-4F49-BDFF-6E237618609F}">
  <dimension ref="A1:G93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1.85546875" customWidth="1"/>
    <col min="2" max="2" width="10.5703125" style="9" bestFit="1" customWidth="1"/>
    <col min="3" max="3" width="11.28515625" style="9" bestFit="1" customWidth="1"/>
    <col min="4" max="4" width="10.28515625" style="9" bestFit="1" customWidth="1"/>
    <col min="5" max="5" width="11" style="9" bestFit="1" customWidth="1"/>
    <col min="6" max="6" width="12.7109375" bestFit="1" customWidth="1"/>
    <col min="7" max="7" width="7.7109375" bestFit="1" customWidth="1"/>
  </cols>
  <sheetData>
    <row r="1" spans="1:7">
      <c r="A1" s="14" t="s">
        <v>455</v>
      </c>
      <c r="B1" s="15" t="s">
        <v>451</v>
      </c>
      <c r="C1" s="15" t="s">
        <v>453</v>
      </c>
      <c r="D1" s="15" t="s">
        <v>452</v>
      </c>
      <c r="E1" s="15" t="s">
        <v>454</v>
      </c>
      <c r="F1" s="17" t="s">
        <v>456</v>
      </c>
      <c r="G1" s="17" t="s">
        <v>457</v>
      </c>
    </row>
    <row r="2" spans="1:7">
      <c r="A2" s="5" t="s">
        <v>24</v>
      </c>
      <c r="B2" s="7">
        <f>VLOOKUP(A2,CM,4,FALSE)</f>
        <v>67567270</v>
      </c>
      <c r="C2" s="7">
        <f>VLOOKUP(A2,CM,5,FALSE)</f>
        <v>83576</v>
      </c>
      <c r="D2" s="7">
        <f>VLOOKUP(A2,DV,2,FALSE)</f>
        <v>67567268</v>
      </c>
      <c r="E2" s="7">
        <f>VLOOKUP(A2,DV,3,FALSE)</f>
        <v>83576</v>
      </c>
      <c r="F2" s="18">
        <f>(D2/B2)-1</f>
        <v>-2.9600130346807418E-8</v>
      </c>
      <c r="G2" s="18">
        <f>(E2/C2)-1</f>
        <v>0</v>
      </c>
    </row>
    <row r="3" spans="1:7">
      <c r="A3" s="5" t="s">
        <v>27</v>
      </c>
      <c r="B3" s="7">
        <f>VLOOKUP(A3,CM,4,FALSE)</f>
        <v>155185</v>
      </c>
      <c r="C3" s="7">
        <f>VLOOKUP(A3,CM,5,FALSE)</f>
        <v>500</v>
      </c>
      <c r="D3" s="7">
        <f>VLOOKUP(A3,DV,2,FALSE)</f>
        <v>155185</v>
      </c>
      <c r="E3" s="7">
        <f>VLOOKUP(A3,DV,3,FALSE)</f>
        <v>500</v>
      </c>
      <c r="F3" s="18">
        <f t="shared" ref="F3:F66" si="0">(D3/B3)-1</f>
        <v>0</v>
      </c>
      <c r="G3" s="18">
        <f t="shared" ref="G3:G66" si="1">(E3/C3)-1</f>
        <v>0</v>
      </c>
    </row>
    <row r="4" spans="1:7">
      <c r="A4" s="5" t="s">
        <v>28</v>
      </c>
      <c r="B4" s="7">
        <f>VLOOKUP(A4,CM,4,FALSE)</f>
        <v>195041</v>
      </c>
      <c r="C4" s="7">
        <f>VLOOKUP(A4,CM,5,FALSE)</f>
        <v>22</v>
      </c>
      <c r="D4" s="7">
        <f>VLOOKUP(A4,DV,2,FALSE)</f>
        <v>195041</v>
      </c>
      <c r="E4" s="7">
        <f>VLOOKUP(A4,DV,3,FALSE)</f>
        <v>22</v>
      </c>
      <c r="F4" s="18">
        <f t="shared" si="0"/>
        <v>0</v>
      </c>
      <c r="G4" s="18">
        <f t="shared" si="1"/>
        <v>0</v>
      </c>
    </row>
    <row r="5" spans="1:7">
      <c r="A5" s="5" t="s">
        <v>29</v>
      </c>
      <c r="B5" s="7">
        <f>VLOOKUP(A5,CM,4,FALSE)</f>
        <v>118734</v>
      </c>
      <c r="C5" s="7">
        <f>VLOOKUP(A5,CM,5,FALSE)</f>
        <v>258</v>
      </c>
      <c r="D5" s="7">
        <f>VLOOKUP(A5,DV,2,FALSE)</f>
        <v>118734</v>
      </c>
      <c r="E5" s="7">
        <f>VLOOKUP(A5,DV,3,FALSE)</f>
        <v>258</v>
      </c>
      <c r="F5" s="18">
        <f t="shared" si="0"/>
        <v>0</v>
      </c>
      <c r="G5" s="18">
        <f t="shared" si="1"/>
        <v>0</v>
      </c>
    </row>
    <row r="6" spans="1:7">
      <c r="A6" s="5" t="s">
        <v>30</v>
      </c>
      <c r="B6" s="7">
        <f>VLOOKUP(A6,CM,4,FALSE)</f>
        <v>312519</v>
      </c>
      <c r="C6" s="7">
        <f>VLOOKUP(A6,CM,5,FALSE)</f>
        <v>5341</v>
      </c>
      <c r="D6" s="7">
        <f>VLOOKUP(A6,DV,2,FALSE)</f>
        <v>312519</v>
      </c>
      <c r="E6" s="7">
        <f>VLOOKUP(A6,DV,3,FALSE)</f>
        <v>5341</v>
      </c>
      <c r="F6" s="18">
        <f t="shared" si="0"/>
        <v>0</v>
      </c>
      <c r="G6" s="18">
        <f t="shared" si="1"/>
        <v>0</v>
      </c>
    </row>
    <row r="7" spans="1:7">
      <c r="A7" s="5" t="s">
        <v>67</v>
      </c>
      <c r="B7" s="7">
        <f>VLOOKUP(A7,CM,4,FALSE)</f>
        <v>3552581</v>
      </c>
      <c r="C7" s="7">
        <f>VLOOKUP(A7,CM,5,FALSE)</f>
        <v>6551</v>
      </c>
      <c r="D7" s="7">
        <f>VLOOKUP(A7,DV,2,FALSE)</f>
        <v>3552582</v>
      </c>
      <c r="E7" s="7">
        <f>VLOOKUP(A7,DV,3,FALSE)</f>
        <v>6550</v>
      </c>
      <c r="F7" s="18">
        <f t="shared" si="0"/>
        <v>2.8148548891770986E-7</v>
      </c>
      <c r="G7" s="18">
        <f t="shared" si="1"/>
        <v>-1.5264845061824239E-4</v>
      </c>
    </row>
    <row r="8" spans="1:7">
      <c r="A8" s="5" t="s">
        <v>70</v>
      </c>
      <c r="B8" s="7">
        <f>VLOOKUP(A8,CM,4,FALSE)</f>
        <v>34271</v>
      </c>
      <c r="C8" s="7">
        <f>VLOOKUP(A8,CM,5,FALSE)</f>
        <v>135</v>
      </c>
      <c r="D8" s="7">
        <f>VLOOKUP(A8,DV,2,FALSE)</f>
        <v>34271</v>
      </c>
      <c r="E8" s="7">
        <f>VLOOKUP(A8,DV,3,FALSE)</f>
        <v>135</v>
      </c>
      <c r="F8" s="18">
        <f t="shared" si="0"/>
        <v>0</v>
      </c>
      <c r="G8" s="18">
        <f t="shared" si="1"/>
        <v>0</v>
      </c>
    </row>
    <row r="9" spans="1:7">
      <c r="A9" s="5" t="s">
        <v>72</v>
      </c>
      <c r="B9" s="7">
        <f>VLOOKUP(A9,CM,4,FALSE)</f>
        <v>44485</v>
      </c>
      <c r="C9" s="7">
        <f>VLOOKUP(A9,CM,5,FALSE)</f>
        <v>38</v>
      </c>
      <c r="D9" s="7">
        <f>VLOOKUP(A9,DV,2,FALSE)</f>
        <v>44485</v>
      </c>
      <c r="E9" s="7">
        <f>VLOOKUP(A9,DV,3,FALSE)</f>
        <v>38</v>
      </c>
      <c r="F9" s="18">
        <f t="shared" si="0"/>
        <v>0</v>
      </c>
      <c r="G9" s="18">
        <f t="shared" si="1"/>
        <v>0</v>
      </c>
    </row>
    <row r="10" spans="1:7">
      <c r="A10" s="5" t="s">
        <v>74</v>
      </c>
      <c r="B10" s="7">
        <f>VLOOKUP(A10,CM,4,FALSE)</f>
        <v>115664</v>
      </c>
      <c r="C10" s="7">
        <f>VLOOKUP(A10,CM,5,FALSE)</f>
        <v>24</v>
      </c>
      <c r="D10" s="7">
        <f>VLOOKUP(A10,DV,2,FALSE)</f>
        <v>115663</v>
      </c>
      <c r="E10" s="7">
        <f>VLOOKUP(A10,DV,3,FALSE)</f>
        <v>23</v>
      </c>
      <c r="F10" s="18">
        <f t="shared" si="0"/>
        <v>-8.6457324665056845E-6</v>
      </c>
      <c r="G10" s="18">
        <f t="shared" si="1"/>
        <v>-4.166666666666663E-2</v>
      </c>
    </row>
    <row r="11" spans="1:7">
      <c r="A11" s="5" t="s">
        <v>76</v>
      </c>
      <c r="B11" s="7">
        <f>VLOOKUP(A11,CM,4,FALSE)</f>
        <v>12570</v>
      </c>
      <c r="C11" s="7">
        <f>VLOOKUP(A11,CM,5,FALSE)</f>
        <v>98</v>
      </c>
      <c r="D11" s="7">
        <f>VLOOKUP(A11,DV,2,FALSE)</f>
        <v>12569</v>
      </c>
      <c r="E11" s="7">
        <f>VLOOKUP(A11,DV,3,FALSE)</f>
        <v>98</v>
      </c>
      <c r="F11" s="18">
        <f t="shared" si="0"/>
        <v>-7.9554494828992794E-5</v>
      </c>
      <c r="G11" s="18">
        <f t="shared" si="1"/>
        <v>0</v>
      </c>
    </row>
    <row r="12" spans="1:7">
      <c r="A12" s="5" t="s">
        <v>78</v>
      </c>
      <c r="B12" s="7">
        <f>VLOOKUP(A12,CM,4,FALSE)</f>
        <v>7498</v>
      </c>
      <c r="C12" s="7">
        <f>VLOOKUP(A12,CM,5,FALSE)</f>
        <v>16</v>
      </c>
      <c r="D12" s="7">
        <f>VLOOKUP(A12,DV,2,FALSE)</f>
        <v>7497</v>
      </c>
      <c r="E12" s="7">
        <f>VLOOKUP(A12,DV,3,FALSE)</f>
        <v>16</v>
      </c>
      <c r="F12" s="18">
        <f t="shared" si="0"/>
        <v>-1.3336889837289867E-4</v>
      </c>
      <c r="G12" s="18">
        <f t="shared" si="1"/>
        <v>0</v>
      </c>
    </row>
    <row r="13" spans="1:7">
      <c r="A13" s="5" t="s">
        <v>79</v>
      </c>
      <c r="B13" s="7">
        <f>VLOOKUP(A13,CM,4,FALSE)</f>
        <v>5664044</v>
      </c>
      <c r="C13" s="7">
        <f>VLOOKUP(A13,CM,5,FALSE)</f>
        <v>334127</v>
      </c>
      <c r="D13" s="7">
        <f>VLOOKUP(A13,DV,2,FALSE)</f>
        <v>5664043</v>
      </c>
      <c r="E13" s="7">
        <f>VLOOKUP(A13,DV,3,FALSE)</f>
        <v>334124</v>
      </c>
      <c r="F13" s="18">
        <f t="shared" si="0"/>
        <v>-1.7655230077906481E-7</v>
      </c>
      <c r="G13" s="18">
        <f t="shared" si="1"/>
        <v>-8.9786219013010538E-6</v>
      </c>
    </row>
    <row r="14" spans="1:7">
      <c r="A14" s="5" t="s">
        <v>82</v>
      </c>
      <c r="B14" s="7">
        <f>VLOOKUP(A14,CM,4,FALSE)</f>
        <v>1104057</v>
      </c>
      <c r="C14" s="7">
        <f>VLOOKUP(A14,CM,5,FALSE)</f>
        <v>54782</v>
      </c>
      <c r="D14" s="7">
        <f>VLOOKUP(A14,DV,2,FALSE)</f>
        <v>1104057</v>
      </c>
      <c r="E14" s="7">
        <f>VLOOKUP(A14,DV,3,FALSE)</f>
        <v>54782</v>
      </c>
      <c r="F14" s="18">
        <f t="shared" si="0"/>
        <v>0</v>
      </c>
      <c r="G14" s="18">
        <f t="shared" si="1"/>
        <v>0</v>
      </c>
    </row>
    <row r="15" spans="1:7">
      <c r="A15" s="5" t="s">
        <v>84</v>
      </c>
      <c r="B15" s="7">
        <f>VLOOKUP(A15,CM,4,FALSE)</f>
        <v>72614</v>
      </c>
      <c r="C15" s="7">
        <f>VLOOKUP(A15,CM,5,FALSE)</f>
        <v>1450</v>
      </c>
      <c r="D15" s="7">
        <f>VLOOKUP(A15,DV,2,FALSE)</f>
        <v>72614</v>
      </c>
      <c r="E15" s="7">
        <f>VLOOKUP(A15,DV,3,FALSE)</f>
        <v>1450</v>
      </c>
      <c r="F15" s="18">
        <f t="shared" si="0"/>
        <v>0</v>
      </c>
      <c r="G15" s="18">
        <f t="shared" si="1"/>
        <v>0</v>
      </c>
    </row>
    <row r="16" spans="1:7">
      <c r="A16" s="5" t="s">
        <v>86</v>
      </c>
      <c r="B16" s="7">
        <f>VLOOKUP(A16,CM,4,FALSE)</f>
        <v>5407563</v>
      </c>
      <c r="C16" s="7">
        <f>VLOOKUP(A16,CM,5,FALSE)</f>
        <v>365699</v>
      </c>
      <c r="D16" s="7">
        <f>VLOOKUP(A16,DV,2,FALSE)</f>
        <v>5407564</v>
      </c>
      <c r="E16" s="7">
        <f>VLOOKUP(A16,DV,3,FALSE)</f>
        <v>365699</v>
      </c>
      <c r="F16" s="18">
        <f t="shared" si="0"/>
        <v>1.8492618569787567E-7</v>
      </c>
      <c r="G16" s="18">
        <f t="shared" si="1"/>
        <v>0</v>
      </c>
    </row>
    <row r="17" spans="1:7">
      <c r="A17" s="5" t="s">
        <v>88</v>
      </c>
      <c r="B17" s="7">
        <f>VLOOKUP(A17,CM,4,FALSE)</f>
        <v>589904</v>
      </c>
      <c r="C17" s="7">
        <f>VLOOKUP(A17,CM,5,FALSE)</f>
        <v>25302</v>
      </c>
      <c r="D17" s="7">
        <f>VLOOKUP(A17,DV,2,FALSE)</f>
        <v>589903</v>
      </c>
      <c r="E17" s="7">
        <f>VLOOKUP(A17,DV,3,FALSE)</f>
        <v>25302</v>
      </c>
      <c r="F17" s="18">
        <f t="shared" si="0"/>
        <v>-1.695191081951819E-6</v>
      </c>
      <c r="G17" s="18">
        <f t="shared" si="1"/>
        <v>0</v>
      </c>
    </row>
    <row r="18" spans="1:7">
      <c r="A18" s="5" t="s">
        <v>90</v>
      </c>
      <c r="B18" s="7">
        <f>VLOOKUP(A18,CM,4,FALSE)</f>
        <v>235961</v>
      </c>
      <c r="C18" s="7">
        <f>VLOOKUP(A18,CM,5,FALSE)</f>
        <v>8435</v>
      </c>
      <c r="D18" s="7">
        <f>VLOOKUP(A18,DV,2,FALSE)</f>
        <v>235960</v>
      </c>
      <c r="E18" s="7">
        <f>VLOOKUP(A18,DV,3,FALSE)</f>
        <v>8435</v>
      </c>
      <c r="F18" s="18">
        <f t="shared" si="0"/>
        <v>-4.2379884811483137E-6</v>
      </c>
      <c r="G18" s="18">
        <f t="shared" si="1"/>
        <v>0</v>
      </c>
    </row>
    <row r="19" spans="1:7">
      <c r="A19" s="5" t="s">
        <v>91</v>
      </c>
      <c r="B19" s="7">
        <f>VLOOKUP(A19,CM,4,FALSE)</f>
        <v>5324195</v>
      </c>
      <c r="C19" s="7">
        <f>VLOOKUP(A19,CM,5,FALSE)</f>
        <v>28201</v>
      </c>
      <c r="D19" s="7">
        <f>VLOOKUP(A19,DV,2,FALSE)</f>
        <v>5324195</v>
      </c>
      <c r="E19" s="7">
        <f>VLOOKUP(A19,DV,3,FALSE)</f>
        <v>28200</v>
      </c>
      <c r="F19" s="18">
        <f t="shared" si="0"/>
        <v>0</v>
      </c>
      <c r="G19" s="18">
        <f t="shared" si="1"/>
        <v>-3.5459735470366738E-5</v>
      </c>
    </row>
    <row r="20" spans="1:7">
      <c r="A20" s="5" t="s">
        <v>94</v>
      </c>
      <c r="B20" s="7">
        <f>VLOOKUP(A20,CM,4,FALSE)</f>
        <v>776722</v>
      </c>
      <c r="C20" s="7">
        <f>VLOOKUP(A20,CM,5,FALSE)</f>
        <v>5150</v>
      </c>
      <c r="D20" s="7">
        <f>VLOOKUP(A20,DV,2,FALSE)</f>
        <v>776722</v>
      </c>
      <c r="E20" s="7">
        <f>VLOOKUP(A20,DV,3,FALSE)</f>
        <v>5150</v>
      </c>
      <c r="F20" s="18">
        <f t="shared" si="0"/>
        <v>0</v>
      </c>
      <c r="G20" s="18">
        <f t="shared" si="1"/>
        <v>0</v>
      </c>
    </row>
    <row r="21" spans="1:7">
      <c r="A21" s="5" t="s">
        <v>96</v>
      </c>
      <c r="B21" s="7">
        <f>VLOOKUP(A21,CM,4,FALSE)</f>
        <v>41288</v>
      </c>
      <c r="C21" s="7">
        <f>VLOOKUP(A21,CM,5,FALSE)</f>
        <v>107</v>
      </c>
      <c r="D21" s="7">
        <f>VLOOKUP(A21,DV,2,FALSE)</f>
        <v>41288</v>
      </c>
      <c r="E21" s="7">
        <f>VLOOKUP(A21,DV,3,FALSE)</f>
        <v>107</v>
      </c>
      <c r="F21" s="18">
        <f t="shared" si="0"/>
        <v>0</v>
      </c>
      <c r="G21" s="18">
        <f t="shared" si="1"/>
        <v>0</v>
      </c>
    </row>
    <row r="22" spans="1:7">
      <c r="A22" s="5" t="s">
        <v>98</v>
      </c>
      <c r="B22" s="7">
        <f>VLOOKUP(A22,CM,4,FALSE)</f>
        <v>2805560</v>
      </c>
      <c r="C22" s="7">
        <f>VLOOKUP(A22,CM,5,FALSE)</f>
        <v>18596</v>
      </c>
      <c r="D22" s="7">
        <f>VLOOKUP(A22,DV,2,FALSE)</f>
        <v>2805560</v>
      </c>
      <c r="E22" s="7">
        <f>VLOOKUP(A22,DV,3,FALSE)</f>
        <v>18596</v>
      </c>
      <c r="F22" s="18">
        <f t="shared" si="0"/>
        <v>0</v>
      </c>
      <c r="G22" s="18">
        <f t="shared" si="1"/>
        <v>0</v>
      </c>
    </row>
    <row r="23" spans="1:7">
      <c r="A23" s="5" t="s">
        <v>100</v>
      </c>
      <c r="B23" s="7">
        <f>VLOOKUP(A23,CM,4,FALSE)</f>
        <v>223077</v>
      </c>
      <c r="C23" s="7">
        <f>VLOOKUP(A23,CM,5,FALSE)</f>
        <v>383</v>
      </c>
      <c r="D23" s="7">
        <f>VLOOKUP(A23,DV,2,FALSE)</f>
        <v>223076</v>
      </c>
      <c r="E23" s="7">
        <f>VLOOKUP(A23,DV,3,FALSE)</f>
        <v>383</v>
      </c>
      <c r="F23" s="18">
        <f t="shared" si="0"/>
        <v>-4.48275707487511E-6</v>
      </c>
      <c r="G23" s="18">
        <f t="shared" si="1"/>
        <v>0</v>
      </c>
    </row>
    <row r="24" spans="1:7">
      <c r="A24" s="5" t="s">
        <v>102</v>
      </c>
      <c r="B24" s="7">
        <f>VLOOKUP(A24,CM,4,FALSE)</f>
        <v>414677</v>
      </c>
      <c r="C24" s="7">
        <f>VLOOKUP(A24,CM,5,FALSE)</f>
        <v>856</v>
      </c>
      <c r="D24" s="7">
        <f>VLOOKUP(A24,DV,2,FALSE)</f>
        <v>414676</v>
      </c>
      <c r="E24" s="7">
        <f>VLOOKUP(A24,DV,3,FALSE)</f>
        <v>856</v>
      </c>
      <c r="F24" s="18">
        <f t="shared" si="0"/>
        <v>-2.4115154686477069E-6</v>
      </c>
      <c r="G24" s="18">
        <f t="shared" si="1"/>
        <v>0</v>
      </c>
    </row>
    <row r="25" spans="1:7">
      <c r="A25" s="5" t="s">
        <v>103</v>
      </c>
      <c r="B25" s="7">
        <f>VLOOKUP(A25,CM,4,FALSE)</f>
        <v>6245203</v>
      </c>
      <c r="C25" s="7">
        <f>VLOOKUP(A25,CM,5,FALSE)</f>
        <v>242479</v>
      </c>
      <c r="D25" s="7">
        <f>VLOOKUP(A25,DV,2,FALSE)</f>
        <v>6245202</v>
      </c>
      <c r="E25" s="7">
        <f>VLOOKUP(A25,DV,3,FALSE)</f>
        <v>242478</v>
      </c>
      <c r="F25" s="18">
        <f t="shared" si="0"/>
        <v>-1.6012289749678388E-7</v>
      </c>
      <c r="G25" s="18">
        <f t="shared" si="1"/>
        <v>-4.1240684760524005E-6</v>
      </c>
    </row>
    <row r="26" spans="1:7">
      <c r="A26" s="5" t="s">
        <v>105</v>
      </c>
      <c r="B26" s="7">
        <f>VLOOKUP(A26,CM,4,FALSE)</f>
        <v>303627</v>
      </c>
      <c r="C26" s="7">
        <f>VLOOKUP(A26,CM,5,FALSE)</f>
        <v>16645</v>
      </c>
      <c r="D26" s="7">
        <f>VLOOKUP(A26,DV,2,FALSE)</f>
        <v>303626</v>
      </c>
      <c r="E26" s="7">
        <f>VLOOKUP(A26,DV,3,FALSE)</f>
        <v>16644</v>
      </c>
      <c r="F26" s="18">
        <f t="shared" si="0"/>
        <v>-3.2935147401547127E-6</v>
      </c>
      <c r="G26" s="18">
        <f t="shared" si="1"/>
        <v>-6.0078101531968464E-5</v>
      </c>
    </row>
    <row r="27" spans="1:7">
      <c r="A27" s="5" t="s">
        <v>107</v>
      </c>
      <c r="B27" s="7">
        <f>VLOOKUP(A27,CM,4,FALSE)</f>
        <v>809443</v>
      </c>
      <c r="C27" s="7">
        <f>VLOOKUP(A27,CM,5,FALSE)</f>
        <v>14400</v>
      </c>
      <c r="D27" s="7">
        <f>VLOOKUP(A27,DV,2,FALSE)</f>
        <v>809443</v>
      </c>
      <c r="E27" s="7">
        <f>VLOOKUP(A27,DV,3,FALSE)</f>
        <v>14400</v>
      </c>
      <c r="F27" s="18">
        <f t="shared" si="0"/>
        <v>0</v>
      </c>
      <c r="G27" s="18">
        <f t="shared" si="1"/>
        <v>0</v>
      </c>
    </row>
    <row r="28" spans="1:7">
      <c r="A28" s="5" t="s">
        <v>109</v>
      </c>
      <c r="B28" s="7">
        <f>VLOOKUP(A28,CM,4,FALSE)</f>
        <v>1135205</v>
      </c>
      <c r="C28" s="7">
        <f>VLOOKUP(A28,CM,5,FALSE)</f>
        <v>27481</v>
      </c>
      <c r="D28" s="7">
        <f>VLOOKUP(A28,DV,2,FALSE)</f>
        <v>1135205</v>
      </c>
      <c r="E28" s="7">
        <f>VLOOKUP(A28,DV,3,FALSE)</f>
        <v>27481</v>
      </c>
      <c r="F28" s="18">
        <f t="shared" si="0"/>
        <v>0</v>
      </c>
      <c r="G28" s="18">
        <f t="shared" si="1"/>
        <v>0</v>
      </c>
    </row>
    <row r="29" spans="1:7">
      <c r="A29" s="5" t="s">
        <v>111</v>
      </c>
      <c r="B29" s="7">
        <f>VLOOKUP(A29,CM,4,FALSE)</f>
        <v>5783654</v>
      </c>
      <c r="C29" s="7">
        <f>VLOOKUP(A29,CM,5,FALSE)</f>
        <v>7536</v>
      </c>
      <c r="D29" s="7">
        <f>VLOOKUP(A29,DV,2,FALSE)</f>
        <v>5783656</v>
      </c>
      <c r="E29" s="7">
        <f>VLOOKUP(A29,DV,3,FALSE)</f>
        <v>7535</v>
      </c>
      <c r="F29" s="18">
        <f t="shared" si="0"/>
        <v>3.4580215202417719E-7</v>
      </c>
      <c r="G29" s="18">
        <f t="shared" si="1"/>
        <v>-1.3269639065816019E-4</v>
      </c>
    </row>
    <row r="30" spans="1:7">
      <c r="A30" s="5" t="s">
        <v>114</v>
      </c>
      <c r="B30" s="7">
        <f>VLOOKUP(A30,CM,4,FALSE)</f>
        <v>323784</v>
      </c>
      <c r="C30" s="7">
        <f>VLOOKUP(A30,CM,5,FALSE)</f>
        <v>778</v>
      </c>
      <c r="D30" s="7">
        <f>VLOOKUP(A30,DV,2,FALSE)</f>
        <v>323784</v>
      </c>
      <c r="E30" s="7">
        <f>VLOOKUP(A30,DV,3,FALSE)</f>
        <v>778</v>
      </c>
      <c r="F30" s="18">
        <f t="shared" si="0"/>
        <v>0</v>
      </c>
      <c r="G30" s="18">
        <f t="shared" si="1"/>
        <v>0</v>
      </c>
    </row>
    <row r="31" spans="1:7">
      <c r="A31" s="5" t="s">
        <v>116</v>
      </c>
      <c r="B31" s="7">
        <f>VLOOKUP(A31,CM,4,FALSE)</f>
        <v>148665</v>
      </c>
      <c r="C31" s="7">
        <f>VLOOKUP(A31,CM,5,FALSE)</f>
        <v>565</v>
      </c>
      <c r="D31" s="7">
        <f>VLOOKUP(A31,DV,2,FALSE)</f>
        <v>148665</v>
      </c>
      <c r="E31" s="7">
        <f>VLOOKUP(A31,DV,3,FALSE)</f>
        <v>565</v>
      </c>
      <c r="F31" s="18">
        <f t="shared" si="0"/>
        <v>0</v>
      </c>
      <c r="G31" s="18">
        <f t="shared" si="1"/>
        <v>0</v>
      </c>
    </row>
    <row r="32" spans="1:7">
      <c r="A32" s="5" t="s">
        <v>118</v>
      </c>
      <c r="B32" s="7">
        <f>VLOOKUP(A32,CM,4,FALSE)</f>
        <v>2532804</v>
      </c>
      <c r="C32" s="7">
        <f>VLOOKUP(A32,CM,5,FALSE)</f>
        <v>6910</v>
      </c>
      <c r="D32" s="7">
        <f>VLOOKUP(A32,DV,2,FALSE)</f>
        <v>2532804</v>
      </c>
      <c r="E32" s="7">
        <f>VLOOKUP(A32,DV,3,FALSE)</f>
        <v>6910</v>
      </c>
      <c r="F32" s="18">
        <f t="shared" si="0"/>
        <v>0</v>
      </c>
      <c r="G32" s="18">
        <f t="shared" si="1"/>
        <v>0</v>
      </c>
    </row>
    <row r="33" spans="1:7">
      <c r="A33" s="5" t="s">
        <v>120</v>
      </c>
      <c r="B33" s="7">
        <f>VLOOKUP(A33,CM,4,FALSE)</f>
        <v>143307</v>
      </c>
      <c r="C33" s="7">
        <f>VLOOKUP(A33,CM,5,FALSE)</f>
        <v>563</v>
      </c>
      <c r="D33" s="7">
        <f>VLOOKUP(A33,DV,2,FALSE)</f>
        <v>143306</v>
      </c>
      <c r="E33" s="7">
        <f>VLOOKUP(A33,DV,3,FALSE)</f>
        <v>563</v>
      </c>
      <c r="F33" s="18">
        <f t="shared" si="0"/>
        <v>-6.9780261955365575E-6</v>
      </c>
      <c r="G33" s="18">
        <f t="shared" si="1"/>
        <v>0</v>
      </c>
    </row>
    <row r="34" spans="1:7">
      <c r="A34" s="5" t="s">
        <v>122</v>
      </c>
      <c r="B34" s="7">
        <f>VLOOKUP(A34,CM,4,FALSE)</f>
        <v>264704</v>
      </c>
      <c r="C34" s="7">
        <f>VLOOKUP(A34,CM,5,FALSE)</f>
        <v>1056</v>
      </c>
      <c r="D34" s="7">
        <f>VLOOKUP(A34,DV,2,FALSE)</f>
        <v>264703</v>
      </c>
      <c r="E34" s="7">
        <f>VLOOKUP(A34,DV,3,FALSE)</f>
        <v>1056</v>
      </c>
      <c r="F34" s="18">
        <f t="shared" si="0"/>
        <v>-3.7778046421133027E-6</v>
      </c>
      <c r="G34" s="18">
        <f t="shared" si="1"/>
        <v>0</v>
      </c>
    </row>
    <row r="35" spans="1:7">
      <c r="A35" s="5" t="s">
        <v>123</v>
      </c>
      <c r="B35" s="7">
        <f>VLOOKUP(A35,CM,4,FALSE)</f>
        <v>13498206</v>
      </c>
      <c r="C35" s="7">
        <f>VLOOKUP(A35,CM,5,FALSE)</f>
        <v>44710</v>
      </c>
      <c r="D35" s="7">
        <f>VLOOKUP(A35,DV,2,FALSE)</f>
        <v>13498207</v>
      </c>
      <c r="E35" s="7">
        <f>VLOOKUP(A35,DV,3,FALSE)</f>
        <v>44709</v>
      </c>
      <c r="F35" s="18">
        <f t="shared" si="0"/>
        <v>7.4083918999434673E-8</v>
      </c>
      <c r="G35" s="18">
        <f t="shared" si="1"/>
        <v>-2.236636099306466E-5</v>
      </c>
    </row>
    <row r="36" spans="1:7">
      <c r="A36" s="5" t="s">
        <v>126</v>
      </c>
      <c r="B36" s="7">
        <f>VLOOKUP(A36,CM,4,FALSE)</f>
        <v>1196218</v>
      </c>
      <c r="C36" s="7">
        <f>VLOOKUP(A36,CM,5,FALSE)</f>
        <v>5866</v>
      </c>
      <c r="D36" s="7">
        <f>VLOOKUP(A36,DV,2,FALSE)</f>
        <v>1196218</v>
      </c>
      <c r="E36" s="7">
        <f>VLOOKUP(A36,DV,3,FALSE)</f>
        <v>5866</v>
      </c>
      <c r="F36" s="18">
        <f t="shared" si="0"/>
        <v>0</v>
      </c>
      <c r="G36" s="18">
        <f t="shared" si="1"/>
        <v>0</v>
      </c>
    </row>
    <row r="37" spans="1:7">
      <c r="A37" s="5" t="s">
        <v>128</v>
      </c>
      <c r="B37" s="7">
        <f>VLOOKUP(A37,CM,4,FALSE)</f>
        <v>164163</v>
      </c>
      <c r="C37" s="7">
        <f>VLOOKUP(A37,CM,5,FALSE)</f>
        <v>297</v>
      </c>
      <c r="D37" s="7">
        <f>VLOOKUP(A37,DV,2,FALSE)</f>
        <v>164163</v>
      </c>
      <c r="E37" s="7">
        <f>VLOOKUP(A37,DV,3,FALSE)</f>
        <v>297</v>
      </c>
      <c r="F37" s="18">
        <f t="shared" si="0"/>
        <v>0</v>
      </c>
      <c r="G37" s="18">
        <f t="shared" si="1"/>
        <v>0</v>
      </c>
    </row>
    <row r="38" spans="1:7">
      <c r="A38" s="5" t="s">
        <v>130</v>
      </c>
      <c r="B38" s="7">
        <f>VLOOKUP(A38,CM,4,FALSE)</f>
        <v>5548683</v>
      </c>
      <c r="C38" s="7">
        <f>VLOOKUP(A38,CM,5,FALSE)</f>
        <v>32391</v>
      </c>
      <c r="D38" s="7">
        <f>VLOOKUP(A38,DV,2,FALSE)</f>
        <v>5548684</v>
      </c>
      <c r="E38" s="7">
        <f>VLOOKUP(A38,DV,3,FALSE)</f>
        <v>32391</v>
      </c>
      <c r="F38" s="18">
        <f t="shared" si="0"/>
        <v>1.8022294656638849E-7</v>
      </c>
      <c r="G38" s="18">
        <f t="shared" si="1"/>
        <v>0</v>
      </c>
    </row>
    <row r="39" spans="1:7">
      <c r="A39" s="5" t="s">
        <v>132</v>
      </c>
      <c r="B39" s="7">
        <f>VLOOKUP(A39,CM,4,FALSE)</f>
        <v>995934</v>
      </c>
      <c r="C39" s="7">
        <f>VLOOKUP(A39,CM,5,FALSE)</f>
        <v>3615</v>
      </c>
      <c r="D39" s="7">
        <f>VLOOKUP(A39,DV,2,FALSE)</f>
        <v>995934</v>
      </c>
      <c r="E39" s="7">
        <f>VLOOKUP(A39,DV,3,FALSE)</f>
        <v>3615</v>
      </c>
      <c r="F39" s="18">
        <f t="shared" si="0"/>
        <v>0</v>
      </c>
      <c r="G39" s="18">
        <f t="shared" si="1"/>
        <v>0</v>
      </c>
    </row>
    <row r="40" spans="1:7">
      <c r="A40" s="5" t="s">
        <v>134</v>
      </c>
      <c r="B40" s="7">
        <f>VLOOKUP(A40,CM,4,FALSE)</f>
        <v>1860010</v>
      </c>
      <c r="C40" s="7">
        <f>VLOOKUP(A40,CM,5,FALSE)</f>
        <v>16440</v>
      </c>
      <c r="D40" s="7">
        <f>VLOOKUP(A40,DV,2,FALSE)</f>
        <v>1860009</v>
      </c>
      <c r="E40" s="7">
        <f>VLOOKUP(A40,DV,3,FALSE)</f>
        <v>16440</v>
      </c>
      <c r="F40" s="18">
        <f t="shared" si="0"/>
        <v>-5.3763151808272625E-7</v>
      </c>
      <c r="G40" s="18">
        <f t="shared" si="1"/>
        <v>0</v>
      </c>
    </row>
    <row r="41" spans="1:7">
      <c r="A41" s="5" t="s">
        <v>135</v>
      </c>
      <c r="B41" s="7">
        <f>VLOOKUP(A41,CM,4,FALSE)</f>
        <v>30450395</v>
      </c>
      <c r="C41" s="7">
        <f>VLOOKUP(A41,CM,5,FALSE)</f>
        <v>175778</v>
      </c>
      <c r="D41" s="7">
        <f>VLOOKUP(A41,DV,2,FALSE)</f>
        <v>30450397</v>
      </c>
      <c r="E41" s="7">
        <f>VLOOKUP(A41,DV,3,FALSE)</f>
        <v>175777</v>
      </c>
      <c r="F41" s="18">
        <f t="shared" si="0"/>
        <v>6.5680592964412199E-8</v>
      </c>
      <c r="G41" s="18">
        <f t="shared" si="1"/>
        <v>-5.6889940720505905E-6</v>
      </c>
    </row>
    <row r="42" spans="1:7">
      <c r="A42" s="5" t="s">
        <v>138</v>
      </c>
      <c r="B42" s="7">
        <f>VLOOKUP(A42,CM,4,FALSE)</f>
        <v>6777044</v>
      </c>
      <c r="C42" s="7">
        <f>VLOOKUP(A42,CM,5,FALSE)</f>
        <v>59671</v>
      </c>
      <c r="D42" s="7">
        <f>VLOOKUP(A42,DV,2,FALSE)</f>
        <v>6777044</v>
      </c>
      <c r="E42" s="7">
        <f>VLOOKUP(A42,DV,3,FALSE)</f>
        <v>59671</v>
      </c>
      <c r="F42" s="18">
        <f t="shared" si="0"/>
        <v>0</v>
      </c>
      <c r="G42" s="18">
        <f t="shared" si="1"/>
        <v>0</v>
      </c>
    </row>
    <row r="43" spans="1:7">
      <c r="A43" s="5" t="s">
        <v>140</v>
      </c>
      <c r="B43" s="7">
        <f>VLOOKUP(A43,CM,4,FALSE)</f>
        <v>388600</v>
      </c>
      <c r="C43" s="7">
        <f>VLOOKUP(A43,CM,5,FALSE)</f>
        <v>2883</v>
      </c>
      <c r="D43" s="7">
        <f>VLOOKUP(A43,DV,2,FALSE)</f>
        <v>388600</v>
      </c>
      <c r="E43" s="7">
        <f>VLOOKUP(A43,DV,3,FALSE)</f>
        <v>2883</v>
      </c>
      <c r="F43" s="18">
        <f t="shared" si="0"/>
        <v>0</v>
      </c>
      <c r="G43" s="18">
        <f t="shared" si="1"/>
        <v>0</v>
      </c>
    </row>
    <row r="44" spans="1:7">
      <c r="A44" s="5" t="s">
        <v>142</v>
      </c>
      <c r="B44" s="7">
        <f>VLOOKUP(A44,CM,4,FALSE)</f>
        <v>13740776</v>
      </c>
      <c r="C44" s="7">
        <f>VLOOKUP(A44,CM,5,FALSE)</f>
        <v>109098</v>
      </c>
      <c r="D44" s="7">
        <f>VLOOKUP(A44,DV,2,FALSE)</f>
        <v>13740777</v>
      </c>
      <c r="E44" s="7">
        <f>VLOOKUP(A44,DV,3,FALSE)</f>
        <v>109098</v>
      </c>
      <c r="F44" s="18">
        <f t="shared" si="0"/>
        <v>7.2776093595905422E-8</v>
      </c>
      <c r="G44" s="18">
        <f t="shared" si="1"/>
        <v>0</v>
      </c>
    </row>
    <row r="45" spans="1:7">
      <c r="A45" s="5" t="s">
        <v>144</v>
      </c>
      <c r="B45" s="7">
        <f>VLOOKUP(A45,CM,4,FALSE)</f>
        <v>3296901</v>
      </c>
      <c r="C45" s="7">
        <f>VLOOKUP(A45,CM,5,FALSE)</f>
        <v>12957</v>
      </c>
      <c r="D45" s="7">
        <f>VLOOKUP(A45,DV,2,FALSE)</f>
        <v>3296901</v>
      </c>
      <c r="E45" s="7">
        <f>VLOOKUP(A45,DV,3,FALSE)</f>
        <v>12957</v>
      </c>
      <c r="F45" s="18">
        <f t="shared" si="0"/>
        <v>0</v>
      </c>
      <c r="G45" s="18">
        <f t="shared" si="1"/>
        <v>0</v>
      </c>
    </row>
    <row r="46" spans="1:7">
      <c r="A46" s="5" t="s">
        <v>146</v>
      </c>
      <c r="B46" s="7">
        <f>VLOOKUP(A46,CM,4,FALSE)</f>
        <v>3282080</v>
      </c>
      <c r="C46" s="7">
        <f>VLOOKUP(A46,CM,5,FALSE)</f>
        <v>11736</v>
      </c>
      <c r="D46" s="7">
        <f>VLOOKUP(A46,DV,2,FALSE)</f>
        <v>3282079</v>
      </c>
      <c r="E46" s="7">
        <f>VLOOKUP(A46,DV,3,FALSE)</f>
        <v>11736</v>
      </c>
      <c r="F46" s="18">
        <f t="shared" si="0"/>
        <v>-3.046848340293451E-7</v>
      </c>
      <c r="G46" s="18">
        <f t="shared" si="1"/>
        <v>0</v>
      </c>
    </row>
    <row r="47" spans="1:7">
      <c r="A47" s="5" t="s">
        <v>147</v>
      </c>
      <c r="B47" s="7">
        <f>VLOOKUP(A47,CM,4,FALSE)</f>
        <v>1841737</v>
      </c>
      <c r="C47" s="7">
        <f>VLOOKUP(A47,CM,5,FALSE)</f>
        <v>861</v>
      </c>
      <c r="D47" s="7">
        <f>VLOOKUP(A47,DV,2,FALSE)</f>
        <v>1841736</v>
      </c>
      <c r="E47" s="7">
        <f>VLOOKUP(A47,DV,3,FALSE)</f>
        <v>860</v>
      </c>
      <c r="F47" s="18">
        <f t="shared" si="0"/>
        <v>-5.4296568940959133E-7</v>
      </c>
      <c r="G47" s="18">
        <f t="shared" si="1"/>
        <v>-1.1614401858304202E-3</v>
      </c>
    </row>
    <row r="48" spans="1:7">
      <c r="A48" s="5" t="s">
        <v>149</v>
      </c>
      <c r="B48" s="7">
        <f>VLOOKUP(A48,CM,4,FALSE)</f>
        <v>53351</v>
      </c>
      <c r="C48" s="7">
        <f>VLOOKUP(A48,CM,5,FALSE)</f>
        <v>32</v>
      </c>
      <c r="D48" s="7">
        <f>VLOOKUP(A48,DV,2,FALSE)</f>
        <v>53351</v>
      </c>
      <c r="E48" s="7">
        <f>VLOOKUP(A48,DV,3,FALSE)</f>
        <v>32</v>
      </c>
      <c r="F48" s="18">
        <f t="shared" si="0"/>
        <v>0</v>
      </c>
      <c r="G48" s="18">
        <f t="shared" si="1"/>
        <v>0</v>
      </c>
    </row>
    <row r="49" spans="1:7">
      <c r="A49" s="5" t="s">
        <v>151</v>
      </c>
      <c r="B49" s="7">
        <f>VLOOKUP(A49,CM,4,FALSE)</f>
        <v>33158</v>
      </c>
      <c r="C49" s="7">
        <f>VLOOKUP(A49,CM,5,FALSE)</f>
        <v>9</v>
      </c>
      <c r="D49" s="7">
        <f>VLOOKUP(A49,DV,2,FALSE)</f>
        <v>33158</v>
      </c>
      <c r="E49" s="7">
        <f>VLOOKUP(A49,DV,3,FALSE)</f>
        <v>9</v>
      </c>
      <c r="F49" s="18">
        <f t="shared" si="0"/>
        <v>0</v>
      </c>
      <c r="G49" s="18">
        <f t="shared" si="1"/>
        <v>0</v>
      </c>
    </row>
    <row r="50" spans="1:7">
      <c r="A50" s="5" t="s">
        <v>153</v>
      </c>
      <c r="B50" s="7">
        <f>VLOOKUP(A50,CM,4,FALSE)</f>
        <v>2123394</v>
      </c>
      <c r="C50" s="7">
        <f>VLOOKUP(A50,CM,5,FALSE)</f>
        <v>916</v>
      </c>
      <c r="D50" s="7">
        <f>VLOOKUP(A50,DV,2,FALSE)</f>
        <v>2123394</v>
      </c>
      <c r="E50" s="7">
        <f>VLOOKUP(A50,DV,3,FALSE)</f>
        <v>916</v>
      </c>
      <c r="F50" s="18">
        <f t="shared" si="0"/>
        <v>0</v>
      </c>
      <c r="G50" s="18">
        <f t="shared" si="1"/>
        <v>0</v>
      </c>
    </row>
    <row r="51" spans="1:7">
      <c r="A51" s="5" t="s">
        <v>155</v>
      </c>
      <c r="B51" s="7">
        <f>VLOOKUP(A51,CM,4,FALSE)</f>
        <v>56573</v>
      </c>
      <c r="C51" s="7">
        <f>VLOOKUP(A51,CM,5,FALSE)</f>
        <v>41</v>
      </c>
      <c r="D51" s="7">
        <f>VLOOKUP(A51,DV,2,FALSE)</f>
        <v>56572</v>
      </c>
      <c r="E51" s="7">
        <f>VLOOKUP(A51,DV,3,FALSE)</f>
        <v>41</v>
      </c>
      <c r="F51" s="18">
        <f t="shared" si="0"/>
        <v>-1.7676276669043034E-5</v>
      </c>
      <c r="G51" s="18">
        <f t="shared" si="1"/>
        <v>0</v>
      </c>
    </row>
    <row r="52" spans="1:7">
      <c r="A52" s="5" t="s">
        <v>157</v>
      </c>
      <c r="B52" s="7">
        <f>VLOOKUP(A52,CM,4,FALSE)</f>
        <v>43648</v>
      </c>
      <c r="C52" s="7">
        <f>VLOOKUP(A52,CM,5,FALSE)</f>
        <v>33</v>
      </c>
      <c r="D52" s="7">
        <f>VLOOKUP(A52,DV,2,FALSE)</f>
        <v>43647</v>
      </c>
      <c r="E52" s="7">
        <f>VLOOKUP(A52,DV,3,FALSE)</f>
        <v>33</v>
      </c>
      <c r="F52" s="18">
        <f t="shared" si="0"/>
        <v>-2.2910557184729896E-5</v>
      </c>
      <c r="G52" s="18">
        <f t="shared" si="1"/>
        <v>0</v>
      </c>
    </row>
    <row r="53" spans="1:7">
      <c r="A53" s="5" t="s">
        <v>158</v>
      </c>
      <c r="B53" s="7">
        <f>VLOOKUP(A53,CM,4,FALSE)</f>
        <v>60927</v>
      </c>
      <c r="C53" s="7">
        <f>VLOOKUP(A53,CM,5,FALSE)</f>
        <v>585</v>
      </c>
      <c r="D53" s="7">
        <f>VLOOKUP(A53,DV,2,FALSE)</f>
        <v>60926</v>
      </c>
      <c r="E53" s="7">
        <f>VLOOKUP(A53,DV,3,FALSE)</f>
        <v>584</v>
      </c>
      <c r="F53" s="18">
        <f t="shared" si="0"/>
        <v>-1.6413084510946696E-5</v>
      </c>
      <c r="G53" s="18">
        <f t="shared" si="1"/>
        <v>-1.7094017094017033E-3</v>
      </c>
    </row>
    <row r="54" spans="1:7">
      <c r="A54" s="5" t="s">
        <v>160</v>
      </c>
      <c r="B54" s="7">
        <f>VLOOKUP(A54,CM,4,FALSE)</f>
        <v>49807</v>
      </c>
      <c r="C54" s="7">
        <f>VLOOKUP(A54,CM,5,FALSE)</f>
        <v>93</v>
      </c>
      <c r="D54" s="7">
        <f>VLOOKUP(A54,DV,2,FALSE)</f>
        <v>49807</v>
      </c>
      <c r="E54" s="7">
        <f>VLOOKUP(A54,DV,3,FALSE)</f>
        <v>93</v>
      </c>
      <c r="F54" s="18">
        <f t="shared" si="0"/>
        <v>0</v>
      </c>
      <c r="G54" s="18">
        <f t="shared" si="1"/>
        <v>0</v>
      </c>
    </row>
    <row r="55" spans="1:7">
      <c r="A55" s="5" t="s">
        <v>162</v>
      </c>
      <c r="B55" s="7">
        <f>VLOOKUP(A55,CM,4,FALSE)</f>
        <v>8764</v>
      </c>
      <c r="C55" s="7">
        <f>VLOOKUP(A55,CM,5,FALSE)</f>
        <v>7</v>
      </c>
      <c r="D55" s="7">
        <f>VLOOKUP(A55,DV,2,FALSE)</f>
        <v>8762</v>
      </c>
      <c r="E55" s="7">
        <f>VLOOKUP(A55,DV,3,FALSE)</f>
        <v>6</v>
      </c>
      <c r="F55" s="18">
        <f t="shared" si="0"/>
        <v>-2.2820629849384932E-4</v>
      </c>
      <c r="G55" s="18">
        <f t="shared" si="1"/>
        <v>-0.1428571428571429</v>
      </c>
    </row>
    <row r="56" spans="1:7">
      <c r="A56" s="5" t="s">
        <v>164</v>
      </c>
      <c r="B56" s="7">
        <f>VLOOKUP(A56,CM,4,FALSE)</f>
        <v>72514</v>
      </c>
      <c r="C56" s="7">
        <f>VLOOKUP(A56,CM,5,FALSE)</f>
        <v>655</v>
      </c>
      <c r="D56" s="7">
        <f>VLOOKUP(A56,DV,2,FALSE)</f>
        <v>72513</v>
      </c>
      <c r="E56" s="7">
        <f>VLOOKUP(A56,DV,3,FALSE)</f>
        <v>654</v>
      </c>
      <c r="F56" s="18">
        <f t="shared" si="0"/>
        <v>-1.3790440466676657E-5</v>
      </c>
      <c r="G56" s="18">
        <f t="shared" si="1"/>
        <v>-1.5267175572518665E-3</v>
      </c>
    </row>
    <row r="57" spans="1:7">
      <c r="A57" s="5" t="s">
        <v>166</v>
      </c>
      <c r="B57" s="7">
        <f>VLOOKUP(A57,CM,4,FALSE)</f>
        <v>12108</v>
      </c>
      <c r="C57" s="7">
        <f>VLOOKUP(A57,CM,5,FALSE)</f>
        <v>12</v>
      </c>
      <c r="D57" s="7">
        <f>VLOOKUP(A57,DV,2,FALSE)</f>
        <v>12107</v>
      </c>
      <c r="E57" s="7">
        <f>VLOOKUP(A57,DV,3,FALSE)</f>
        <v>12</v>
      </c>
      <c r="F57" s="18">
        <f t="shared" si="0"/>
        <v>-8.2590023125161949E-5</v>
      </c>
      <c r="G57" s="18">
        <f t="shared" si="1"/>
        <v>0</v>
      </c>
    </row>
    <row r="58" spans="1:7">
      <c r="A58" s="5" t="s">
        <v>168</v>
      </c>
      <c r="B58" s="7">
        <f>VLOOKUP(A58,CM,4,FALSE)</f>
        <v>5532</v>
      </c>
      <c r="C58" s="7">
        <f>VLOOKUP(A58,CM,5,FALSE)</f>
        <v>2</v>
      </c>
      <c r="D58" s="7">
        <f>VLOOKUP(A58,DV,2,FALSE)</f>
        <v>5531</v>
      </c>
      <c r="E58" s="7">
        <f>VLOOKUP(A58,DV,3,FALSE)</f>
        <v>2</v>
      </c>
      <c r="F58" s="18">
        <f t="shared" si="0"/>
        <v>-1.8076644974696077E-4</v>
      </c>
      <c r="G58" s="18">
        <f t="shared" si="1"/>
        <v>0</v>
      </c>
    </row>
    <row r="59" spans="1:7">
      <c r="A59" s="5" t="s">
        <v>169</v>
      </c>
      <c r="B59" s="7">
        <f>VLOOKUP(A59,CM,4,FALSE)</f>
        <v>0</v>
      </c>
      <c r="C59" s="7">
        <f>VLOOKUP(A59,CM,5,FALSE)</f>
        <v>1</v>
      </c>
      <c r="D59" s="7" t="e">
        <f>VLOOKUP(A59,DV,2,FALSE)</f>
        <v>#N/A</v>
      </c>
      <c r="E59" s="7" t="e">
        <f>VLOOKUP(A59,DV,3,FALSE)</f>
        <v>#N/A</v>
      </c>
      <c r="F59" s="18" t="e">
        <f t="shared" si="0"/>
        <v>#N/A</v>
      </c>
      <c r="G59" s="18" t="e">
        <f t="shared" si="1"/>
        <v>#N/A</v>
      </c>
    </row>
    <row r="60" spans="1:7">
      <c r="A60" s="5" t="s">
        <v>170</v>
      </c>
      <c r="B60" s="7">
        <f>VLOOKUP(A60,CM,4,FALSE)</f>
        <v>0</v>
      </c>
      <c r="C60" s="7">
        <f>VLOOKUP(A60,CM,5,FALSE)</f>
        <v>1</v>
      </c>
      <c r="D60" s="7" t="e">
        <f>VLOOKUP(A60,DV,2,FALSE)</f>
        <v>#N/A</v>
      </c>
      <c r="E60" s="7" t="e">
        <f>VLOOKUP(A60,DV,3,FALSE)</f>
        <v>#N/A</v>
      </c>
      <c r="F60" s="18" t="e">
        <f t="shared" si="0"/>
        <v>#N/A</v>
      </c>
      <c r="G60" s="18" t="e">
        <f t="shared" si="1"/>
        <v>#N/A</v>
      </c>
    </row>
    <row r="61" spans="1:7">
      <c r="A61" s="5" t="s">
        <v>171</v>
      </c>
      <c r="B61" s="7">
        <f>VLOOKUP(A61,CM,4,FALSE)</f>
        <v>0</v>
      </c>
      <c r="C61" s="7">
        <f>VLOOKUP(A61,CM,5,FALSE)</f>
        <v>2</v>
      </c>
      <c r="D61" s="7" t="e">
        <f>VLOOKUP(A61,DV,2,FALSE)</f>
        <v>#N/A</v>
      </c>
      <c r="E61" s="7" t="e">
        <f>VLOOKUP(A61,DV,3,FALSE)</f>
        <v>#N/A</v>
      </c>
      <c r="F61" s="18" t="e">
        <f t="shared" si="0"/>
        <v>#N/A</v>
      </c>
      <c r="G61" s="18" t="e">
        <f t="shared" si="1"/>
        <v>#N/A</v>
      </c>
    </row>
    <row r="62" spans="1:7">
      <c r="A62" s="5" t="s">
        <v>172</v>
      </c>
      <c r="B62" s="7">
        <f>VLOOKUP(A62,CM,4,FALSE)</f>
        <v>2</v>
      </c>
      <c r="C62" s="7">
        <f>VLOOKUP(A62,CM,5,FALSE)</f>
        <v>1</v>
      </c>
      <c r="D62" s="7">
        <f>VLOOKUP(A62,DV,2,FALSE)</f>
        <v>1</v>
      </c>
      <c r="E62" s="7">
        <f>VLOOKUP(A62,DV,3,FALSE)</f>
        <v>0</v>
      </c>
      <c r="F62" s="18">
        <f t="shared" si="0"/>
        <v>-0.5</v>
      </c>
      <c r="G62" s="18">
        <f t="shared" si="1"/>
        <v>-1</v>
      </c>
    </row>
    <row r="63" spans="1:7">
      <c r="A63" s="5" t="s">
        <v>174</v>
      </c>
      <c r="B63" s="7">
        <f>VLOOKUP(A63,CM,4,FALSE)</f>
        <v>0</v>
      </c>
      <c r="C63" s="7">
        <f>VLOOKUP(A63,CM,5,FALSE)</f>
        <v>1</v>
      </c>
      <c r="D63" s="7" t="e">
        <f>VLOOKUP(A63,DV,2,FALSE)</f>
        <v>#N/A</v>
      </c>
      <c r="E63" s="7" t="e">
        <f>VLOOKUP(A63,DV,3,FALSE)</f>
        <v>#N/A</v>
      </c>
      <c r="F63" s="18" t="e">
        <f t="shared" si="0"/>
        <v>#N/A</v>
      </c>
      <c r="G63" s="18" t="e">
        <f t="shared" si="1"/>
        <v>#N/A</v>
      </c>
    </row>
    <row r="64" spans="1:7">
      <c r="A64" s="5" t="s">
        <v>175</v>
      </c>
      <c r="B64" s="7">
        <f>VLOOKUP(A64,CM,4,FALSE)</f>
        <v>0</v>
      </c>
      <c r="C64" s="7">
        <f>VLOOKUP(A64,CM,5,FALSE)</f>
        <v>2</v>
      </c>
      <c r="D64" s="7" t="e">
        <f>VLOOKUP(A64,DV,2,FALSE)</f>
        <v>#N/A</v>
      </c>
      <c r="E64" s="7" t="e">
        <f>VLOOKUP(A64,DV,3,FALSE)</f>
        <v>#N/A</v>
      </c>
      <c r="F64" s="18" t="e">
        <f t="shared" si="0"/>
        <v>#N/A</v>
      </c>
      <c r="G64" s="18" t="e">
        <f t="shared" si="1"/>
        <v>#N/A</v>
      </c>
    </row>
    <row r="65" spans="1:7">
      <c r="A65" s="5" t="s">
        <v>176</v>
      </c>
      <c r="B65" s="7">
        <f>VLOOKUP(A65,CM,4,FALSE)</f>
        <v>0</v>
      </c>
      <c r="C65" s="7">
        <f>VLOOKUP(A65,CM,5,FALSE)</f>
        <v>1</v>
      </c>
      <c r="D65" s="7" t="e">
        <f>VLOOKUP(A65,DV,2,FALSE)</f>
        <v>#N/A</v>
      </c>
      <c r="E65" s="7" t="e">
        <f>VLOOKUP(A65,DV,3,FALSE)</f>
        <v>#N/A</v>
      </c>
      <c r="F65" s="18" t="e">
        <f t="shared" si="0"/>
        <v>#N/A</v>
      </c>
      <c r="G65" s="18" t="e">
        <f t="shared" si="1"/>
        <v>#N/A</v>
      </c>
    </row>
    <row r="66" spans="1:7">
      <c r="A66" s="5" t="s">
        <v>177</v>
      </c>
      <c r="B66" s="7">
        <f>VLOOKUP(A66,CM,4,FALSE)</f>
        <v>0</v>
      </c>
      <c r="C66" s="7">
        <f>VLOOKUP(A66,CM,5,FALSE)</f>
        <v>5</v>
      </c>
      <c r="D66" s="7" t="e">
        <f>VLOOKUP(A66,DV,2,FALSE)</f>
        <v>#N/A</v>
      </c>
      <c r="E66" s="7" t="e">
        <f>VLOOKUP(A66,DV,3,FALSE)</f>
        <v>#N/A</v>
      </c>
      <c r="F66" s="18" t="e">
        <f t="shared" si="0"/>
        <v>#N/A</v>
      </c>
      <c r="G66" s="18" t="e">
        <f t="shared" si="1"/>
        <v>#N/A</v>
      </c>
    </row>
    <row r="67" spans="1:7">
      <c r="A67" s="5" t="s">
        <v>285</v>
      </c>
      <c r="B67" s="7">
        <f>VLOOKUP(A67,CM,4,FALSE)</f>
        <v>25985</v>
      </c>
      <c r="C67" s="7">
        <f>VLOOKUP(A67,CM,5,FALSE)</f>
        <v>75</v>
      </c>
      <c r="D67" s="7">
        <f>VLOOKUP(A67,DV,2,FALSE)</f>
        <v>25984</v>
      </c>
      <c r="E67" s="7">
        <f>VLOOKUP(A67,DV,3,FALSE)</f>
        <v>75</v>
      </c>
      <c r="F67" s="18">
        <f t="shared" ref="F67:F93" si="2">(D67/B67)-1</f>
        <v>-3.8483740619543738E-5</v>
      </c>
      <c r="G67" s="18">
        <f t="shared" ref="G67:G93" si="3">(E67/C67)-1</f>
        <v>0</v>
      </c>
    </row>
    <row r="68" spans="1:7">
      <c r="A68" s="5" t="s">
        <v>287</v>
      </c>
      <c r="B68" s="7">
        <f>VLOOKUP(A68,CM,4,FALSE)</f>
        <v>84173</v>
      </c>
      <c r="C68" s="7">
        <f>VLOOKUP(A68,CM,5,FALSE)</f>
        <v>17</v>
      </c>
      <c r="D68" s="7">
        <f>VLOOKUP(A68,DV,2,FALSE)</f>
        <v>84236</v>
      </c>
      <c r="E68" s="7">
        <f>VLOOKUP(A68,DV,3,FALSE)</f>
        <v>17</v>
      </c>
      <c r="F68" s="18">
        <f t="shared" si="2"/>
        <v>7.4845853183314048E-4</v>
      </c>
      <c r="G68" s="18">
        <f t="shared" si="3"/>
        <v>0</v>
      </c>
    </row>
    <row r="69" spans="1:7">
      <c r="A69" s="5" t="s">
        <v>288</v>
      </c>
      <c r="B69" s="7">
        <f>VLOOKUP(A69,CM,4,FALSE)</f>
        <v>98376</v>
      </c>
      <c r="C69" s="7">
        <f>VLOOKUP(A69,CM,5,FALSE)</f>
        <v>122</v>
      </c>
      <c r="D69" s="7">
        <f>VLOOKUP(A69,DV,2,FALSE)</f>
        <v>98439</v>
      </c>
      <c r="E69" s="7">
        <f>VLOOKUP(A69,DV,3,FALSE)</f>
        <v>122</v>
      </c>
      <c r="F69" s="18">
        <f t="shared" si="2"/>
        <v>6.4040009758481453E-4</v>
      </c>
      <c r="G69" s="18">
        <f t="shared" si="3"/>
        <v>0</v>
      </c>
    </row>
    <row r="70" spans="1:7">
      <c r="A70" s="5" t="s">
        <v>289</v>
      </c>
      <c r="B70" s="7">
        <f>VLOOKUP(A70,CM,4,FALSE)</f>
        <v>47320</v>
      </c>
      <c r="C70" s="7">
        <f>VLOOKUP(A70,CM,5,FALSE)</f>
        <v>1478</v>
      </c>
      <c r="D70" s="7">
        <f>VLOOKUP(A70,DV,2,FALSE)</f>
        <v>47343</v>
      </c>
      <c r="E70" s="7">
        <f>VLOOKUP(A70,DV,3,FALSE)</f>
        <v>1478</v>
      </c>
      <c r="F70" s="18">
        <f t="shared" si="2"/>
        <v>4.8605240912924508E-4</v>
      </c>
      <c r="G70" s="18">
        <f t="shared" si="3"/>
        <v>0</v>
      </c>
    </row>
    <row r="71" spans="1:7">
      <c r="A71" s="5" t="s">
        <v>302</v>
      </c>
      <c r="B71" s="7">
        <f>VLOOKUP(A71,CM,4,FALSE)</f>
        <v>74265</v>
      </c>
      <c r="C71" s="7">
        <f>VLOOKUP(A71,CM,5,FALSE)</f>
        <v>1517</v>
      </c>
      <c r="D71" s="7">
        <f>VLOOKUP(A71,DV,2,FALSE)</f>
        <v>74267</v>
      </c>
      <c r="E71" s="7">
        <f>VLOOKUP(A71,DV,3,FALSE)</f>
        <v>1517</v>
      </c>
      <c r="F71" s="18">
        <f t="shared" si="2"/>
        <v>2.6930586413564939E-5</v>
      </c>
      <c r="G71" s="18">
        <f t="shared" si="3"/>
        <v>0</v>
      </c>
    </row>
    <row r="72" spans="1:7">
      <c r="A72" s="5" t="s">
        <v>304</v>
      </c>
      <c r="B72" s="7">
        <f>VLOOKUP(A72,CM,4,FALSE)</f>
        <v>190904</v>
      </c>
      <c r="C72" s="7">
        <f>VLOOKUP(A72,CM,5,FALSE)</f>
        <v>1020</v>
      </c>
      <c r="D72" s="7">
        <f>VLOOKUP(A72,DV,2,FALSE)</f>
        <v>190923</v>
      </c>
      <c r="E72" s="7">
        <f>VLOOKUP(A72,DV,3,FALSE)</f>
        <v>1020</v>
      </c>
      <c r="F72" s="18">
        <f t="shared" si="2"/>
        <v>9.9526463562815692E-5</v>
      </c>
      <c r="G72" s="18">
        <f t="shared" si="3"/>
        <v>0</v>
      </c>
    </row>
    <row r="73" spans="1:7">
      <c r="A73" s="5" t="s">
        <v>306</v>
      </c>
      <c r="B73" s="7">
        <f>VLOOKUP(A73,CM,4,FALSE)</f>
        <v>313292</v>
      </c>
      <c r="C73" s="7">
        <f>VLOOKUP(A73,CM,5,FALSE)</f>
        <v>821</v>
      </c>
      <c r="D73" s="7">
        <f>VLOOKUP(A73,DV,2,FALSE)</f>
        <v>313403</v>
      </c>
      <c r="E73" s="7">
        <f>VLOOKUP(A73,DV,3,FALSE)</f>
        <v>821</v>
      </c>
      <c r="F73" s="18">
        <f t="shared" si="2"/>
        <v>3.5430205686703964E-4</v>
      </c>
      <c r="G73" s="18">
        <f t="shared" si="3"/>
        <v>0</v>
      </c>
    </row>
    <row r="74" spans="1:7">
      <c r="A74" s="5" t="s">
        <v>308</v>
      </c>
      <c r="B74" s="7">
        <f>VLOOKUP(A74,CM,4,FALSE)</f>
        <v>198618</v>
      </c>
      <c r="C74" s="7">
        <f>VLOOKUP(A74,CM,5,FALSE)</f>
        <v>674</v>
      </c>
      <c r="D74" s="7">
        <f>VLOOKUP(A74,DV,2,FALSE)</f>
        <v>198656</v>
      </c>
      <c r="E74" s="7">
        <f>VLOOKUP(A74,DV,3,FALSE)</f>
        <v>674</v>
      </c>
      <c r="F74" s="18">
        <f t="shared" si="2"/>
        <v>1.9132203526361913E-4</v>
      </c>
      <c r="G74" s="18">
        <f t="shared" si="3"/>
        <v>0</v>
      </c>
    </row>
    <row r="75" spans="1:7">
      <c r="A75" s="5" t="s">
        <v>310</v>
      </c>
      <c r="B75" s="7">
        <f>VLOOKUP(A75,CM,4,FALSE)</f>
        <v>35817</v>
      </c>
      <c r="C75" s="7">
        <f>VLOOKUP(A75,CM,5,FALSE)</f>
        <v>141</v>
      </c>
      <c r="D75" s="7">
        <f>VLOOKUP(A75,DV,2,FALSE)</f>
        <v>35827</v>
      </c>
      <c r="E75" s="7">
        <f>VLOOKUP(A75,DV,3,FALSE)</f>
        <v>141</v>
      </c>
      <c r="F75" s="18">
        <f t="shared" si="2"/>
        <v>2.7919702934364743E-4</v>
      </c>
      <c r="G75" s="18">
        <f t="shared" si="3"/>
        <v>0</v>
      </c>
    </row>
    <row r="76" spans="1:7">
      <c r="A76" s="5" t="s">
        <v>312</v>
      </c>
      <c r="B76" s="7">
        <f>VLOOKUP(A76,CM,4,FALSE)</f>
        <v>262613</v>
      </c>
      <c r="C76" s="7">
        <f>VLOOKUP(A76,CM,5,FALSE)</f>
        <v>1200</v>
      </c>
      <c r="D76" s="7">
        <f>VLOOKUP(A76,DV,2,FALSE)</f>
        <v>262691</v>
      </c>
      <c r="E76" s="7">
        <f>VLOOKUP(A76,DV,3,FALSE)</f>
        <v>1200</v>
      </c>
      <c r="F76" s="18">
        <f t="shared" si="2"/>
        <v>2.9701499925738339E-4</v>
      </c>
      <c r="G76" s="18">
        <f t="shared" si="3"/>
        <v>0</v>
      </c>
    </row>
    <row r="77" spans="1:7">
      <c r="A77" s="5" t="s">
        <v>314</v>
      </c>
      <c r="B77" s="7">
        <f>VLOOKUP(A77,CM,4,FALSE)</f>
        <v>265083</v>
      </c>
      <c r="C77" s="7">
        <f>VLOOKUP(A77,CM,5,FALSE)</f>
        <v>779</v>
      </c>
      <c r="D77" s="7">
        <f>VLOOKUP(A77,DV,2,FALSE)</f>
        <v>265184</v>
      </c>
      <c r="E77" s="7">
        <f>VLOOKUP(A77,DV,3,FALSE)</f>
        <v>779</v>
      </c>
      <c r="F77" s="18">
        <f t="shared" si="2"/>
        <v>3.8101273940616132E-4</v>
      </c>
      <c r="G77" s="18">
        <f t="shared" si="3"/>
        <v>0</v>
      </c>
    </row>
    <row r="78" spans="1:7">
      <c r="A78" s="5" t="s">
        <v>316</v>
      </c>
      <c r="B78" s="7">
        <f>VLOOKUP(A78,CM,4,FALSE)</f>
        <v>206708</v>
      </c>
      <c r="C78" s="7">
        <f>VLOOKUP(A78,CM,5,FALSE)</f>
        <v>767</v>
      </c>
      <c r="D78" s="7">
        <f>VLOOKUP(A78,DV,2,FALSE)</f>
        <v>206727</v>
      </c>
      <c r="E78" s="7">
        <f>VLOOKUP(A78,DV,3,FALSE)</f>
        <v>767</v>
      </c>
      <c r="F78" s="18">
        <f t="shared" si="2"/>
        <v>9.1917100450977784E-5</v>
      </c>
      <c r="G78" s="18">
        <f t="shared" si="3"/>
        <v>0</v>
      </c>
    </row>
    <row r="79" spans="1:7">
      <c r="A79" s="5" t="s">
        <v>390</v>
      </c>
      <c r="B79" s="7">
        <f>VLOOKUP(A79,CM,4,FALSE)</f>
        <v>0</v>
      </c>
      <c r="C79" s="7">
        <f>VLOOKUP(A79,CM,5,FALSE)</f>
        <v>1</v>
      </c>
      <c r="D79" s="7" t="e">
        <f>VLOOKUP(A79,DV,2,FALSE)</f>
        <v>#N/A</v>
      </c>
      <c r="E79" s="7" t="e">
        <f>VLOOKUP(A79,DV,3,FALSE)</f>
        <v>#N/A</v>
      </c>
      <c r="F79" s="18" t="e">
        <f t="shared" si="2"/>
        <v>#N/A</v>
      </c>
      <c r="G79" s="18" t="e">
        <f t="shared" si="3"/>
        <v>#N/A</v>
      </c>
    </row>
    <row r="80" spans="1:7">
      <c r="A80" s="5" t="s">
        <v>391</v>
      </c>
      <c r="B80" s="7">
        <f>VLOOKUP(A80,CM,4,FALSE)</f>
        <v>0</v>
      </c>
      <c r="C80" s="7">
        <f>VLOOKUP(A80,CM,5,FALSE)</f>
        <v>7</v>
      </c>
      <c r="D80" s="7" t="e">
        <f>VLOOKUP(A80,DV,2,FALSE)</f>
        <v>#N/A</v>
      </c>
      <c r="E80" s="7" t="e">
        <f>VLOOKUP(A80,DV,3,FALSE)</f>
        <v>#N/A</v>
      </c>
      <c r="F80" s="18" t="e">
        <f t="shared" si="2"/>
        <v>#N/A</v>
      </c>
      <c r="G80" s="18" t="e">
        <f t="shared" si="3"/>
        <v>#N/A</v>
      </c>
    </row>
    <row r="81" spans="1:7">
      <c r="A81" s="5" t="s">
        <v>415</v>
      </c>
      <c r="B81" s="7">
        <f>VLOOKUP(A81,CM,4,FALSE)</f>
        <v>0</v>
      </c>
      <c r="C81" s="7">
        <f>VLOOKUP(A81,CM,5,FALSE)</f>
        <v>1</v>
      </c>
      <c r="D81" s="7" t="e">
        <f>VLOOKUP(A81,DV,2,FALSE)</f>
        <v>#N/A</v>
      </c>
      <c r="E81" s="7" t="e">
        <f>VLOOKUP(A81,DV,3,FALSE)</f>
        <v>#N/A</v>
      </c>
      <c r="F81" s="18" t="e">
        <f t="shared" si="2"/>
        <v>#N/A</v>
      </c>
      <c r="G81" s="18" t="e">
        <f t="shared" si="3"/>
        <v>#N/A</v>
      </c>
    </row>
    <row r="82" spans="1:7">
      <c r="A82" s="5" t="s">
        <v>416</v>
      </c>
      <c r="B82" s="7">
        <f>VLOOKUP(A82,CM,4,FALSE)</f>
        <v>0</v>
      </c>
      <c r="C82" s="7">
        <f>VLOOKUP(A82,CM,5,FALSE)</f>
        <v>3395</v>
      </c>
      <c r="D82" s="7" t="e">
        <f>VLOOKUP(A82,DV,2,FALSE)</f>
        <v>#N/A</v>
      </c>
      <c r="E82" s="7" t="e">
        <f>VLOOKUP(A82,DV,3,FALSE)</f>
        <v>#N/A</v>
      </c>
      <c r="F82" s="18" t="e">
        <f t="shared" si="2"/>
        <v>#N/A</v>
      </c>
      <c r="G82" s="18" t="e">
        <f t="shared" si="3"/>
        <v>#N/A</v>
      </c>
    </row>
    <row r="83" spans="1:7">
      <c r="A83" s="5" t="s">
        <v>417</v>
      </c>
      <c r="B83" s="7">
        <f>VLOOKUP(A83,CM,4,FALSE)</f>
        <v>420489</v>
      </c>
      <c r="C83" s="7">
        <f>VLOOKUP(A83,CM,5,FALSE)</f>
        <v>178</v>
      </c>
      <c r="D83" s="7">
        <f>VLOOKUP(A83,DV,2,FALSE)</f>
        <v>420487</v>
      </c>
      <c r="E83" s="7">
        <f>VLOOKUP(A83,DV,3,FALSE)</f>
        <v>177</v>
      </c>
      <c r="F83" s="18">
        <f t="shared" si="2"/>
        <v>-4.7563669917094487E-6</v>
      </c>
      <c r="G83" s="18">
        <f t="shared" si="3"/>
        <v>-5.6179775280899014E-3</v>
      </c>
    </row>
    <row r="84" spans="1:7">
      <c r="A84" s="5" t="s">
        <v>419</v>
      </c>
      <c r="B84" s="7">
        <f>VLOOKUP(A84,CM,4,FALSE)</f>
        <v>37987</v>
      </c>
      <c r="C84" s="7">
        <f>VLOOKUP(A84,CM,5,FALSE)</f>
        <v>8</v>
      </c>
      <c r="D84" s="7">
        <f>VLOOKUP(A84,DV,2,FALSE)</f>
        <v>37982</v>
      </c>
      <c r="E84" s="7">
        <f>VLOOKUP(A84,DV,3,FALSE)</f>
        <v>3</v>
      </c>
      <c r="F84" s="18">
        <f t="shared" si="2"/>
        <v>-1.3162397662358494E-4</v>
      </c>
      <c r="G84" s="18">
        <f t="shared" si="3"/>
        <v>-0.625</v>
      </c>
    </row>
    <row r="85" spans="1:7">
      <c r="A85" s="5" t="s">
        <v>421</v>
      </c>
      <c r="B85" s="7">
        <f>VLOOKUP(A85,CM,4,FALSE)</f>
        <v>10</v>
      </c>
      <c r="C85" s="7">
        <f>VLOOKUP(A85,CM,5,FALSE)</f>
        <v>1</v>
      </c>
      <c r="D85" s="7">
        <f>VLOOKUP(A85,DV,2,FALSE)</f>
        <v>8</v>
      </c>
      <c r="E85" s="7">
        <f>VLOOKUP(A85,DV,3,FALSE)</f>
        <v>0</v>
      </c>
      <c r="F85" s="18">
        <f t="shared" si="2"/>
        <v>-0.19999999999999996</v>
      </c>
      <c r="G85" s="18">
        <f t="shared" si="3"/>
        <v>-1</v>
      </c>
    </row>
    <row r="86" spans="1:7">
      <c r="A86" s="5" t="s">
        <v>423</v>
      </c>
      <c r="B86" s="7">
        <f>VLOOKUP(A86,CM,4,FALSE)</f>
        <v>9541174</v>
      </c>
      <c r="C86" s="7">
        <f>VLOOKUP(A86,CM,5,FALSE)</f>
        <v>18723</v>
      </c>
      <c r="D86" s="7">
        <f>VLOOKUP(A86,DV,2,FALSE)</f>
        <v>9541173</v>
      </c>
      <c r="E86" s="7">
        <f>VLOOKUP(A86,DV,3,FALSE)</f>
        <v>18722</v>
      </c>
      <c r="F86" s="18">
        <f t="shared" si="2"/>
        <v>-1.0480890511033181E-7</v>
      </c>
      <c r="G86" s="18">
        <f t="shared" si="3"/>
        <v>-5.3410244084783898E-5</v>
      </c>
    </row>
    <row r="87" spans="1:7">
      <c r="A87" s="5" t="s">
        <v>425</v>
      </c>
      <c r="B87" s="7">
        <f>VLOOKUP(A87,CM,4,FALSE)</f>
        <v>2</v>
      </c>
      <c r="C87" s="7">
        <f>VLOOKUP(A87,CM,5,FALSE)</f>
        <v>1</v>
      </c>
      <c r="D87" s="7" t="e">
        <f>VLOOKUP(A87,DV,2,FALSE)</f>
        <v>#N/A</v>
      </c>
      <c r="E87" s="7" t="e">
        <f>VLOOKUP(A87,DV,3,FALSE)</f>
        <v>#N/A</v>
      </c>
      <c r="F87" s="18" t="e">
        <f t="shared" si="2"/>
        <v>#N/A</v>
      </c>
      <c r="G87" s="18" t="e">
        <f t="shared" si="3"/>
        <v>#N/A</v>
      </c>
    </row>
    <row r="88" spans="1:7">
      <c r="A88" s="5" t="s">
        <v>22</v>
      </c>
      <c r="B88" s="7" t="e">
        <f>VLOOKUP(A88,CM,4,FALSE)</f>
        <v>#N/A</v>
      </c>
      <c r="C88" s="7" t="e">
        <f>VLOOKUP(A88,CM,5,FALSE)</f>
        <v>#N/A</v>
      </c>
      <c r="D88" s="7">
        <f>VLOOKUP(A88,DV,2,FALSE)</f>
        <v>1428579</v>
      </c>
      <c r="E88" s="7">
        <f>VLOOKUP(A88,DV,3,FALSE)</f>
        <v>3508</v>
      </c>
      <c r="F88" s="18" t="e">
        <f t="shared" si="2"/>
        <v>#N/A</v>
      </c>
      <c r="G88" s="18" t="e">
        <f t="shared" si="3"/>
        <v>#N/A</v>
      </c>
    </row>
    <row r="89" spans="1:7">
      <c r="A89" s="5" t="s">
        <v>11</v>
      </c>
      <c r="B89" s="7" t="e">
        <f>VLOOKUP(A89,CM,4,FALSE)</f>
        <v>#N/A</v>
      </c>
      <c r="C89" s="7" t="e">
        <f>VLOOKUP(A89,CM,5,FALSE)</f>
        <v>#N/A</v>
      </c>
      <c r="D89" s="7">
        <f>VLOOKUP(A89,DV,2,FALSE)</f>
        <v>4079694</v>
      </c>
      <c r="E89" s="7">
        <f>VLOOKUP(A89,DV,3,FALSE)</f>
        <v>154929</v>
      </c>
      <c r="F89" s="18" t="e">
        <f t="shared" si="2"/>
        <v>#N/A</v>
      </c>
      <c r="G89" s="18" t="e">
        <f t="shared" si="3"/>
        <v>#N/A</v>
      </c>
    </row>
    <row r="90" spans="1:7">
      <c r="A90" s="5" t="s">
        <v>14</v>
      </c>
      <c r="B90" s="7" t="e">
        <f>VLOOKUP(A90,CM,4,FALSE)</f>
        <v>#N/A</v>
      </c>
      <c r="C90" s="7" t="e">
        <f>VLOOKUP(A90,CM,5,FALSE)</f>
        <v>#N/A</v>
      </c>
      <c r="D90" s="7">
        <f>VLOOKUP(A90,DV,2,FALSE)</f>
        <v>220049</v>
      </c>
      <c r="E90" s="7">
        <f>VLOOKUP(A90,DV,3,FALSE)</f>
        <v>96</v>
      </c>
      <c r="F90" s="18" t="e">
        <f t="shared" si="2"/>
        <v>#N/A</v>
      </c>
      <c r="G90" s="18" t="e">
        <f t="shared" si="3"/>
        <v>#N/A</v>
      </c>
    </row>
    <row r="91" spans="1:7">
      <c r="A91" s="5" t="s">
        <v>16</v>
      </c>
      <c r="B91" s="7" t="e">
        <f>VLOOKUP(A91,CM,4,FALSE)</f>
        <v>#N/A</v>
      </c>
      <c r="C91" s="7" t="e">
        <f>VLOOKUP(A91,CM,5,FALSE)</f>
        <v>#N/A</v>
      </c>
      <c r="D91" s="7">
        <f>VLOOKUP(A91,DV,2,FALSE)</f>
        <v>632937</v>
      </c>
      <c r="E91" s="7">
        <f>VLOOKUP(A91,DV,3,FALSE)</f>
        <v>45377</v>
      </c>
      <c r="F91" s="18" t="e">
        <f t="shared" si="2"/>
        <v>#N/A</v>
      </c>
      <c r="G91" s="18" t="e">
        <f t="shared" si="3"/>
        <v>#N/A</v>
      </c>
    </row>
    <row r="92" spans="1:7">
      <c r="A92" s="5" t="s">
        <v>18</v>
      </c>
      <c r="B92" s="7" t="e">
        <f>VLOOKUP(A92,CM,4,FALSE)</f>
        <v>#N/A</v>
      </c>
      <c r="C92" s="7" t="e">
        <f>VLOOKUP(A92,CM,5,FALSE)</f>
        <v>#N/A</v>
      </c>
      <c r="D92" s="7">
        <f>VLOOKUP(A92,DV,2,FALSE)</f>
        <v>1035921</v>
      </c>
      <c r="E92" s="7">
        <f>VLOOKUP(A92,DV,3,FALSE)</f>
        <v>29925</v>
      </c>
      <c r="F92" s="18" t="e">
        <f t="shared" si="2"/>
        <v>#N/A</v>
      </c>
      <c r="G92" s="18" t="e">
        <f t="shared" si="3"/>
        <v>#N/A</v>
      </c>
    </row>
    <row r="93" spans="1:7">
      <c r="A93" s="5" t="s">
        <v>20</v>
      </c>
      <c r="B93" s="7" t="e">
        <f>VLOOKUP(A93,CM,4,FALSE)</f>
        <v>#N/A</v>
      </c>
      <c r="C93" s="7" t="e">
        <f>VLOOKUP(A93,CM,5,FALSE)</f>
        <v>#N/A</v>
      </c>
      <c r="D93" s="7">
        <f>VLOOKUP(A93,DV,2,FALSE)</f>
        <v>87642</v>
      </c>
      <c r="E93" s="7">
        <f>VLOOKUP(A93,DV,3,FALSE)</f>
        <v>66</v>
      </c>
      <c r="F93" s="18" t="e">
        <f t="shared" si="2"/>
        <v>#N/A</v>
      </c>
      <c r="G93" s="18" t="e">
        <f t="shared" si="3"/>
        <v>#N/A</v>
      </c>
    </row>
  </sheetData>
  <autoFilter ref="A1:G93" xr:uid="{991F7F0C-B346-437D-B699-ADC91E8620F1}"/>
  <conditionalFormatting sqref="A2:A93">
    <cfRule type="duplicateValues" dxfId="8" priority="1"/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ADE36-74B7-486E-B584-40E673BA5B21}">
  <dimension ref="A1:G93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6.140625" customWidth="1"/>
    <col min="2" max="2" width="10.5703125" style="9" bestFit="1" customWidth="1"/>
    <col min="3" max="3" width="11.28515625" style="9" bestFit="1" customWidth="1"/>
    <col min="4" max="4" width="10.28515625" style="9" bestFit="1" customWidth="1"/>
    <col min="5" max="5" width="11" style="9" bestFit="1" customWidth="1"/>
    <col min="6" max="6" width="7.5703125" style="16" bestFit="1" customWidth="1"/>
    <col min="7" max="7" width="8.28515625" style="16" bestFit="1" customWidth="1"/>
  </cols>
  <sheetData>
    <row r="1" spans="1:7">
      <c r="A1" s="14" t="s">
        <v>455</v>
      </c>
      <c r="B1" s="15" t="s">
        <v>451</v>
      </c>
      <c r="C1" s="15" t="s">
        <v>453</v>
      </c>
      <c r="D1" s="15" t="s">
        <v>452</v>
      </c>
      <c r="E1" s="15" t="s">
        <v>454</v>
      </c>
      <c r="F1" s="19" t="s">
        <v>456</v>
      </c>
      <c r="G1" s="19" t="s">
        <v>457</v>
      </c>
    </row>
    <row r="2" spans="1:7">
      <c r="A2" s="5" t="s">
        <v>24</v>
      </c>
      <c r="B2" s="7">
        <f>VLOOKUP(A2,CM,4,FALSE)</f>
        <v>67567270</v>
      </c>
      <c r="C2" s="7">
        <f>VLOOKUP(A2,CM,5,FALSE)</f>
        <v>83576</v>
      </c>
      <c r="D2" s="7">
        <f>VLOOKUP(A2,DV,2,FALSE)</f>
        <v>67567268</v>
      </c>
      <c r="E2" s="7">
        <f>VLOOKUP(A2,DV,3,FALSE)</f>
        <v>83576</v>
      </c>
      <c r="F2" s="18">
        <f>(D2/B2)-1</f>
        <v>-2.9600130346807418E-8</v>
      </c>
      <c r="G2" s="18">
        <f>(E2/C2)-1</f>
        <v>0</v>
      </c>
    </row>
    <row r="3" spans="1:7">
      <c r="A3" s="5" t="s">
        <v>27</v>
      </c>
      <c r="B3" s="7">
        <f>VLOOKUP(A3,CM,4,FALSE)</f>
        <v>155185</v>
      </c>
      <c r="C3" s="7">
        <f>VLOOKUP(A3,CM,5,FALSE)</f>
        <v>500</v>
      </c>
      <c r="D3" s="7">
        <f>VLOOKUP(A3,DV,2,FALSE)</f>
        <v>155185</v>
      </c>
      <c r="E3" s="7">
        <f>VLOOKUP(A3,DV,3,FALSE)</f>
        <v>500</v>
      </c>
      <c r="F3" s="18">
        <f t="shared" ref="F3:F66" si="0">(D3/B3)-1</f>
        <v>0</v>
      </c>
      <c r="G3" s="18">
        <f t="shared" ref="G3:G66" si="1">(E3/C3)-1</f>
        <v>0</v>
      </c>
    </row>
    <row r="4" spans="1:7">
      <c r="A4" s="5" t="s">
        <v>28</v>
      </c>
      <c r="B4" s="7">
        <f>VLOOKUP(A4,CM,4,FALSE)</f>
        <v>195041</v>
      </c>
      <c r="C4" s="7">
        <f>VLOOKUP(A4,CM,5,FALSE)</f>
        <v>22</v>
      </c>
      <c r="D4" s="7">
        <f>VLOOKUP(A4,DV,2,FALSE)</f>
        <v>195041</v>
      </c>
      <c r="E4" s="7">
        <f>VLOOKUP(A4,DV,3,FALSE)</f>
        <v>22</v>
      </c>
      <c r="F4" s="18">
        <f t="shared" si="0"/>
        <v>0</v>
      </c>
      <c r="G4" s="18">
        <f t="shared" si="1"/>
        <v>0</v>
      </c>
    </row>
    <row r="5" spans="1:7">
      <c r="A5" s="5" t="s">
        <v>29</v>
      </c>
      <c r="B5" s="7">
        <f>VLOOKUP(A5,CM,4,FALSE)</f>
        <v>118734</v>
      </c>
      <c r="C5" s="7">
        <f>VLOOKUP(A5,CM,5,FALSE)</f>
        <v>258</v>
      </c>
      <c r="D5" s="7">
        <f>VLOOKUP(A5,DV,2,FALSE)</f>
        <v>118734</v>
      </c>
      <c r="E5" s="7">
        <f>VLOOKUP(A5,DV,3,FALSE)</f>
        <v>258</v>
      </c>
      <c r="F5" s="18">
        <f t="shared" si="0"/>
        <v>0</v>
      </c>
      <c r="G5" s="18">
        <f t="shared" si="1"/>
        <v>0</v>
      </c>
    </row>
    <row r="6" spans="1:7">
      <c r="A6" s="5" t="s">
        <v>30</v>
      </c>
      <c r="B6" s="7">
        <f>VLOOKUP(A6,CM,4,FALSE)</f>
        <v>312519</v>
      </c>
      <c r="C6" s="7">
        <f>VLOOKUP(A6,CM,5,FALSE)</f>
        <v>5341</v>
      </c>
      <c r="D6" s="7">
        <f>VLOOKUP(A6,DV,2,FALSE)</f>
        <v>312519</v>
      </c>
      <c r="E6" s="7">
        <f>VLOOKUP(A6,DV,3,FALSE)</f>
        <v>5341</v>
      </c>
      <c r="F6" s="18">
        <f t="shared" si="0"/>
        <v>0</v>
      </c>
      <c r="G6" s="18">
        <f t="shared" si="1"/>
        <v>0</v>
      </c>
    </row>
    <row r="7" spans="1:7">
      <c r="A7" s="5" t="s">
        <v>67</v>
      </c>
      <c r="B7" s="7">
        <f>VLOOKUP(A7,CM,4,FALSE)</f>
        <v>3552581</v>
      </c>
      <c r="C7" s="7">
        <f>VLOOKUP(A7,CM,5,FALSE)</f>
        <v>6551</v>
      </c>
      <c r="D7" s="7">
        <f>VLOOKUP(A7,DV,2,FALSE)</f>
        <v>3552582</v>
      </c>
      <c r="E7" s="7">
        <f>VLOOKUP(A7,DV,3,FALSE)</f>
        <v>6550</v>
      </c>
      <c r="F7" s="18">
        <f t="shared" si="0"/>
        <v>2.8148548891770986E-7</v>
      </c>
      <c r="G7" s="18">
        <f t="shared" si="1"/>
        <v>-1.5264845061824239E-4</v>
      </c>
    </row>
    <row r="8" spans="1:7">
      <c r="A8" s="5" t="s">
        <v>70</v>
      </c>
      <c r="B8" s="7">
        <f>VLOOKUP(A8,CM,4,FALSE)</f>
        <v>34271</v>
      </c>
      <c r="C8" s="7">
        <f>VLOOKUP(A8,CM,5,FALSE)</f>
        <v>135</v>
      </c>
      <c r="D8" s="7">
        <f>VLOOKUP(A8,DV,2,FALSE)</f>
        <v>34271</v>
      </c>
      <c r="E8" s="7">
        <f>VLOOKUP(A8,DV,3,FALSE)</f>
        <v>135</v>
      </c>
      <c r="F8" s="18">
        <f t="shared" si="0"/>
        <v>0</v>
      </c>
      <c r="G8" s="18">
        <f t="shared" si="1"/>
        <v>0</v>
      </c>
    </row>
    <row r="9" spans="1:7">
      <c r="A9" s="5" t="s">
        <v>72</v>
      </c>
      <c r="B9" s="7">
        <f>VLOOKUP(A9,CM,4,FALSE)</f>
        <v>44485</v>
      </c>
      <c r="C9" s="7">
        <f>VLOOKUP(A9,CM,5,FALSE)</f>
        <v>38</v>
      </c>
      <c r="D9" s="7">
        <f>VLOOKUP(A9,DV,2,FALSE)</f>
        <v>44485</v>
      </c>
      <c r="E9" s="7">
        <f>VLOOKUP(A9,DV,3,FALSE)</f>
        <v>38</v>
      </c>
      <c r="F9" s="18">
        <f t="shared" si="0"/>
        <v>0</v>
      </c>
      <c r="G9" s="18">
        <f t="shared" si="1"/>
        <v>0</v>
      </c>
    </row>
    <row r="10" spans="1:7">
      <c r="A10" s="5" t="s">
        <v>74</v>
      </c>
      <c r="B10" s="7">
        <f>VLOOKUP(A10,CM,4,FALSE)</f>
        <v>115664</v>
      </c>
      <c r="C10" s="7">
        <f>VLOOKUP(A10,CM,5,FALSE)</f>
        <v>24</v>
      </c>
      <c r="D10" s="7">
        <f>VLOOKUP(A10,DV,2,FALSE)</f>
        <v>115663</v>
      </c>
      <c r="E10" s="7">
        <f>VLOOKUP(A10,DV,3,FALSE)</f>
        <v>23</v>
      </c>
      <c r="F10" s="18">
        <f t="shared" si="0"/>
        <v>-8.6457324665056845E-6</v>
      </c>
      <c r="G10" s="18">
        <f t="shared" si="1"/>
        <v>-4.166666666666663E-2</v>
      </c>
    </row>
    <row r="11" spans="1:7">
      <c r="A11" s="5" t="s">
        <v>76</v>
      </c>
      <c r="B11" s="7">
        <f>VLOOKUP(A11,CM,4,FALSE)</f>
        <v>12570</v>
      </c>
      <c r="C11" s="7">
        <f>VLOOKUP(A11,CM,5,FALSE)</f>
        <v>98</v>
      </c>
      <c r="D11" s="7">
        <f>VLOOKUP(A11,DV,2,FALSE)</f>
        <v>12569</v>
      </c>
      <c r="E11" s="7">
        <f>VLOOKUP(A11,DV,3,FALSE)</f>
        <v>98</v>
      </c>
      <c r="F11" s="18">
        <f t="shared" si="0"/>
        <v>-7.9554494828992794E-5</v>
      </c>
      <c r="G11" s="18">
        <f t="shared" si="1"/>
        <v>0</v>
      </c>
    </row>
    <row r="12" spans="1:7">
      <c r="A12" s="5" t="s">
        <v>78</v>
      </c>
      <c r="B12" s="7">
        <f>VLOOKUP(A12,CM,4,FALSE)</f>
        <v>7498</v>
      </c>
      <c r="C12" s="7">
        <f>VLOOKUP(A12,CM,5,FALSE)</f>
        <v>16</v>
      </c>
      <c r="D12" s="7">
        <f>VLOOKUP(A12,DV,2,FALSE)</f>
        <v>7497</v>
      </c>
      <c r="E12" s="7">
        <f>VLOOKUP(A12,DV,3,FALSE)</f>
        <v>16</v>
      </c>
      <c r="F12" s="18">
        <f t="shared" si="0"/>
        <v>-1.3336889837289867E-4</v>
      </c>
      <c r="G12" s="18">
        <f t="shared" si="1"/>
        <v>0</v>
      </c>
    </row>
    <row r="13" spans="1:7">
      <c r="A13" s="5" t="s">
        <v>79</v>
      </c>
      <c r="B13" s="7">
        <f>VLOOKUP(A13,CM,4,FALSE)</f>
        <v>5664044</v>
      </c>
      <c r="C13" s="7">
        <f>VLOOKUP(A13,CM,5,FALSE)</f>
        <v>334127</v>
      </c>
      <c r="D13" s="7">
        <f>VLOOKUP(A13,DV,2,FALSE)</f>
        <v>5664043</v>
      </c>
      <c r="E13" s="7">
        <f>VLOOKUP(A13,DV,3,FALSE)</f>
        <v>334124</v>
      </c>
      <c r="F13" s="18">
        <f t="shared" si="0"/>
        <v>-1.7655230077906481E-7</v>
      </c>
      <c r="G13" s="18">
        <f t="shared" si="1"/>
        <v>-8.9786219013010538E-6</v>
      </c>
    </row>
    <row r="14" spans="1:7">
      <c r="A14" s="5" t="s">
        <v>82</v>
      </c>
      <c r="B14" s="7">
        <f>VLOOKUP(A14,CM,4,FALSE)</f>
        <v>1104057</v>
      </c>
      <c r="C14" s="7">
        <f>VLOOKUP(A14,CM,5,FALSE)</f>
        <v>54782</v>
      </c>
      <c r="D14" s="7">
        <f>VLOOKUP(A14,DV,2,FALSE)</f>
        <v>1104057</v>
      </c>
      <c r="E14" s="7">
        <f>VLOOKUP(A14,DV,3,FALSE)</f>
        <v>54782</v>
      </c>
      <c r="F14" s="18">
        <f t="shared" si="0"/>
        <v>0</v>
      </c>
      <c r="G14" s="18">
        <f t="shared" si="1"/>
        <v>0</v>
      </c>
    </row>
    <row r="15" spans="1:7">
      <c r="A15" s="5" t="s">
        <v>84</v>
      </c>
      <c r="B15" s="7">
        <f>VLOOKUP(A15,CM,4,FALSE)</f>
        <v>72614</v>
      </c>
      <c r="C15" s="7">
        <f>VLOOKUP(A15,CM,5,FALSE)</f>
        <v>1450</v>
      </c>
      <c r="D15" s="7">
        <f>VLOOKUP(A15,DV,2,FALSE)</f>
        <v>72614</v>
      </c>
      <c r="E15" s="7">
        <f>VLOOKUP(A15,DV,3,FALSE)</f>
        <v>1450</v>
      </c>
      <c r="F15" s="18">
        <f t="shared" si="0"/>
        <v>0</v>
      </c>
      <c r="G15" s="18">
        <f t="shared" si="1"/>
        <v>0</v>
      </c>
    </row>
    <row r="16" spans="1:7">
      <c r="A16" s="5" t="s">
        <v>86</v>
      </c>
      <c r="B16" s="7">
        <f>VLOOKUP(A16,CM,4,FALSE)</f>
        <v>5407563</v>
      </c>
      <c r="C16" s="7">
        <f>VLOOKUP(A16,CM,5,FALSE)</f>
        <v>365699</v>
      </c>
      <c r="D16" s="7">
        <f>VLOOKUP(A16,DV,2,FALSE)</f>
        <v>5407564</v>
      </c>
      <c r="E16" s="7">
        <f>VLOOKUP(A16,DV,3,FALSE)</f>
        <v>365699</v>
      </c>
      <c r="F16" s="18">
        <f t="shared" si="0"/>
        <v>1.8492618569787567E-7</v>
      </c>
      <c r="G16" s="18">
        <f t="shared" si="1"/>
        <v>0</v>
      </c>
    </row>
    <row r="17" spans="1:7">
      <c r="A17" s="5" t="s">
        <v>88</v>
      </c>
      <c r="B17" s="7">
        <f>VLOOKUP(A17,CM,4,FALSE)</f>
        <v>589904</v>
      </c>
      <c r="C17" s="7">
        <f>VLOOKUP(A17,CM,5,FALSE)</f>
        <v>25302</v>
      </c>
      <c r="D17" s="7">
        <f>VLOOKUP(A17,DV,2,FALSE)</f>
        <v>589903</v>
      </c>
      <c r="E17" s="7">
        <f>VLOOKUP(A17,DV,3,FALSE)</f>
        <v>25302</v>
      </c>
      <c r="F17" s="18">
        <f t="shared" si="0"/>
        <v>-1.695191081951819E-6</v>
      </c>
      <c r="G17" s="18">
        <f t="shared" si="1"/>
        <v>0</v>
      </c>
    </row>
    <row r="18" spans="1:7">
      <c r="A18" s="5" t="s">
        <v>90</v>
      </c>
      <c r="B18" s="7">
        <f>VLOOKUP(A18,CM,4,FALSE)</f>
        <v>235961</v>
      </c>
      <c r="C18" s="7">
        <f>VLOOKUP(A18,CM,5,FALSE)</f>
        <v>8435</v>
      </c>
      <c r="D18" s="7">
        <f>VLOOKUP(A18,DV,2,FALSE)</f>
        <v>235960</v>
      </c>
      <c r="E18" s="7">
        <f>VLOOKUP(A18,DV,3,FALSE)</f>
        <v>8435</v>
      </c>
      <c r="F18" s="18">
        <f t="shared" si="0"/>
        <v>-4.2379884811483137E-6</v>
      </c>
      <c r="G18" s="18">
        <f t="shared" si="1"/>
        <v>0</v>
      </c>
    </row>
    <row r="19" spans="1:7">
      <c r="A19" s="5" t="s">
        <v>91</v>
      </c>
      <c r="B19" s="7">
        <f>VLOOKUP(A19,CM,4,FALSE)</f>
        <v>5324195</v>
      </c>
      <c r="C19" s="7">
        <f>VLOOKUP(A19,CM,5,FALSE)</f>
        <v>28201</v>
      </c>
      <c r="D19" s="7">
        <f>VLOOKUP(A19,DV,2,FALSE)</f>
        <v>5324195</v>
      </c>
      <c r="E19" s="7">
        <f>VLOOKUP(A19,DV,3,FALSE)</f>
        <v>28200</v>
      </c>
      <c r="F19" s="18">
        <f t="shared" si="0"/>
        <v>0</v>
      </c>
      <c r="G19" s="18">
        <f t="shared" si="1"/>
        <v>-3.5459735470366738E-5</v>
      </c>
    </row>
    <row r="20" spans="1:7">
      <c r="A20" s="5" t="s">
        <v>94</v>
      </c>
      <c r="B20" s="7">
        <f>VLOOKUP(A20,CM,4,FALSE)</f>
        <v>776722</v>
      </c>
      <c r="C20" s="7">
        <f>VLOOKUP(A20,CM,5,FALSE)</f>
        <v>5150</v>
      </c>
      <c r="D20" s="7">
        <f>VLOOKUP(A20,DV,2,FALSE)</f>
        <v>776722</v>
      </c>
      <c r="E20" s="7">
        <f>VLOOKUP(A20,DV,3,FALSE)</f>
        <v>5150</v>
      </c>
      <c r="F20" s="18">
        <f t="shared" si="0"/>
        <v>0</v>
      </c>
      <c r="G20" s="18">
        <f t="shared" si="1"/>
        <v>0</v>
      </c>
    </row>
    <row r="21" spans="1:7">
      <c r="A21" s="5" t="s">
        <v>96</v>
      </c>
      <c r="B21" s="7">
        <f>VLOOKUP(A21,CM,4,FALSE)</f>
        <v>41288</v>
      </c>
      <c r="C21" s="7">
        <f>VLOOKUP(A21,CM,5,FALSE)</f>
        <v>107</v>
      </c>
      <c r="D21" s="7">
        <f>VLOOKUP(A21,DV,2,FALSE)</f>
        <v>41288</v>
      </c>
      <c r="E21" s="7">
        <f>VLOOKUP(A21,DV,3,FALSE)</f>
        <v>107</v>
      </c>
      <c r="F21" s="18">
        <f t="shared" si="0"/>
        <v>0</v>
      </c>
      <c r="G21" s="18">
        <f t="shared" si="1"/>
        <v>0</v>
      </c>
    </row>
    <row r="22" spans="1:7">
      <c r="A22" s="5" t="s">
        <v>98</v>
      </c>
      <c r="B22" s="7">
        <f>VLOOKUP(A22,CM,4,FALSE)</f>
        <v>2805560</v>
      </c>
      <c r="C22" s="7">
        <f>VLOOKUP(A22,CM,5,FALSE)</f>
        <v>18596</v>
      </c>
      <c r="D22" s="7">
        <f>VLOOKUP(A22,DV,2,FALSE)</f>
        <v>2805560</v>
      </c>
      <c r="E22" s="7">
        <f>VLOOKUP(A22,DV,3,FALSE)</f>
        <v>18596</v>
      </c>
      <c r="F22" s="18">
        <f t="shared" si="0"/>
        <v>0</v>
      </c>
      <c r="G22" s="18">
        <f t="shared" si="1"/>
        <v>0</v>
      </c>
    </row>
    <row r="23" spans="1:7">
      <c r="A23" s="5" t="s">
        <v>100</v>
      </c>
      <c r="B23" s="7">
        <f>VLOOKUP(A23,CM,4,FALSE)</f>
        <v>223077</v>
      </c>
      <c r="C23" s="7">
        <f>VLOOKUP(A23,CM,5,FALSE)</f>
        <v>383</v>
      </c>
      <c r="D23" s="7">
        <f>VLOOKUP(A23,DV,2,FALSE)</f>
        <v>223076</v>
      </c>
      <c r="E23" s="7">
        <f>VLOOKUP(A23,DV,3,FALSE)</f>
        <v>383</v>
      </c>
      <c r="F23" s="18">
        <f t="shared" si="0"/>
        <v>-4.48275707487511E-6</v>
      </c>
      <c r="G23" s="18">
        <f t="shared" si="1"/>
        <v>0</v>
      </c>
    </row>
    <row r="24" spans="1:7">
      <c r="A24" s="5" t="s">
        <v>102</v>
      </c>
      <c r="B24" s="7">
        <f>VLOOKUP(A24,CM,4,FALSE)</f>
        <v>414677</v>
      </c>
      <c r="C24" s="7">
        <f>VLOOKUP(A24,CM,5,FALSE)</f>
        <v>856</v>
      </c>
      <c r="D24" s="7">
        <f>VLOOKUP(A24,DV,2,FALSE)</f>
        <v>414676</v>
      </c>
      <c r="E24" s="7">
        <f>VLOOKUP(A24,DV,3,FALSE)</f>
        <v>856</v>
      </c>
      <c r="F24" s="18">
        <f t="shared" si="0"/>
        <v>-2.4115154686477069E-6</v>
      </c>
      <c r="G24" s="18">
        <f t="shared" si="1"/>
        <v>0</v>
      </c>
    </row>
    <row r="25" spans="1:7">
      <c r="A25" s="5" t="s">
        <v>103</v>
      </c>
      <c r="B25" s="7">
        <f>VLOOKUP(A25,CM,4,FALSE)</f>
        <v>6245203</v>
      </c>
      <c r="C25" s="7">
        <f>VLOOKUP(A25,CM,5,FALSE)</f>
        <v>242479</v>
      </c>
      <c r="D25" s="7">
        <f>VLOOKUP(A25,DV,2,FALSE)</f>
        <v>6245202</v>
      </c>
      <c r="E25" s="7">
        <f>VLOOKUP(A25,DV,3,FALSE)</f>
        <v>242478</v>
      </c>
      <c r="F25" s="18">
        <f t="shared" si="0"/>
        <v>-1.6012289749678388E-7</v>
      </c>
      <c r="G25" s="18">
        <f t="shared" si="1"/>
        <v>-4.1240684760524005E-6</v>
      </c>
    </row>
    <row r="26" spans="1:7">
      <c r="A26" s="5" t="s">
        <v>105</v>
      </c>
      <c r="B26" s="7">
        <f>VLOOKUP(A26,CM,4,FALSE)</f>
        <v>303627</v>
      </c>
      <c r="C26" s="7">
        <f>VLOOKUP(A26,CM,5,FALSE)</f>
        <v>16645</v>
      </c>
      <c r="D26" s="7">
        <f>VLOOKUP(A26,DV,2,FALSE)</f>
        <v>303626</v>
      </c>
      <c r="E26" s="7">
        <f>VLOOKUP(A26,DV,3,FALSE)</f>
        <v>16644</v>
      </c>
      <c r="F26" s="18">
        <f t="shared" si="0"/>
        <v>-3.2935147401547127E-6</v>
      </c>
      <c r="G26" s="18">
        <f t="shared" si="1"/>
        <v>-6.0078101531968464E-5</v>
      </c>
    </row>
    <row r="27" spans="1:7">
      <c r="A27" s="5" t="s">
        <v>107</v>
      </c>
      <c r="B27" s="7">
        <f>VLOOKUP(A27,CM,4,FALSE)</f>
        <v>809443</v>
      </c>
      <c r="C27" s="7">
        <f>VLOOKUP(A27,CM,5,FALSE)</f>
        <v>14400</v>
      </c>
      <c r="D27" s="7">
        <f>VLOOKUP(A27,DV,2,FALSE)</f>
        <v>809443</v>
      </c>
      <c r="E27" s="7">
        <f>VLOOKUP(A27,DV,3,FALSE)</f>
        <v>14400</v>
      </c>
      <c r="F27" s="18">
        <f t="shared" si="0"/>
        <v>0</v>
      </c>
      <c r="G27" s="18">
        <f t="shared" si="1"/>
        <v>0</v>
      </c>
    </row>
    <row r="28" spans="1:7">
      <c r="A28" s="5" t="s">
        <v>109</v>
      </c>
      <c r="B28" s="7">
        <f>VLOOKUP(A28,CM,4,FALSE)</f>
        <v>1135205</v>
      </c>
      <c r="C28" s="7">
        <f>VLOOKUP(A28,CM,5,FALSE)</f>
        <v>27481</v>
      </c>
      <c r="D28" s="7">
        <f>VLOOKUP(A28,DV,2,FALSE)</f>
        <v>1135205</v>
      </c>
      <c r="E28" s="7">
        <f>VLOOKUP(A28,DV,3,FALSE)</f>
        <v>27481</v>
      </c>
      <c r="F28" s="18">
        <f t="shared" si="0"/>
        <v>0</v>
      </c>
      <c r="G28" s="18">
        <f t="shared" si="1"/>
        <v>0</v>
      </c>
    </row>
    <row r="29" spans="1:7">
      <c r="A29" s="5" t="s">
        <v>111</v>
      </c>
      <c r="B29" s="7">
        <f>VLOOKUP(A29,CM,4,FALSE)</f>
        <v>5783654</v>
      </c>
      <c r="C29" s="7">
        <f>VLOOKUP(A29,CM,5,FALSE)</f>
        <v>7536</v>
      </c>
      <c r="D29" s="7">
        <f>VLOOKUP(A29,DV,2,FALSE)</f>
        <v>5783656</v>
      </c>
      <c r="E29" s="7">
        <f>VLOOKUP(A29,DV,3,FALSE)</f>
        <v>7535</v>
      </c>
      <c r="F29" s="18">
        <f t="shared" si="0"/>
        <v>3.4580215202417719E-7</v>
      </c>
      <c r="G29" s="18">
        <f t="shared" si="1"/>
        <v>-1.3269639065816019E-4</v>
      </c>
    </row>
    <row r="30" spans="1:7">
      <c r="A30" s="5" t="s">
        <v>114</v>
      </c>
      <c r="B30" s="7">
        <f>VLOOKUP(A30,CM,4,FALSE)</f>
        <v>323784</v>
      </c>
      <c r="C30" s="7">
        <f>VLOOKUP(A30,CM,5,FALSE)</f>
        <v>778</v>
      </c>
      <c r="D30" s="7">
        <f>VLOOKUP(A30,DV,2,FALSE)</f>
        <v>323784</v>
      </c>
      <c r="E30" s="7">
        <f>VLOOKUP(A30,DV,3,FALSE)</f>
        <v>778</v>
      </c>
      <c r="F30" s="18">
        <f t="shared" si="0"/>
        <v>0</v>
      </c>
      <c r="G30" s="18">
        <f t="shared" si="1"/>
        <v>0</v>
      </c>
    </row>
    <row r="31" spans="1:7">
      <c r="A31" s="5" t="s">
        <v>116</v>
      </c>
      <c r="B31" s="7">
        <f>VLOOKUP(A31,CM,4,FALSE)</f>
        <v>148665</v>
      </c>
      <c r="C31" s="7">
        <f>VLOOKUP(A31,CM,5,FALSE)</f>
        <v>565</v>
      </c>
      <c r="D31" s="7">
        <f>VLOOKUP(A31,DV,2,FALSE)</f>
        <v>148665</v>
      </c>
      <c r="E31" s="7">
        <f>VLOOKUP(A31,DV,3,FALSE)</f>
        <v>565</v>
      </c>
      <c r="F31" s="18">
        <f t="shared" si="0"/>
        <v>0</v>
      </c>
      <c r="G31" s="18">
        <f t="shared" si="1"/>
        <v>0</v>
      </c>
    </row>
    <row r="32" spans="1:7">
      <c r="A32" s="5" t="s">
        <v>118</v>
      </c>
      <c r="B32" s="7">
        <f>VLOOKUP(A32,CM,4,FALSE)</f>
        <v>2532804</v>
      </c>
      <c r="C32" s="7">
        <f>VLOOKUP(A32,CM,5,FALSE)</f>
        <v>6910</v>
      </c>
      <c r="D32" s="7">
        <f>VLOOKUP(A32,DV,2,FALSE)</f>
        <v>2532804</v>
      </c>
      <c r="E32" s="7">
        <f>VLOOKUP(A32,DV,3,FALSE)</f>
        <v>6910</v>
      </c>
      <c r="F32" s="18">
        <f t="shared" si="0"/>
        <v>0</v>
      </c>
      <c r="G32" s="18">
        <f t="shared" si="1"/>
        <v>0</v>
      </c>
    </row>
    <row r="33" spans="1:7">
      <c r="A33" s="5" t="s">
        <v>120</v>
      </c>
      <c r="B33" s="7">
        <f>VLOOKUP(A33,CM,4,FALSE)</f>
        <v>143307</v>
      </c>
      <c r="C33" s="7">
        <f>VLOOKUP(A33,CM,5,FALSE)</f>
        <v>563</v>
      </c>
      <c r="D33" s="7">
        <f>VLOOKUP(A33,DV,2,FALSE)</f>
        <v>143306</v>
      </c>
      <c r="E33" s="7">
        <f>VLOOKUP(A33,DV,3,FALSE)</f>
        <v>563</v>
      </c>
      <c r="F33" s="18">
        <f t="shared" si="0"/>
        <v>-6.9780261955365575E-6</v>
      </c>
      <c r="G33" s="18">
        <f t="shared" si="1"/>
        <v>0</v>
      </c>
    </row>
    <row r="34" spans="1:7">
      <c r="A34" s="5" t="s">
        <v>122</v>
      </c>
      <c r="B34" s="7">
        <f>VLOOKUP(A34,CM,4,FALSE)</f>
        <v>264704</v>
      </c>
      <c r="C34" s="7">
        <f>VLOOKUP(A34,CM,5,FALSE)</f>
        <v>1056</v>
      </c>
      <c r="D34" s="7">
        <f>VLOOKUP(A34,DV,2,FALSE)</f>
        <v>264703</v>
      </c>
      <c r="E34" s="7">
        <f>VLOOKUP(A34,DV,3,FALSE)</f>
        <v>1056</v>
      </c>
      <c r="F34" s="18">
        <f t="shared" si="0"/>
        <v>-3.7778046421133027E-6</v>
      </c>
      <c r="G34" s="18">
        <f t="shared" si="1"/>
        <v>0</v>
      </c>
    </row>
    <row r="35" spans="1:7">
      <c r="A35" s="5" t="s">
        <v>123</v>
      </c>
      <c r="B35" s="7">
        <f>VLOOKUP(A35,CM,4,FALSE)</f>
        <v>13498206</v>
      </c>
      <c r="C35" s="7">
        <f>VLOOKUP(A35,CM,5,FALSE)</f>
        <v>44710</v>
      </c>
      <c r="D35" s="7">
        <f>VLOOKUP(A35,DV,2,FALSE)</f>
        <v>13498207</v>
      </c>
      <c r="E35" s="7">
        <f>VLOOKUP(A35,DV,3,FALSE)</f>
        <v>44709</v>
      </c>
      <c r="F35" s="18">
        <f t="shared" si="0"/>
        <v>7.4083918999434673E-8</v>
      </c>
      <c r="G35" s="18">
        <f t="shared" si="1"/>
        <v>-2.236636099306466E-5</v>
      </c>
    </row>
    <row r="36" spans="1:7">
      <c r="A36" s="5" t="s">
        <v>126</v>
      </c>
      <c r="B36" s="7">
        <f>VLOOKUP(A36,CM,4,FALSE)</f>
        <v>1196218</v>
      </c>
      <c r="C36" s="7">
        <f>VLOOKUP(A36,CM,5,FALSE)</f>
        <v>5866</v>
      </c>
      <c r="D36" s="7">
        <f>VLOOKUP(A36,DV,2,FALSE)</f>
        <v>1196218</v>
      </c>
      <c r="E36" s="7">
        <f>VLOOKUP(A36,DV,3,FALSE)</f>
        <v>5866</v>
      </c>
      <c r="F36" s="18">
        <f t="shared" si="0"/>
        <v>0</v>
      </c>
      <c r="G36" s="18">
        <f t="shared" si="1"/>
        <v>0</v>
      </c>
    </row>
    <row r="37" spans="1:7">
      <c r="A37" s="5" t="s">
        <v>128</v>
      </c>
      <c r="B37" s="7">
        <f>VLOOKUP(A37,CM,4,FALSE)</f>
        <v>164163</v>
      </c>
      <c r="C37" s="7">
        <f>VLOOKUP(A37,CM,5,FALSE)</f>
        <v>297</v>
      </c>
      <c r="D37" s="7">
        <f>VLOOKUP(A37,DV,2,FALSE)</f>
        <v>164163</v>
      </c>
      <c r="E37" s="7">
        <f>VLOOKUP(A37,DV,3,FALSE)</f>
        <v>297</v>
      </c>
      <c r="F37" s="18">
        <f t="shared" si="0"/>
        <v>0</v>
      </c>
      <c r="G37" s="18">
        <f t="shared" si="1"/>
        <v>0</v>
      </c>
    </row>
    <row r="38" spans="1:7">
      <c r="A38" s="5" t="s">
        <v>130</v>
      </c>
      <c r="B38" s="7">
        <f>VLOOKUP(A38,CM,4,FALSE)</f>
        <v>5548683</v>
      </c>
      <c r="C38" s="7">
        <f>VLOOKUP(A38,CM,5,FALSE)</f>
        <v>32391</v>
      </c>
      <c r="D38" s="7">
        <f>VLOOKUP(A38,DV,2,FALSE)</f>
        <v>5548684</v>
      </c>
      <c r="E38" s="7">
        <f>VLOOKUP(A38,DV,3,FALSE)</f>
        <v>32391</v>
      </c>
      <c r="F38" s="18">
        <f t="shared" si="0"/>
        <v>1.8022294656638849E-7</v>
      </c>
      <c r="G38" s="18">
        <f t="shared" si="1"/>
        <v>0</v>
      </c>
    </row>
    <row r="39" spans="1:7">
      <c r="A39" s="5" t="s">
        <v>132</v>
      </c>
      <c r="B39" s="7">
        <f>VLOOKUP(A39,CM,4,FALSE)</f>
        <v>995934</v>
      </c>
      <c r="C39" s="7">
        <f>VLOOKUP(A39,CM,5,FALSE)</f>
        <v>3615</v>
      </c>
      <c r="D39" s="7">
        <f>VLOOKUP(A39,DV,2,FALSE)</f>
        <v>995934</v>
      </c>
      <c r="E39" s="7">
        <f>VLOOKUP(A39,DV,3,FALSE)</f>
        <v>3615</v>
      </c>
      <c r="F39" s="18">
        <f t="shared" si="0"/>
        <v>0</v>
      </c>
      <c r="G39" s="18">
        <f t="shared" si="1"/>
        <v>0</v>
      </c>
    </row>
    <row r="40" spans="1:7">
      <c r="A40" s="5" t="s">
        <v>134</v>
      </c>
      <c r="B40" s="7">
        <f>VLOOKUP(A40,CM,4,FALSE)</f>
        <v>1860010</v>
      </c>
      <c r="C40" s="7">
        <f>VLOOKUP(A40,CM,5,FALSE)</f>
        <v>16440</v>
      </c>
      <c r="D40" s="7">
        <f>VLOOKUP(A40,DV,2,FALSE)</f>
        <v>1860009</v>
      </c>
      <c r="E40" s="7">
        <f>VLOOKUP(A40,DV,3,FALSE)</f>
        <v>16440</v>
      </c>
      <c r="F40" s="18">
        <f t="shared" si="0"/>
        <v>-5.3763151808272625E-7</v>
      </c>
      <c r="G40" s="18">
        <f t="shared" si="1"/>
        <v>0</v>
      </c>
    </row>
    <row r="41" spans="1:7">
      <c r="A41" s="5" t="s">
        <v>135</v>
      </c>
      <c r="B41" s="7">
        <f>VLOOKUP(A41,CM,4,FALSE)</f>
        <v>30450395</v>
      </c>
      <c r="C41" s="7">
        <f>VLOOKUP(A41,CM,5,FALSE)</f>
        <v>175778</v>
      </c>
      <c r="D41" s="7">
        <f>VLOOKUP(A41,DV,2,FALSE)</f>
        <v>30450397</v>
      </c>
      <c r="E41" s="7">
        <f>VLOOKUP(A41,DV,3,FALSE)</f>
        <v>175777</v>
      </c>
      <c r="F41" s="18">
        <f t="shared" si="0"/>
        <v>6.5680592964412199E-8</v>
      </c>
      <c r="G41" s="18">
        <f t="shared" si="1"/>
        <v>-5.6889940720505905E-6</v>
      </c>
    </row>
    <row r="42" spans="1:7">
      <c r="A42" s="5" t="s">
        <v>138</v>
      </c>
      <c r="B42" s="7">
        <f>VLOOKUP(A42,CM,4,FALSE)</f>
        <v>6777044</v>
      </c>
      <c r="C42" s="7">
        <f>VLOOKUP(A42,CM,5,FALSE)</f>
        <v>59671</v>
      </c>
      <c r="D42" s="7">
        <f>VLOOKUP(A42,DV,2,FALSE)</f>
        <v>6777044</v>
      </c>
      <c r="E42" s="7">
        <f>VLOOKUP(A42,DV,3,FALSE)</f>
        <v>59671</v>
      </c>
      <c r="F42" s="18">
        <f t="shared" si="0"/>
        <v>0</v>
      </c>
      <c r="G42" s="18">
        <f t="shared" si="1"/>
        <v>0</v>
      </c>
    </row>
    <row r="43" spans="1:7">
      <c r="A43" s="5" t="s">
        <v>140</v>
      </c>
      <c r="B43" s="7">
        <f>VLOOKUP(A43,CM,4,FALSE)</f>
        <v>388600</v>
      </c>
      <c r="C43" s="7">
        <f>VLOOKUP(A43,CM,5,FALSE)</f>
        <v>2883</v>
      </c>
      <c r="D43" s="7">
        <f>VLOOKUP(A43,DV,2,FALSE)</f>
        <v>388600</v>
      </c>
      <c r="E43" s="7">
        <f>VLOOKUP(A43,DV,3,FALSE)</f>
        <v>2883</v>
      </c>
      <c r="F43" s="18">
        <f t="shared" si="0"/>
        <v>0</v>
      </c>
      <c r="G43" s="18">
        <f t="shared" si="1"/>
        <v>0</v>
      </c>
    </row>
    <row r="44" spans="1:7">
      <c r="A44" s="5" t="s">
        <v>142</v>
      </c>
      <c r="B44" s="7">
        <f>VLOOKUP(A44,CM,4,FALSE)</f>
        <v>13740776</v>
      </c>
      <c r="C44" s="7">
        <f>VLOOKUP(A44,CM,5,FALSE)</f>
        <v>109098</v>
      </c>
      <c r="D44" s="7">
        <f>VLOOKUP(A44,DV,2,FALSE)</f>
        <v>13740777</v>
      </c>
      <c r="E44" s="7">
        <f>VLOOKUP(A44,DV,3,FALSE)</f>
        <v>109098</v>
      </c>
      <c r="F44" s="18">
        <f t="shared" si="0"/>
        <v>7.2776093595905422E-8</v>
      </c>
      <c r="G44" s="18">
        <f t="shared" si="1"/>
        <v>0</v>
      </c>
    </row>
    <row r="45" spans="1:7">
      <c r="A45" s="5" t="s">
        <v>144</v>
      </c>
      <c r="B45" s="7">
        <f>VLOOKUP(A45,CM,4,FALSE)</f>
        <v>3296901</v>
      </c>
      <c r="C45" s="7">
        <f>VLOOKUP(A45,CM,5,FALSE)</f>
        <v>12957</v>
      </c>
      <c r="D45" s="7">
        <f>VLOOKUP(A45,DV,2,FALSE)</f>
        <v>3296901</v>
      </c>
      <c r="E45" s="7">
        <f>VLOOKUP(A45,DV,3,FALSE)</f>
        <v>12957</v>
      </c>
      <c r="F45" s="18">
        <f t="shared" si="0"/>
        <v>0</v>
      </c>
      <c r="G45" s="18">
        <f t="shared" si="1"/>
        <v>0</v>
      </c>
    </row>
    <row r="46" spans="1:7">
      <c r="A46" s="5" t="s">
        <v>146</v>
      </c>
      <c r="B46" s="7">
        <f>VLOOKUP(A46,CM,4,FALSE)</f>
        <v>3282080</v>
      </c>
      <c r="C46" s="7">
        <f>VLOOKUP(A46,CM,5,FALSE)</f>
        <v>11736</v>
      </c>
      <c r="D46" s="7">
        <f>VLOOKUP(A46,DV,2,FALSE)</f>
        <v>3282079</v>
      </c>
      <c r="E46" s="7">
        <f>VLOOKUP(A46,DV,3,FALSE)</f>
        <v>11736</v>
      </c>
      <c r="F46" s="18">
        <f t="shared" si="0"/>
        <v>-3.046848340293451E-7</v>
      </c>
      <c r="G46" s="18">
        <f t="shared" si="1"/>
        <v>0</v>
      </c>
    </row>
    <row r="47" spans="1:7">
      <c r="A47" s="5" t="s">
        <v>147</v>
      </c>
      <c r="B47" s="7">
        <f>VLOOKUP(A47,CM,4,FALSE)</f>
        <v>1841737</v>
      </c>
      <c r="C47" s="7">
        <f>VLOOKUP(A47,CM,5,FALSE)</f>
        <v>861</v>
      </c>
      <c r="D47" s="7">
        <f>VLOOKUP(A47,DV,2,FALSE)</f>
        <v>1841736</v>
      </c>
      <c r="E47" s="7">
        <f>VLOOKUP(A47,DV,3,FALSE)</f>
        <v>860</v>
      </c>
      <c r="F47" s="18">
        <f t="shared" si="0"/>
        <v>-5.4296568940959133E-7</v>
      </c>
      <c r="G47" s="18">
        <f t="shared" si="1"/>
        <v>-1.1614401858304202E-3</v>
      </c>
    </row>
    <row r="48" spans="1:7">
      <c r="A48" s="5" t="s">
        <v>149</v>
      </c>
      <c r="B48" s="7">
        <f>VLOOKUP(A48,CM,4,FALSE)</f>
        <v>53351</v>
      </c>
      <c r="C48" s="7">
        <f>VLOOKUP(A48,CM,5,FALSE)</f>
        <v>32</v>
      </c>
      <c r="D48" s="7">
        <f>VLOOKUP(A48,DV,2,FALSE)</f>
        <v>53351</v>
      </c>
      <c r="E48" s="7">
        <f>VLOOKUP(A48,DV,3,FALSE)</f>
        <v>32</v>
      </c>
      <c r="F48" s="18">
        <f t="shared" si="0"/>
        <v>0</v>
      </c>
      <c r="G48" s="18">
        <f t="shared" si="1"/>
        <v>0</v>
      </c>
    </row>
    <row r="49" spans="1:7">
      <c r="A49" s="5" t="s">
        <v>151</v>
      </c>
      <c r="B49" s="7">
        <f>VLOOKUP(A49,CM,4,FALSE)</f>
        <v>33158</v>
      </c>
      <c r="C49" s="7">
        <f>VLOOKUP(A49,CM,5,FALSE)</f>
        <v>9</v>
      </c>
      <c r="D49" s="7">
        <f>VLOOKUP(A49,DV,2,FALSE)</f>
        <v>33158</v>
      </c>
      <c r="E49" s="7">
        <f>VLOOKUP(A49,DV,3,FALSE)</f>
        <v>9</v>
      </c>
      <c r="F49" s="18">
        <f t="shared" si="0"/>
        <v>0</v>
      </c>
      <c r="G49" s="18">
        <f t="shared" si="1"/>
        <v>0</v>
      </c>
    </row>
    <row r="50" spans="1:7">
      <c r="A50" s="5" t="s">
        <v>153</v>
      </c>
      <c r="B50" s="7">
        <f>VLOOKUP(A50,CM,4,FALSE)</f>
        <v>2123394</v>
      </c>
      <c r="C50" s="7">
        <f>VLOOKUP(A50,CM,5,FALSE)</f>
        <v>916</v>
      </c>
      <c r="D50" s="7">
        <f>VLOOKUP(A50,DV,2,FALSE)</f>
        <v>2123394</v>
      </c>
      <c r="E50" s="7">
        <f>VLOOKUP(A50,DV,3,FALSE)</f>
        <v>916</v>
      </c>
      <c r="F50" s="18">
        <f t="shared" si="0"/>
        <v>0</v>
      </c>
      <c r="G50" s="18">
        <f t="shared" si="1"/>
        <v>0</v>
      </c>
    </row>
    <row r="51" spans="1:7">
      <c r="A51" s="5" t="s">
        <v>155</v>
      </c>
      <c r="B51" s="7">
        <f>VLOOKUP(A51,CM,4,FALSE)</f>
        <v>56573</v>
      </c>
      <c r="C51" s="7">
        <f>VLOOKUP(A51,CM,5,FALSE)</f>
        <v>41</v>
      </c>
      <c r="D51" s="7">
        <f>VLOOKUP(A51,DV,2,FALSE)</f>
        <v>56572</v>
      </c>
      <c r="E51" s="7">
        <f>VLOOKUP(A51,DV,3,FALSE)</f>
        <v>41</v>
      </c>
      <c r="F51" s="18">
        <f t="shared" si="0"/>
        <v>-1.7676276669043034E-5</v>
      </c>
      <c r="G51" s="18">
        <f t="shared" si="1"/>
        <v>0</v>
      </c>
    </row>
    <row r="52" spans="1:7">
      <c r="A52" s="5" t="s">
        <v>157</v>
      </c>
      <c r="B52" s="7">
        <f>VLOOKUP(A52,CM,4,FALSE)</f>
        <v>43648</v>
      </c>
      <c r="C52" s="7">
        <f>VLOOKUP(A52,CM,5,FALSE)</f>
        <v>33</v>
      </c>
      <c r="D52" s="7">
        <f>VLOOKUP(A52,DV,2,FALSE)</f>
        <v>43647</v>
      </c>
      <c r="E52" s="7">
        <f>VLOOKUP(A52,DV,3,FALSE)</f>
        <v>33</v>
      </c>
      <c r="F52" s="18">
        <f t="shared" si="0"/>
        <v>-2.2910557184729896E-5</v>
      </c>
      <c r="G52" s="18">
        <f t="shared" si="1"/>
        <v>0</v>
      </c>
    </row>
    <row r="53" spans="1:7">
      <c r="A53" s="5" t="s">
        <v>158</v>
      </c>
      <c r="B53" s="7">
        <f>VLOOKUP(A53,CM,4,FALSE)</f>
        <v>60927</v>
      </c>
      <c r="C53" s="7">
        <f>VLOOKUP(A53,CM,5,FALSE)</f>
        <v>585</v>
      </c>
      <c r="D53" s="7">
        <f>VLOOKUP(A53,DV,2,FALSE)</f>
        <v>60926</v>
      </c>
      <c r="E53" s="7">
        <f>VLOOKUP(A53,DV,3,FALSE)</f>
        <v>584</v>
      </c>
      <c r="F53" s="18">
        <f t="shared" si="0"/>
        <v>-1.6413084510946696E-5</v>
      </c>
      <c r="G53" s="18">
        <f t="shared" si="1"/>
        <v>-1.7094017094017033E-3</v>
      </c>
    </row>
    <row r="54" spans="1:7">
      <c r="A54" s="5" t="s">
        <v>160</v>
      </c>
      <c r="B54" s="7">
        <f>VLOOKUP(A54,CM,4,FALSE)</f>
        <v>49807</v>
      </c>
      <c r="C54" s="7">
        <f>VLOOKUP(A54,CM,5,FALSE)</f>
        <v>93</v>
      </c>
      <c r="D54" s="7">
        <f>VLOOKUP(A54,DV,2,FALSE)</f>
        <v>49807</v>
      </c>
      <c r="E54" s="7">
        <f>VLOOKUP(A54,DV,3,FALSE)</f>
        <v>93</v>
      </c>
      <c r="F54" s="18">
        <f t="shared" si="0"/>
        <v>0</v>
      </c>
      <c r="G54" s="18">
        <f t="shared" si="1"/>
        <v>0</v>
      </c>
    </row>
    <row r="55" spans="1:7">
      <c r="A55" s="5" t="s">
        <v>162</v>
      </c>
      <c r="B55" s="7">
        <f>VLOOKUP(A55,CM,4,FALSE)</f>
        <v>8764</v>
      </c>
      <c r="C55" s="7">
        <f>VLOOKUP(A55,CM,5,FALSE)</f>
        <v>7</v>
      </c>
      <c r="D55" s="7">
        <f>VLOOKUP(A55,DV,2,FALSE)</f>
        <v>8762</v>
      </c>
      <c r="E55" s="7">
        <f>VLOOKUP(A55,DV,3,FALSE)</f>
        <v>6</v>
      </c>
      <c r="F55" s="18">
        <f t="shared" si="0"/>
        <v>-2.2820629849384932E-4</v>
      </c>
      <c r="G55" s="18">
        <f t="shared" si="1"/>
        <v>-0.1428571428571429</v>
      </c>
    </row>
    <row r="56" spans="1:7">
      <c r="A56" s="5" t="s">
        <v>164</v>
      </c>
      <c r="B56" s="7">
        <f>VLOOKUP(A56,CM,4,FALSE)</f>
        <v>72514</v>
      </c>
      <c r="C56" s="7">
        <f>VLOOKUP(A56,CM,5,FALSE)</f>
        <v>655</v>
      </c>
      <c r="D56" s="7">
        <f>VLOOKUP(A56,DV,2,FALSE)</f>
        <v>72513</v>
      </c>
      <c r="E56" s="7">
        <f>VLOOKUP(A56,DV,3,FALSE)</f>
        <v>654</v>
      </c>
      <c r="F56" s="18">
        <f t="shared" si="0"/>
        <v>-1.3790440466676657E-5</v>
      </c>
      <c r="G56" s="18">
        <f t="shared" si="1"/>
        <v>-1.5267175572518665E-3</v>
      </c>
    </row>
    <row r="57" spans="1:7">
      <c r="A57" s="5" t="s">
        <v>166</v>
      </c>
      <c r="B57" s="7">
        <f>VLOOKUP(A57,CM,4,FALSE)</f>
        <v>12108</v>
      </c>
      <c r="C57" s="7">
        <f>VLOOKUP(A57,CM,5,FALSE)</f>
        <v>12</v>
      </c>
      <c r="D57" s="7">
        <f>VLOOKUP(A57,DV,2,FALSE)</f>
        <v>12107</v>
      </c>
      <c r="E57" s="7">
        <f>VLOOKUP(A57,DV,3,FALSE)</f>
        <v>12</v>
      </c>
      <c r="F57" s="18">
        <f t="shared" si="0"/>
        <v>-8.2590023125161949E-5</v>
      </c>
      <c r="G57" s="18">
        <f t="shared" si="1"/>
        <v>0</v>
      </c>
    </row>
    <row r="58" spans="1:7">
      <c r="A58" s="5" t="s">
        <v>168</v>
      </c>
      <c r="B58" s="7">
        <f>VLOOKUP(A58,CM,4,FALSE)</f>
        <v>5532</v>
      </c>
      <c r="C58" s="7">
        <f>VLOOKUP(A58,CM,5,FALSE)</f>
        <v>2</v>
      </c>
      <c r="D58" s="7">
        <f>VLOOKUP(A58,DV,2,FALSE)</f>
        <v>5531</v>
      </c>
      <c r="E58" s="7">
        <f>VLOOKUP(A58,DV,3,FALSE)</f>
        <v>2</v>
      </c>
      <c r="F58" s="18">
        <f t="shared" si="0"/>
        <v>-1.8076644974696077E-4</v>
      </c>
      <c r="G58" s="18">
        <f t="shared" si="1"/>
        <v>0</v>
      </c>
    </row>
    <row r="59" spans="1:7">
      <c r="A59" s="5" t="s">
        <v>169</v>
      </c>
      <c r="B59" s="7">
        <f>VLOOKUP(A59,CM,4,FALSE)</f>
        <v>0</v>
      </c>
      <c r="C59" s="7">
        <f>VLOOKUP(A59,CM,5,FALSE)</f>
        <v>1</v>
      </c>
      <c r="D59" s="7" t="e">
        <f>VLOOKUP(A59,DV,2,FALSE)</f>
        <v>#N/A</v>
      </c>
      <c r="E59" s="7" t="e">
        <f>VLOOKUP(A59,DV,3,FALSE)</f>
        <v>#N/A</v>
      </c>
      <c r="F59" s="18" t="e">
        <f t="shared" si="0"/>
        <v>#N/A</v>
      </c>
      <c r="G59" s="18" t="e">
        <f t="shared" si="1"/>
        <v>#N/A</v>
      </c>
    </row>
    <row r="60" spans="1:7">
      <c r="A60" s="5" t="s">
        <v>170</v>
      </c>
      <c r="B60" s="7">
        <f>VLOOKUP(A60,CM,4,FALSE)</f>
        <v>0</v>
      </c>
      <c r="C60" s="7">
        <f>VLOOKUP(A60,CM,5,FALSE)</f>
        <v>1</v>
      </c>
      <c r="D60" s="7" t="e">
        <f>VLOOKUP(A60,DV,2,FALSE)</f>
        <v>#N/A</v>
      </c>
      <c r="E60" s="7" t="e">
        <f>VLOOKUP(A60,DV,3,FALSE)</f>
        <v>#N/A</v>
      </c>
      <c r="F60" s="18" t="e">
        <f t="shared" si="0"/>
        <v>#N/A</v>
      </c>
      <c r="G60" s="18" t="e">
        <f t="shared" si="1"/>
        <v>#N/A</v>
      </c>
    </row>
    <row r="61" spans="1:7">
      <c r="A61" s="5" t="s">
        <v>171</v>
      </c>
      <c r="B61" s="7">
        <f>VLOOKUP(A61,CM,4,FALSE)</f>
        <v>0</v>
      </c>
      <c r="C61" s="7">
        <f>VLOOKUP(A61,CM,5,FALSE)</f>
        <v>2</v>
      </c>
      <c r="D61" s="7" t="e">
        <f>VLOOKUP(A61,DV,2,FALSE)</f>
        <v>#N/A</v>
      </c>
      <c r="E61" s="7" t="e">
        <f>VLOOKUP(A61,DV,3,FALSE)</f>
        <v>#N/A</v>
      </c>
      <c r="F61" s="18" t="e">
        <f t="shared" si="0"/>
        <v>#N/A</v>
      </c>
      <c r="G61" s="18" t="e">
        <f t="shared" si="1"/>
        <v>#N/A</v>
      </c>
    </row>
    <row r="62" spans="1:7">
      <c r="A62" s="5" t="s">
        <v>172</v>
      </c>
      <c r="B62" s="7">
        <f>VLOOKUP(A62,CM,4,FALSE)</f>
        <v>2</v>
      </c>
      <c r="C62" s="7">
        <f>VLOOKUP(A62,CM,5,FALSE)</f>
        <v>1</v>
      </c>
      <c r="D62" s="7">
        <f>VLOOKUP(A62,DV,2,FALSE)</f>
        <v>1</v>
      </c>
      <c r="E62" s="7">
        <f>VLOOKUP(A62,DV,3,FALSE)</f>
        <v>0</v>
      </c>
      <c r="F62" s="18">
        <f t="shared" si="0"/>
        <v>-0.5</v>
      </c>
      <c r="G62" s="18">
        <f t="shared" si="1"/>
        <v>-1</v>
      </c>
    </row>
    <row r="63" spans="1:7">
      <c r="A63" s="5" t="s">
        <v>174</v>
      </c>
      <c r="B63" s="7">
        <f>VLOOKUP(A63,CM,4,FALSE)</f>
        <v>0</v>
      </c>
      <c r="C63" s="7">
        <f>VLOOKUP(A63,CM,5,FALSE)</f>
        <v>1</v>
      </c>
      <c r="D63" s="7" t="e">
        <f>VLOOKUP(A63,DV,2,FALSE)</f>
        <v>#N/A</v>
      </c>
      <c r="E63" s="7" t="e">
        <f>VLOOKUP(A63,DV,3,FALSE)</f>
        <v>#N/A</v>
      </c>
      <c r="F63" s="18" t="e">
        <f t="shared" si="0"/>
        <v>#N/A</v>
      </c>
      <c r="G63" s="18" t="e">
        <f t="shared" si="1"/>
        <v>#N/A</v>
      </c>
    </row>
    <row r="64" spans="1:7">
      <c r="A64" s="5" t="s">
        <v>175</v>
      </c>
      <c r="B64" s="7">
        <f>VLOOKUP(A64,CM,4,FALSE)</f>
        <v>0</v>
      </c>
      <c r="C64" s="7">
        <f>VLOOKUP(A64,CM,5,FALSE)</f>
        <v>2</v>
      </c>
      <c r="D64" s="7" t="e">
        <f>VLOOKUP(A64,DV,2,FALSE)</f>
        <v>#N/A</v>
      </c>
      <c r="E64" s="7" t="e">
        <f>VLOOKUP(A64,DV,3,FALSE)</f>
        <v>#N/A</v>
      </c>
      <c r="F64" s="18" t="e">
        <f t="shared" si="0"/>
        <v>#N/A</v>
      </c>
      <c r="G64" s="18" t="e">
        <f t="shared" si="1"/>
        <v>#N/A</v>
      </c>
    </row>
    <row r="65" spans="1:7">
      <c r="A65" s="5" t="s">
        <v>176</v>
      </c>
      <c r="B65" s="7">
        <f>VLOOKUP(A65,CM,4,FALSE)</f>
        <v>0</v>
      </c>
      <c r="C65" s="7">
        <f>VLOOKUP(A65,CM,5,FALSE)</f>
        <v>1</v>
      </c>
      <c r="D65" s="7" t="e">
        <f>VLOOKUP(A65,DV,2,FALSE)</f>
        <v>#N/A</v>
      </c>
      <c r="E65" s="7" t="e">
        <f>VLOOKUP(A65,DV,3,FALSE)</f>
        <v>#N/A</v>
      </c>
      <c r="F65" s="18" t="e">
        <f t="shared" si="0"/>
        <v>#N/A</v>
      </c>
      <c r="G65" s="18" t="e">
        <f t="shared" si="1"/>
        <v>#N/A</v>
      </c>
    </row>
    <row r="66" spans="1:7">
      <c r="A66" s="5" t="s">
        <v>177</v>
      </c>
      <c r="B66" s="7">
        <f>VLOOKUP(A66,CM,4,FALSE)</f>
        <v>0</v>
      </c>
      <c r="C66" s="7">
        <f>VLOOKUP(A66,CM,5,FALSE)</f>
        <v>5</v>
      </c>
      <c r="D66" s="7" t="e">
        <f>VLOOKUP(A66,DV,2,FALSE)</f>
        <v>#N/A</v>
      </c>
      <c r="E66" s="7" t="e">
        <f>VLOOKUP(A66,DV,3,FALSE)</f>
        <v>#N/A</v>
      </c>
      <c r="F66" s="18" t="e">
        <f t="shared" si="0"/>
        <v>#N/A</v>
      </c>
      <c r="G66" s="18" t="e">
        <f t="shared" si="1"/>
        <v>#N/A</v>
      </c>
    </row>
    <row r="67" spans="1:7">
      <c r="A67" s="5" t="s">
        <v>285</v>
      </c>
      <c r="B67" s="7">
        <f>VLOOKUP(A67,CM,4,FALSE)</f>
        <v>25985</v>
      </c>
      <c r="C67" s="7">
        <f>VLOOKUP(A67,CM,5,FALSE)</f>
        <v>75</v>
      </c>
      <c r="D67" s="7">
        <f>VLOOKUP(A67,DV,2,FALSE)</f>
        <v>25984</v>
      </c>
      <c r="E67" s="7">
        <f>VLOOKUP(A67,DV,3,FALSE)</f>
        <v>75</v>
      </c>
      <c r="F67" s="18">
        <f t="shared" ref="F67:F93" si="2">(D67/B67)-1</f>
        <v>-3.8483740619543738E-5</v>
      </c>
      <c r="G67" s="18">
        <f t="shared" ref="G67:G93" si="3">(E67/C67)-1</f>
        <v>0</v>
      </c>
    </row>
    <row r="68" spans="1:7">
      <c r="A68" s="5" t="s">
        <v>287</v>
      </c>
      <c r="B68" s="7">
        <f>VLOOKUP(A68,CM,4,FALSE)</f>
        <v>84173</v>
      </c>
      <c r="C68" s="7">
        <f>VLOOKUP(A68,CM,5,FALSE)</f>
        <v>17</v>
      </c>
      <c r="D68" s="7">
        <f>VLOOKUP(A68,DV,2,FALSE)</f>
        <v>84236</v>
      </c>
      <c r="E68" s="7">
        <f>VLOOKUP(A68,DV,3,FALSE)</f>
        <v>17</v>
      </c>
      <c r="F68" s="18">
        <f t="shared" si="2"/>
        <v>7.4845853183314048E-4</v>
      </c>
      <c r="G68" s="18">
        <f t="shared" si="3"/>
        <v>0</v>
      </c>
    </row>
    <row r="69" spans="1:7">
      <c r="A69" s="5" t="s">
        <v>288</v>
      </c>
      <c r="B69" s="7">
        <f>VLOOKUP(A69,CM,4,FALSE)</f>
        <v>98376</v>
      </c>
      <c r="C69" s="7">
        <f>VLOOKUP(A69,CM,5,FALSE)</f>
        <v>122</v>
      </c>
      <c r="D69" s="7">
        <f>VLOOKUP(A69,DV,2,FALSE)</f>
        <v>98439</v>
      </c>
      <c r="E69" s="7">
        <f>VLOOKUP(A69,DV,3,FALSE)</f>
        <v>122</v>
      </c>
      <c r="F69" s="18">
        <f t="shared" si="2"/>
        <v>6.4040009758481453E-4</v>
      </c>
      <c r="G69" s="18">
        <f t="shared" si="3"/>
        <v>0</v>
      </c>
    </row>
    <row r="70" spans="1:7">
      <c r="A70" s="5" t="s">
        <v>289</v>
      </c>
      <c r="B70" s="7">
        <f>VLOOKUP(A70,CM,4,FALSE)</f>
        <v>47320</v>
      </c>
      <c r="C70" s="7">
        <f>VLOOKUP(A70,CM,5,FALSE)</f>
        <v>1478</v>
      </c>
      <c r="D70" s="7">
        <f>VLOOKUP(A70,DV,2,FALSE)</f>
        <v>47343</v>
      </c>
      <c r="E70" s="7">
        <f>VLOOKUP(A70,DV,3,FALSE)</f>
        <v>1478</v>
      </c>
      <c r="F70" s="18">
        <f t="shared" si="2"/>
        <v>4.8605240912924508E-4</v>
      </c>
      <c r="G70" s="18">
        <f t="shared" si="3"/>
        <v>0</v>
      </c>
    </row>
    <row r="71" spans="1:7">
      <c r="A71" s="5" t="s">
        <v>302</v>
      </c>
      <c r="B71" s="7">
        <f>VLOOKUP(A71,CM,4,FALSE)</f>
        <v>74265</v>
      </c>
      <c r="C71" s="7">
        <f>VLOOKUP(A71,CM,5,FALSE)</f>
        <v>1517</v>
      </c>
      <c r="D71" s="7">
        <f>VLOOKUP(A71,DV,2,FALSE)</f>
        <v>74267</v>
      </c>
      <c r="E71" s="7">
        <f>VLOOKUP(A71,DV,3,FALSE)</f>
        <v>1517</v>
      </c>
      <c r="F71" s="18">
        <f t="shared" si="2"/>
        <v>2.6930586413564939E-5</v>
      </c>
      <c r="G71" s="18">
        <f t="shared" si="3"/>
        <v>0</v>
      </c>
    </row>
    <row r="72" spans="1:7">
      <c r="A72" s="5" t="s">
        <v>304</v>
      </c>
      <c r="B72" s="7">
        <f>VLOOKUP(A72,CM,4,FALSE)</f>
        <v>190904</v>
      </c>
      <c r="C72" s="7">
        <f>VLOOKUP(A72,CM,5,FALSE)</f>
        <v>1020</v>
      </c>
      <c r="D72" s="7">
        <f>VLOOKUP(A72,DV,2,FALSE)</f>
        <v>190923</v>
      </c>
      <c r="E72" s="7">
        <f>VLOOKUP(A72,DV,3,FALSE)</f>
        <v>1020</v>
      </c>
      <c r="F72" s="18">
        <f t="shared" si="2"/>
        <v>9.9526463562815692E-5</v>
      </c>
      <c r="G72" s="18">
        <f t="shared" si="3"/>
        <v>0</v>
      </c>
    </row>
    <row r="73" spans="1:7">
      <c r="A73" s="5" t="s">
        <v>306</v>
      </c>
      <c r="B73" s="7">
        <f>VLOOKUP(A73,CM,4,FALSE)</f>
        <v>313292</v>
      </c>
      <c r="C73" s="7">
        <f>VLOOKUP(A73,CM,5,FALSE)</f>
        <v>821</v>
      </c>
      <c r="D73" s="7">
        <f>VLOOKUP(A73,DV,2,FALSE)</f>
        <v>313403</v>
      </c>
      <c r="E73" s="7">
        <f>VLOOKUP(A73,DV,3,FALSE)</f>
        <v>821</v>
      </c>
      <c r="F73" s="18">
        <f t="shared" si="2"/>
        <v>3.5430205686703964E-4</v>
      </c>
      <c r="G73" s="18">
        <f t="shared" si="3"/>
        <v>0</v>
      </c>
    </row>
    <row r="74" spans="1:7">
      <c r="A74" s="5" t="s">
        <v>308</v>
      </c>
      <c r="B74" s="7">
        <f>VLOOKUP(A74,CM,4,FALSE)</f>
        <v>198618</v>
      </c>
      <c r="C74" s="7">
        <f>VLOOKUP(A74,CM,5,FALSE)</f>
        <v>674</v>
      </c>
      <c r="D74" s="7">
        <f>VLOOKUP(A74,DV,2,FALSE)</f>
        <v>198656</v>
      </c>
      <c r="E74" s="7">
        <f>VLOOKUP(A74,DV,3,FALSE)</f>
        <v>674</v>
      </c>
      <c r="F74" s="18">
        <f t="shared" si="2"/>
        <v>1.9132203526361913E-4</v>
      </c>
      <c r="G74" s="18">
        <f t="shared" si="3"/>
        <v>0</v>
      </c>
    </row>
    <row r="75" spans="1:7">
      <c r="A75" s="5" t="s">
        <v>310</v>
      </c>
      <c r="B75" s="7">
        <f>VLOOKUP(A75,CM,4,FALSE)</f>
        <v>35817</v>
      </c>
      <c r="C75" s="7">
        <f>VLOOKUP(A75,CM,5,FALSE)</f>
        <v>141</v>
      </c>
      <c r="D75" s="7">
        <f>VLOOKUP(A75,DV,2,FALSE)</f>
        <v>35827</v>
      </c>
      <c r="E75" s="7">
        <f>VLOOKUP(A75,DV,3,FALSE)</f>
        <v>141</v>
      </c>
      <c r="F75" s="18">
        <f t="shared" si="2"/>
        <v>2.7919702934364743E-4</v>
      </c>
      <c r="G75" s="18">
        <f t="shared" si="3"/>
        <v>0</v>
      </c>
    </row>
    <row r="76" spans="1:7">
      <c r="A76" s="5" t="s">
        <v>312</v>
      </c>
      <c r="B76" s="7">
        <f>VLOOKUP(A76,CM,4,FALSE)</f>
        <v>262613</v>
      </c>
      <c r="C76" s="7">
        <f>VLOOKUP(A76,CM,5,FALSE)</f>
        <v>1200</v>
      </c>
      <c r="D76" s="7">
        <f>VLOOKUP(A76,DV,2,FALSE)</f>
        <v>262691</v>
      </c>
      <c r="E76" s="7">
        <f>VLOOKUP(A76,DV,3,FALSE)</f>
        <v>1200</v>
      </c>
      <c r="F76" s="18">
        <f t="shared" si="2"/>
        <v>2.9701499925738339E-4</v>
      </c>
      <c r="G76" s="18">
        <f t="shared" si="3"/>
        <v>0</v>
      </c>
    </row>
    <row r="77" spans="1:7">
      <c r="A77" s="5" t="s">
        <v>314</v>
      </c>
      <c r="B77" s="7">
        <f>VLOOKUP(A77,CM,4,FALSE)</f>
        <v>265083</v>
      </c>
      <c r="C77" s="7">
        <f>VLOOKUP(A77,CM,5,FALSE)</f>
        <v>779</v>
      </c>
      <c r="D77" s="7">
        <f>VLOOKUP(A77,DV,2,FALSE)</f>
        <v>265184</v>
      </c>
      <c r="E77" s="7">
        <f>VLOOKUP(A77,DV,3,FALSE)</f>
        <v>779</v>
      </c>
      <c r="F77" s="18">
        <f t="shared" si="2"/>
        <v>3.8101273940616132E-4</v>
      </c>
      <c r="G77" s="18">
        <f t="shared" si="3"/>
        <v>0</v>
      </c>
    </row>
    <row r="78" spans="1:7">
      <c r="A78" s="5" t="s">
        <v>316</v>
      </c>
      <c r="B78" s="7">
        <f>VLOOKUP(A78,CM,4,FALSE)</f>
        <v>206708</v>
      </c>
      <c r="C78" s="7">
        <f>VLOOKUP(A78,CM,5,FALSE)</f>
        <v>767</v>
      </c>
      <c r="D78" s="7">
        <f>VLOOKUP(A78,DV,2,FALSE)</f>
        <v>206727</v>
      </c>
      <c r="E78" s="7">
        <f>VLOOKUP(A78,DV,3,FALSE)</f>
        <v>767</v>
      </c>
      <c r="F78" s="18">
        <f t="shared" si="2"/>
        <v>9.1917100450977784E-5</v>
      </c>
      <c r="G78" s="18">
        <f t="shared" si="3"/>
        <v>0</v>
      </c>
    </row>
    <row r="79" spans="1:7">
      <c r="A79" s="5" t="s">
        <v>390</v>
      </c>
      <c r="B79" s="7">
        <f>VLOOKUP(A79,CM,4,FALSE)</f>
        <v>0</v>
      </c>
      <c r="C79" s="7">
        <f>VLOOKUP(A79,CM,5,FALSE)</f>
        <v>1</v>
      </c>
      <c r="D79" s="7" t="e">
        <f>VLOOKUP(A79,DV,2,FALSE)</f>
        <v>#N/A</v>
      </c>
      <c r="E79" s="7" t="e">
        <f>VLOOKUP(A79,DV,3,FALSE)</f>
        <v>#N/A</v>
      </c>
      <c r="F79" s="18" t="e">
        <f t="shared" si="2"/>
        <v>#N/A</v>
      </c>
      <c r="G79" s="18" t="e">
        <f t="shared" si="3"/>
        <v>#N/A</v>
      </c>
    </row>
    <row r="80" spans="1:7">
      <c r="A80" s="5" t="s">
        <v>391</v>
      </c>
      <c r="B80" s="7">
        <f>VLOOKUP(A80,CM,4,FALSE)</f>
        <v>0</v>
      </c>
      <c r="C80" s="7">
        <f>VLOOKUP(A80,CM,5,FALSE)</f>
        <v>7</v>
      </c>
      <c r="D80" s="7" t="e">
        <f>VLOOKUP(A80,DV,2,FALSE)</f>
        <v>#N/A</v>
      </c>
      <c r="E80" s="7" t="e">
        <f>VLOOKUP(A80,DV,3,FALSE)</f>
        <v>#N/A</v>
      </c>
      <c r="F80" s="18" t="e">
        <f t="shared" si="2"/>
        <v>#N/A</v>
      </c>
      <c r="G80" s="18" t="e">
        <f t="shared" si="3"/>
        <v>#N/A</v>
      </c>
    </row>
    <row r="81" spans="1:7">
      <c r="A81" s="5" t="s">
        <v>415</v>
      </c>
      <c r="B81" s="7">
        <f>VLOOKUP(A81,CM,4,FALSE)</f>
        <v>0</v>
      </c>
      <c r="C81" s="7">
        <f>VLOOKUP(A81,CM,5,FALSE)</f>
        <v>1</v>
      </c>
      <c r="D81" s="7" t="e">
        <f>VLOOKUP(A81,DV,2,FALSE)</f>
        <v>#N/A</v>
      </c>
      <c r="E81" s="7" t="e">
        <f>VLOOKUP(A81,DV,3,FALSE)</f>
        <v>#N/A</v>
      </c>
      <c r="F81" s="18" t="e">
        <f t="shared" si="2"/>
        <v>#N/A</v>
      </c>
      <c r="G81" s="18" t="e">
        <f t="shared" si="3"/>
        <v>#N/A</v>
      </c>
    </row>
    <row r="82" spans="1:7">
      <c r="A82" s="5" t="s">
        <v>416</v>
      </c>
      <c r="B82" s="7">
        <f>VLOOKUP(A82,CM,4,FALSE)</f>
        <v>0</v>
      </c>
      <c r="C82" s="7">
        <f>VLOOKUP(A82,CM,5,FALSE)</f>
        <v>3395</v>
      </c>
      <c r="D82" s="7" t="e">
        <f>VLOOKUP(A82,DV,2,FALSE)</f>
        <v>#N/A</v>
      </c>
      <c r="E82" s="7" t="e">
        <f>VLOOKUP(A82,DV,3,FALSE)</f>
        <v>#N/A</v>
      </c>
      <c r="F82" s="18" t="e">
        <f t="shared" si="2"/>
        <v>#N/A</v>
      </c>
      <c r="G82" s="18" t="e">
        <f t="shared" si="3"/>
        <v>#N/A</v>
      </c>
    </row>
    <row r="83" spans="1:7">
      <c r="A83" s="5" t="s">
        <v>417</v>
      </c>
      <c r="B83" s="7">
        <f>VLOOKUP(A83,CM,4,FALSE)</f>
        <v>420489</v>
      </c>
      <c r="C83" s="7">
        <f>VLOOKUP(A83,CM,5,FALSE)</f>
        <v>178</v>
      </c>
      <c r="D83" s="7">
        <f>VLOOKUP(A83,DV,2,FALSE)</f>
        <v>420487</v>
      </c>
      <c r="E83" s="7">
        <f>VLOOKUP(A83,DV,3,FALSE)</f>
        <v>177</v>
      </c>
      <c r="F83" s="18">
        <f t="shared" si="2"/>
        <v>-4.7563669917094487E-6</v>
      </c>
      <c r="G83" s="18">
        <f t="shared" si="3"/>
        <v>-5.6179775280899014E-3</v>
      </c>
    </row>
    <row r="84" spans="1:7">
      <c r="A84" s="5" t="s">
        <v>419</v>
      </c>
      <c r="B84" s="7">
        <f>VLOOKUP(A84,CM,4,FALSE)</f>
        <v>37987</v>
      </c>
      <c r="C84" s="7">
        <f>VLOOKUP(A84,CM,5,FALSE)</f>
        <v>8</v>
      </c>
      <c r="D84" s="7">
        <f>VLOOKUP(A84,DV,2,FALSE)</f>
        <v>37982</v>
      </c>
      <c r="E84" s="7">
        <f>VLOOKUP(A84,DV,3,FALSE)</f>
        <v>3</v>
      </c>
      <c r="F84" s="18">
        <f t="shared" si="2"/>
        <v>-1.3162397662358494E-4</v>
      </c>
      <c r="G84" s="18">
        <f t="shared" si="3"/>
        <v>-0.625</v>
      </c>
    </row>
    <row r="85" spans="1:7">
      <c r="A85" s="5" t="s">
        <v>421</v>
      </c>
      <c r="B85" s="7">
        <f>VLOOKUP(A85,CM,4,FALSE)</f>
        <v>10</v>
      </c>
      <c r="C85" s="7">
        <f>VLOOKUP(A85,CM,5,FALSE)</f>
        <v>1</v>
      </c>
      <c r="D85" s="7">
        <f>VLOOKUP(A85,DV,2,FALSE)</f>
        <v>8</v>
      </c>
      <c r="E85" s="7">
        <f>VLOOKUP(A85,DV,3,FALSE)</f>
        <v>0</v>
      </c>
      <c r="F85" s="18">
        <f t="shared" si="2"/>
        <v>-0.19999999999999996</v>
      </c>
      <c r="G85" s="18">
        <f t="shared" si="3"/>
        <v>-1</v>
      </c>
    </row>
    <row r="86" spans="1:7">
      <c r="A86" s="5" t="s">
        <v>423</v>
      </c>
      <c r="B86" s="7">
        <f>VLOOKUP(A86,CM,4,FALSE)</f>
        <v>9541174</v>
      </c>
      <c r="C86" s="7">
        <f>VLOOKUP(A86,CM,5,FALSE)</f>
        <v>18723</v>
      </c>
      <c r="D86" s="7">
        <f>VLOOKUP(A86,DV,2,FALSE)</f>
        <v>9541173</v>
      </c>
      <c r="E86" s="7">
        <f>VLOOKUP(A86,DV,3,FALSE)</f>
        <v>18722</v>
      </c>
      <c r="F86" s="18">
        <f t="shared" si="2"/>
        <v>-1.0480890511033181E-7</v>
      </c>
      <c r="G86" s="18">
        <f t="shared" si="3"/>
        <v>-5.3410244084783898E-5</v>
      </c>
    </row>
    <row r="87" spans="1:7">
      <c r="A87" s="5" t="s">
        <v>425</v>
      </c>
      <c r="B87" s="7">
        <f>VLOOKUP(A87,CM,4,FALSE)</f>
        <v>2</v>
      </c>
      <c r="C87" s="7">
        <f>VLOOKUP(A87,CM,5,FALSE)</f>
        <v>1</v>
      </c>
      <c r="D87" s="7" t="e">
        <f>VLOOKUP(A87,DV,2,FALSE)</f>
        <v>#N/A</v>
      </c>
      <c r="E87" s="7" t="e">
        <f>VLOOKUP(A87,DV,3,FALSE)</f>
        <v>#N/A</v>
      </c>
      <c r="F87" s="18" t="e">
        <f t="shared" si="2"/>
        <v>#N/A</v>
      </c>
      <c r="G87" s="18" t="e">
        <f t="shared" si="3"/>
        <v>#N/A</v>
      </c>
    </row>
    <row r="88" spans="1:7">
      <c r="A88" s="5" t="s">
        <v>22</v>
      </c>
      <c r="B88" s="7" t="e">
        <f>VLOOKUP(A88,CM,4,FALSE)</f>
        <v>#N/A</v>
      </c>
      <c r="C88" s="7" t="e">
        <f>VLOOKUP(A88,CM,5,FALSE)</f>
        <v>#N/A</v>
      </c>
      <c r="D88" s="7">
        <f>VLOOKUP(A88,DV,2,FALSE)</f>
        <v>1428579</v>
      </c>
      <c r="E88" s="7">
        <f>VLOOKUP(A88,DV,3,FALSE)</f>
        <v>3508</v>
      </c>
      <c r="F88" s="18" t="e">
        <f t="shared" si="2"/>
        <v>#N/A</v>
      </c>
      <c r="G88" s="18" t="e">
        <f t="shared" si="3"/>
        <v>#N/A</v>
      </c>
    </row>
    <row r="89" spans="1:7">
      <c r="A89" s="5" t="s">
        <v>11</v>
      </c>
      <c r="B89" s="7" t="e">
        <f>VLOOKUP(A89,CM,4,FALSE)</f>
        <v>#N/A</v>
      </c>
      <c r="C89" s="7" t="e">
        <f>VLOOKUP(A89,CM,5,FALSE)</f>
        <v>#N/A</v>
      </c>
      <c r="D89" s="7">
        <f>VLOOKUP(A89,DV,2,FALSE)</f>
        <v>4079694</v>
      </c>
      <c r="E89" s="7">
        <f>VLOOKUP(A89,DV,3,FALSE)</f>
        <v>154929</v>
      </c>
      <c r="F89" s="18" t="e">
        <f t="shared" si="2"/>
        <v>#N/A</v>
      </c>
      <c r="G89" s="18" t="e">
        <f t="shared" si="3"/>
        <v>#N/A</v>
      </c>
    </row>
    <row r="90" spans="1:7">
      <c r="A90" s="5" t="s">
        <v>14</v>
      </c>
      <c r="B90" s="7" t="e">
        <f>VLOOKUP(A90,CM,4,FALSE)</f>
        <v>#N/A</v>
      </c>
      <c r="C90" s="7" t="e">
        <f>VLOOKUP(A90,CM,5,FALSE)</f>
        <v>#N/A</v>
      </c>
      <c r="D90" s="7">
        <f>VLOOKUP(A90,DV,2,FALSE)</f>
        <v>220049</v>
      </c>
      <c r="E90" s="7">
        <f>VLOOKUP(A90,DV,3,FALSE)</f>
        <v>96</v>
      </c>
      <c r="F90" s="18" t="e">
        <f t="shared" si="2"/>
        <v>#N/A</v>
      </c>
      <c r="G90" s="18" t="e">
        <f t="shared" si="3"/>
        <v>#N/A</v>
      </c>
    </row>
    <row r="91" spans="1:7">
      <c r="A91" s="5" t="s">
        <v>16</v>
      </c>
      <c r="B91" s="7" t="e">
        <f>VLOOKUP(A91,CM,4,FALSE)</f>
        <v>#N/A</v>
      </c>
      <c r="C91" s="7" t="e">
        <f>VLOOKUP(A91,CM,5,FALSE)</f>
        <v>#N/A</v>
      </c>
      <c r="D91" s="7">
        <f>VLOOKUP(A91,DV,2,FALSE)</f>
        <v>632937</v>
      </c>
      <c r="E91" s="7">
        <f>VLOOKUP(A91,DV,3,FALSE)</f>
        <v>45377</v>
      </c>
      <c r="F91" s="18" t="e">
        <f t="shared" si="2"/>
        <v>#N/A</v>
      </c>
      <c r="G91" s="18" t="e">
        <f t="shared" si="3"/>
        <v>#N/A</v>
      </c>
    </row>
    <row r="92" spans="1:7">
      <c r="A92" s="5" t="s">
        <v>18</v>
      </c>
      <c r="B92" s="7" t="e">
        <f>VLOOKUP(A92,CM,4,FALSE)</f>
        <v>#N/A</v>
      </c>
      <c r="C92" s="7" t="e">
        <f>VLOOKUP(A92,CM,5,FALSE)</f>
        <v>#N/A</v>
      </c>
      <c r="D92" s="7">
        <f>VLOOKUP(A92,DV,2,FALSE)</f>
        <v>1035921</v>
      </c>
      <c r="E92" s="7">
        <f>VLOOKUP(A92,DV,3,FALSE)</f>
        <v>29925</v>
      </c>
      <c r="F92" s="18" t="e">
        <f t="shared" si="2"/>
        <v>#N/A</v>
      </c>
      <c r="G92" s="18" t="e">
        <f t="shared" si="3"/>
        <v>#N/A</v>
      </c>
    </row>
    <row r="93" spans="1:7">
      <c r="A93" s="5" t="s">
        <v>20</v>
      </c>
      <c r="B93" s="7" t="e">
        <f>VLOOKUP(A93,CM,4,FALSE)</f>
        <v>#N/A</v>
      </c>
      <c r="C93" s="7" t="e">
        <f>VLOOKUP(A93,CM,5,FALSE)</f>
        <v>#N/A</v>
      </c>
      <c r="D93" s="7">
        <f>VLOOKUP(A93,DV,2,FALSE)</f>
        <v>87642</v>
      </c>
      <c r="E93" s="7">
        <f>VLOOKUP(A93,DV,3,FALSE)</f>
        <v>66</v>
      </c>
      <c r="F93" s="18" t="e">
        <f t="shared" si="2"/>
        <v>#N/A</v>
      </c>
      <c r="G93" s="18" t="e">
        <f t="shared" si="3"/>
        <v>#N/A</v>
      </c>
    </row>
  </sheetData>
  <autoFilter ref="A1:G93" xr:uid="{682DDD48-F12A-4CC6-AD41-6DDC99948694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CM</vt:lpstr>
      <vt:lpstr>Pivot CM</vt:lpstr>
      <vt:lpstr>DV</vt:lpstr>
      <vt:lpstr>Pivot DV</vt:lpstr>
      <vt:lpstr>Geral</vt:lpstr>
      <vt:lpstr>Pivot Geral</vt:lpstr>
      <vt:lpstr>Comparativo</vt:lpstr>
      <vt:lpstr>Comparativo sem Default</vt:lpstr>
      <vt:lpstr>CM</vt:lpstr>
      <vt:lpstr>DV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Alves de Lima - Almap BBDO</dc:creator>
  <cp:lastModifiedBy>Felipe Alves de Lima - Almap BBDO</cp:lastModifiedBy>
  <dcterms:created xsi:type="dcterms:W3CDTF">2020-06-16T14:32:49Z</dcterms:created>
  <dcterms:modified xsi:type="dcterms:W3CDTF">2020-06-17T15:19:07Z</dcterms:modified>
</cp:coreProperties>
</file>